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worksheets/sheet11.xml" ContentType="application/vnd.openxmlformats-officedocument.spreadsheetml.worksheet+xml"/>
  <Override PartName="/xl/drawings/drawing8.xml" ContentType="application/vnd.openxmlformats-officedocument.drawing+xml"/>
  <Override PartName="/xl/worksheets/sheet12.xml" ContentType="application/vnd.openxmlformats-officedocument.spreadsheetml.worksheet+xml"/>
  <Override PartName="/xl/drawings/drawing9.xml" ContentType="application/vnd.openxmlformats-officedocument.drawing+xml"/>
  <Override PartName="/xl/worksheets/sheet13.xml" ContentType="application/vnd.openxmlformats-officedocument.spreadsheetml.worksheet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929" firstSheet="0" activeTab="8" autoFilterDateGrouping="1"/>
  </bookViews>
  <sheets>
    <sheet name="AUCROC Weight" sheetId="1" state="visible" r:id="rId1"/>
    <sheet name="Indicators Data" sheetId="2" state="visible" r:id="rId2"/>
    <sheet name="Threshold" sheetId="3" state="visible" r:id="rId3"/>
    <sheet name="Deviation_SD" sheetId="4" state="visible" r:id="rId4"/>
    <sheet name="Calculation" sheetId="5" state="visible" r:id="rId5"/>
    <sheet name="Barometr_1" sheetId="6" state="visible" r:id="rId6"/>
    <sheet name="C" sheetId="7" state="visible" r:id="rId7"/>
    <sheet name="H" sheetId="8" state="visible" r:id="rId8"/>
    <sheet name="G" sheetId="9" state="visible" r:id="rId9"/>
    <sheet name="B" sheetId="10" state="visible" r:id="rId10"/>
    <sheet name="E" sheetId="11" state="visible" r:id="rId11"/>
    <sheet name="RE" sheetId="12" state="visible" r:id="rId12"/>
    <sheet name="VB_index" sheetId="13" state="hidden" r:id="rId13"/>
  </sheet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0.000"/>
    <numFmt numFmtId="165" formatCode="0.0%"/>
    <numFmt numFmtId="166" formatCode="0.00000"/>
    <numFmt numFmtId="167" formatCode="0.0000"/>
    <numFmt numFmtId="168" formatCode="0.00000000"/>
    <numFmt numFmtId="169" formatCode="0.0000000"/>
    <numFmt numFmtId="170" formatCode="0.000000"/>
    <numFmt numFmtId="171" formatCode="_-* #,##0.00_-;\-* #,##0.00_-;_-* &quot;-&quot;??_-;_-@_-"/>
    <numFmt numFmtId="172" formatCode="yyyy\-mm\-dd"/>
    <numFmt numFmtId="173" formatCode="YYYY-MM-DD"/>
  </numFmts>
  <fonts count="25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Times New Roman"/>
      <charset val="204"/>
      <family val="1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charset val="204"/>
      <family val="2"/>
      <b val="1"/>
      <sz val="11"/>
      <scheme val="minor"/>
    </font>
    <font>
      <name val="Times New Roman"/>
      <charset val="204"/>
      <family val="1"/>
      <b val="1"/>
      <color theme="1"/>
      <sz val="11"/>
    </font>
    <font>
      <name val="Calibri"/>
      <family val="2"/>
      <sz val="11"/>
      <scheme val="minor"/>
    </font>
    <font>
      <name val="Calibri"/>
      <family val="2"/>
      <color rgb="FF0000FF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i val="1"/>
      <color rgb="FFFF0000"/>
      <sz val="11"/>
      <scheme val="minor"/>
    </font>
    <font>
      <name val="Times New Roman"/>
      <charset val="204"/>
      <family val="1"/>
      <color rgb="FFFF0000"/>
      <sz val="11"/>
    </font>
    <font>
      <name val="Calibri"/>
      <family val="2"/>
      <color theme="1"/>
      <sz val="16"/>
      <scheme val="minor"/>
    </font>
    <font>
      <name val="Calibri"/>
      <charset val="204"/>
      <family val="2"/>
      <b val="1"/>
      <color theme="1"/>
      <sz val="12"/>
      <scheme val="minor"/>
    </font>
    <font>
      <name val="Calibri"/>
      <charset val="204"/>
      <family val="2"/>
      <b val="1"/>
      <color rgb="FFFF0000"/>
      <sz val="12"/>
      <scheme val="minor"/>
    </font>
    <font>
      <name val="Calibri"/>
      <charset val="204"/>
      <family val="2"/>
      <b val="1"/>
      <sz val="12"/>
      <scheme val="minor"/>
    </font>
    <font>
      <name val="Calibri"/>
      <charset val="204"/>
      <family val="2"/>
      <b val="1"/>
      <sz val="11"/>
    </font>
  </fonts>
  <fills count="1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11" fillId="0" borderId="0"/>
    <xf numFmtId="9" fontId="11" fillId="0" borderId="0"/>
    <xf numFmtId="43" fontId="11" fillId="0" borderId="0"/>
  </cellStyleXfs>
  <cellXfs count="258">
    <xf numFmtId="0" fontId="0" fillId="0" borderId="0" pivotButton="0" quotePrefix="0" xfId="0"/>
    <xf numFmtId="0" fontId="10" fillId="3" borderId="1" applyAlignment="1" pivotButton="0" quotePrefix="0" xfId="0">
      <alignment horizontal="center" vertical="center"/>
    </xf>
    <xf numFmtId="0" fontId="0" fillId="3" borderId="1" pivotButton="0" quotePrefix="0" xfId="0"/>
    <xf numFmtId="1" fontId="0" fillId="0" borderId="0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 wrapText="1"/>
    </xf>
    <xf numFmtId="0" fontId="10" fillId="3" borderId="5" applyAlignment="1" pivotButton="0" quotePrefix="0" xfId="0">
      <alignment horizontal="center" vertical="center"/>
    </xf>
    <xf numFmtId="2" fontId="0" fillId="0" borderId="6" applyAlignment="1" pivotButton="0" quotePrefix="0" xfId="0">
      <alignment horizontal="center" vertical="center"/>
    </xf>
    <xf numFmtId="2" fontId="0" fillId="0" borderId="0" pivotButton="0" quotePrefix="0" xfId="0"/>
    <xf numFmtId="2" fontId="0" fillId="0" borderId="3" pivotButton="0" quotePrefix="0" xfId="0"/>
    <xf numFmtId="2" fontId="0" fillId="0" borderId="6" pivotButton="0" quotePrefix="0" xfId="0"/>
    <xf numFmtId="0" fontId="0" fillId="0" borderId="1" pivotButton="0" quotePrefix="0" xfId="0"/>
    <xf numFmtId="0" fontId="0" fillId="5" borderId="0" pivotButton="0" quotePrefix="0" xfId="0"/>
    <xf numFmtId="0" fontId="0" fillId="0" borderId="2" pivotButton="0" quotePrefix="0" xfId="0"/>
    <xf numFmtId="0" fontId="0" fillId="0" borderId="4" pivotButton="0" quotePrefix="0" xfId="0"/>
    <xf numFmtId="2" fontId="0" fillId="0" borderId="0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1" fontId="0" fillId="0" borderId="4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 wrapText="1"/>
    </xf>
    <xf numFmtId="1" fontId="0" fillId="0" borderId="6" applyAlignment="1" pivotButton="0" quotePrefix="0" xfId="0">
      <alignment horizontal="center" vertical="center"/>
    </xf>
    <xf numFmtId="0" fontId="0" fillId="3" borderId="0" pivotButton="0" quotePrefix="0" xfId="0"/>
    <xf numFmtId="0" fontId="0" fillId="7" borderId="1" pivotButton="0" quotePrefix="0" xfId="0"/>
    <xf numFmtId="1" fontId="0" fillId="7" borderId="4" applyAlignment="1" pivotButton="0" quotePrefix="0" xfId="0">
      <alignment horizontal="center" vertical="center"/>
    </xf>
    <xf numFmtId="1" fontId="0" fillId="7" borderId="6" applyAlignment="1" pivotButton="0" quotePrefix="0" xfId="0">
      <alignment horizontal="center" vertical="center"/>
    </xf>
    <xf numFmtId="2" fontId="0" fillId="7" borderId="6" applyAlignment="1" pivotButton="0" quotePrefix="0" xfId="0">
      <alignment horizontal="center" vertical="center"/>
    </xf>
    <xf numFmtId="2" fontId="0" fillId="7" borderId="0" applyAlignment="1" pivotButton="0" quotePrefix="0" xfId="0">
      <alignment horizontal="center" vertical="center"/>
    </xf>
    <xf numFmtId="2" fontId="0" fillId="7" borderId="3" applyAlignment="1" pivotButton="0" quotePrefix="0" xfId="0">
      <alignment horizontal="center" vertical="center"/>
    </xf>
    <xf numFmtId="2" fontId="0" fillId="7" borderId="3" pivotButton="0" quotePrefix="0" xfId="0"/>
    <xf numFmtId="2" fontId="0" fillId="7" borderId="0" pivotButton="0" quotePrefix="0" xfId="0"/>
    <xf numFmtId="0" fontId="0" fillId="7" borderId="0" pivotButton="0" quotePrefix="0" xfId="0"/>
    <xf numFmtId="164" fontId="0" fillId="5" borderId="0" pivotButton="0" quotePrefix="0" xfId="0"/>
    <xf numFmtId="0" fontId="0" fillId="5" borderId="0" applyAlignment="1" pivotButton="0" quotePrefix="0" xfId="0">
      <alignment horizontal="center" vertical="center"/>
    </xf>
    <xf numFmtId="2" fontId="8" fillId="0" borderId="0" pivotButton="0" quotePrefix="0" xfId="0"/>
    <xf numFmtId="0" fontId="8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7" fillId="0" borderId="3" pivotButton="0" quotePrefix="0" xfId="0"/>
    <xf numFmtId="0" fontId="10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4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2" fontId="15" fillId="0" borderId="6" applyAlignment="1" pivotButton="0" quotePrefix="0" xfId="0">
      <alignment horizontal="center" vertical="center"/>
    </xf>
    <xf numFmtId="2" fontId="16" fillId="0" borderId="6" applyAlignment="1" pivotButton="0" quotePrefix="0" xfId="0">
      <alignment horizontal="center" vertical="center"/>
    </xf>
    <xf numFmtId="0" fontId="7" fillId="3" borderId="11" applyAlignment="1" pivotButton="0" quotePrefix="0" xfId="0">
      <alignment horizontal="center" vertical="center"/>
    </xf>
    <xf numFmtId="0" fontId="7" fillId="3" borderId="7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/>
    </xf>
    <xf numFmtId="0" fontId="10" fillId="2" borderId="1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7" fillId="3" borderId="0" pivotButton="0" quotePrefix="0" xfId="0"/>
    <xf numFmtId="0" fontId="5" fillId="3" borderId="0" pivotButton="0" quotePrefix="0" xfId="0"/>
    <xf numFmtId="0" fontId="5" fillId="11" borderId="0" pivotButton="0" quotePrefix="0" xfId="0"/>
    <xf numFmtId="0" fontId="7" fillId="11" borderId="0" pivotButton="0" quotePrefix="0" xfId="0"/>
    <xf numFmtId="0" fontId="0" fillId="11" borderId="5" applyAlignment="1" pivotButton="0" quotePrefix="0" xfId="0">
      <alignment horizontal="center"/>
    </xf>
    <xf numFmtId="0" fontId="0" fillId="11" borderId="7" applyAlignment="1" pivotButton="0" quotePrefix="0" xfId="0">
      <alignment horizontal="center"/>
    </xf>
    <xf numFmtId="0" fontId="0" fillId="11" borderId="1" pivotButton="0" quotePrefix="0" xfId="0"/>
    <xf numFmtId="0" fontId="18" fillId="11" borderId="0" applyAlignment="1" pivotButton="0" quotePrefix="0" xfId="0">
      <alignment horizontal="right"/>
    </xf>
    <xf numFmtId="2" fontId="0" fillId="11" borderId="0" pivotButton="0" quotePrefix="0" xfId="0"/>
    <xf numFmtId="0" fontId="0" fillId="11" borderId="0" pivotButton="0" quotePrefix="0" xfId="0"/>
    <xf numFmtId="2" fontId="15" fillId="0" borderId="0" pivotButton="0" quotePrefix="0" xfId="0"/>
    <xf numFmtId="0" fontId="19" fillId="3" borderId="1" applyAlignment="1" pivotButton="0" quotePrefix="0" xfId="0">
      <alignment horizontal="center" vertical="center"/>
    </xf>
    <xf numFmtId="0" fontId="15" fillId="0" borderId="0" pivotButton="0" quotePrefix="0" xfId="0"/>
    <xf numFmtId="0" fontId="15" fillId="0" borderId="3" pivotButton="0" quotePrefix="0" xfId="0"/>
    <xf numFmtId="0" fontId="15" fillId="0" borderId="6" pivotButton="0" quotePrefix="0" xfId="0"/>
    <xf numFmtId="2" fontId="15" fillId="0" borderId="6" pivotButton="0" quotePrefix="0" xfId="0"/>
    <xf numFmtId="0" fontId="17" fillId="3" borderId="0" applyAlignment="1" pivotButton="0" quotePrefix="0" xfId="0">
      <alignment horizontal="center" vertical="center"/>
    </xf>
    <xf numFmtId="0" fontId="7" fillId="12" borderId="0" pivotButton="0" quotePrefix="0" xfId="0"/>
    <xf numFmtId="0" fontId="3" fillId="12" borderId="0" pivotButton="0" quotePrefix="0" xfId="0"/>
    <xf numFmtId="0" fontId="9" fillId="0" borderId="0" applyAlignment="1" pivotButton="0" quotePrefix="0" xfId="0">
      <alignment horizontal="center" vertical="center"/>
    </xf>
    <xf numFmtId="0" fontId="0" fillId="13" borderId="0" pivotButton="0" quotePrefix="0" xfId="0"/>
    <xf numFmtId="2" fontId="0" fillId="0" borderId="1" pivotButton="0" quotePrefix="0" xfId="0"/>
    <xf numFmtId="164" fontId="0" fillId="11" borderId="0" pivotButton="0" quotePrefix="0" xfId="0"/>
    <xf numFmtId="2" fontId="0" fillId="11" borderId="0" applyAlignment="1" pivotButton="0" quotePrefix="0" xfId="0">
      <alignment wrapText="1"/>
    </xf>
    <xf numFmtId="2" fontId="20" fillId="11" borderId="0" pivotButton="0" quotePrefix="0" xfId="0"/>
    <xf numFmtId="0" fontId="0" fillId="0" borderId="1" applyAlignment="1" pivotButton="0" quotePrefix="0" xfId="0">
      <alignment horizontal="right" wrapText="1"/>
    </xf>
    <xf numFmtId="2" fontId="0" fillId="0" borderId="1" applyAlignment="1" pivotButton="0" quotePrefix="0" xfId="0">
      <alignment horizontal="right" wrapText="1"/>
    </xf>
    <xf numFmtId="1" fontId="0" fillId="0" borderId="13" applyAlignment="1" pivotButton="0" quotePrefix="0" xfId="0">
      <alignment horizontal="center" vertical="center"/>
    </xf>
    <xf numFmtId="2" fontId="15" fillId="0" borderId="12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2" fontId="0" fillId="0" borderId="12" applyAlignment="1" pivotButton="0" quotePrefix="0" xfId="0">
      <alignment horizontal="center" vertical="center"/>
    </xf>
    <xf numFmtId="2" fontId="8" fillId="0" borderId="13" pivotButton="0" quotePrefix="0" xfId="0"/>
    <xf numFmtId="2" fontId="0" fillId="0" borderId="13" pivotButton="0" quotePrefix="0" xfId="0"/>
    <xf numFmtId="2" fontId="0" fillId="0" borderId="12" pivotButton="0" quotePrefix="0" xfId="0"/>
    <xf numFmtId="2" fontId="0" fillId="0" borderId="14" pivotButton="0" quotePrefix="0" xfId="0"/>
    <xf numFmtId="0" fontId="0" fillId="3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9" fillId="8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center" vertical="center"/>
    </xf>
    <xf numFmtId="0" fontId="10" fillId="8" borderId="3" applyAlignment="1" pivotButton="0" quotePrefix="0" xfId="0">
      <alignment horizontal="center" vertical="center"/>
    </xf>
    <xf numFmtId="0" fontId="0" fillId="11" borderId="13" applyAlignment="1" pivotButton="0" quotePrefix="0" xfId="0">
      <alignment wrapText="1"/>
    </xf>
    <xf numFmtId="0" fontId="0" fillId="11" borderId="0" applyAlignment="1" pivotButton="0" quotePrefix="0" xfId="0">
      <alignment wrapText="1"/>
    </xf>
    <xf numFmtId="1" fontId="0" fillId="0" borderId="0" applyAlignment="1" pivotButton="0" quotePrefix="0" xfId="0">
      <alignment horizontal="center"/>
    </xf>
    <xf numFmtId="2" fontId="7" fillId="0" borderId="1" pivotButton="0" quotePrefix="0" xfId="0"/>
    <xf numFmtId="1" fontId="7" fillId="0" borderId="1" pivotButton="0" quotePrefix="0" xfId="0"/>
    <xf numFmtId="0" fontId="7" fillId="0" borderId="1" pivotButton="0" quotePrefix="0" xfId="0"/>
    <xf numFmtId="2" fontId="7" fillId="0" borderId="5" pivotButton="0" quotePrefix="0" xfId="0"/>
    <xf numFmtId="2" fontId="7" fillId="0" borderId="11" pivotButton="0" quotePrefix="0" xfId="0"/>
    <xf numFmtId="1" fontId="7" fillId="0" borderId="5" pivotButton="0" quotePrefix="0" xfId="0"/>
    <xf numFmtId="2" fontId="7" fillId="0" borderId="7" pivotButton="0" quotePrefix="0" xfId="0"/>
    <xf numFmtId="1" fontId="0" fillId="0" borderId="1" pivotButton="0" quotePrefix="0" xfId="0"/>
    <xf numFmtId="1" fontId="0" fillId="0" borderId="5" pivotButton="0" quotePrefix="0" xfId="0"/>
    <xf numFmtId="14" fontId="0" fillId="0" borderId="0" pivotButton="0" quotePrefix="0" xfId="0"/>
    <xf numFmtId="0" fontId="0" fillId="0" borderId="3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0" fillId="8" borderId="0" applyAlignment="1" pivotButton="0" quotePrefix="0" xfId="0">
      <alignment horizontal="center"/>
    </xf>
    <xf numFmtId="2" fontId="9" fillId="8" borderId="0" applyAlignment="1" pivotButton="0" quotePrefix="0" xfId="0">
      <alignment horizontal="center"/>
    </xf>
    <xf numFmtId="2" fontId="9" fillId="0" borderId="0" applyAlignment="1" pivotButton="0" quotePrefix="0" xfId="0">
      <alignment horizontal="center"/>
    </xf>
    <xf numFmtId="2" fontId="0" fillId="0" borderId="3" applyAlignment="1" pivotButton="0" quotePrefix="0" xfId="0">
      <alignment horizontal="center"/>
    </xf>
    <xf numFmtId="0" fontId="0" fillId="0" borderId="16" applyAlignment="1" pivotButton="0" quotePrefix="0" xfId="0">
      <alignment horizontal="center" vertical="center" wrapText="1"/>
    </xf>
    <xf numFmtId="10" fontId="21" fillId="3" borderId="0" applyAlignment="1" pivotButton="0" quotePrefix="0" xfId="0">
      <alignment horizontal="center" vertical="center" wrapText="1"/>
    </xf>
    <xf numFmtId="10" fontId="22" fillId="3" borderId="0" applyAlignment="1" pivotButton="0" quotePrefix="0" xfId="0">
      <alignment horizontal="center" wrapText="1"/>
    </xf>
    <xf numFmtId="10" fontId="21" fillId="3" borderId="0" pivotButton="0" quotePrefix="0" xfId="0"/>
    <xf numFmtId="10" fontId="23" fillId="3" borderId="0" applyAlignment="1" pivotButton="0" quotePrefix="0" xfId="0">
      <alignment horizontal="center" vertical="center" wrapText="1"/>
    </xf>
    <xf numFmtId="10" fontId="23" fillId="3" borderId="0" pivotButton="0" quotePrefix="0" xfId="0"/>
    <xf numFmtId="10" fontId="23" fillId="3" borderId="0" applyAlignment="1" pivotButton="0" quotePrefix="0" xfId="0">
      <alignment horizontal="center" wrapText="1"/>
    </xf>
    <xf numFmtId="10" fontId="21" fillId="3" borderId="0" applyAlignment="1" pivotButton="0" quotePrefix="0" xfId="0">
      <alignment horizontal="center" wrapText="1"/>
    </xf>
    <xf numFmtId="0" fontId="24" fillId="0" borderId="17" applyAlignment="1" pivotButton="0" quotePrefix="0" xfId="0">
      <alignment horizontal="center" vertical="top"/>
    </xf>
    <xf numFmtId="0" fontId="24" fillId="3" borderId="17" applyAlignment="1" pivotButton="0" quotePrefix="0" xfId="0">
      <alignment horizontal="center" vertical="top"/>
    </xf>
    <xf numFmtId="0" fontId="24" fillId="11" borderId="17" applyAlignment="1" pivotButton="0" quotePrefix="0" xfId="0">
      <alignment horizontal="center" vertical="top"/>
    </xf>
    <xf numFmtId="0" fontId="24" fillId="2" borderId="17" applyAlignment="1" pivotButton="0" quotePrefix="0" xfId="0">
      <alignment horizontal="center" vertical="top"/>
    </xf>
    <xf numFmtId="2" fontId="24" fillId="3" borderId="17" applyAlignment="1" pivotButton="0" quotePrefix="0" xfId="0">
      <alignment horizontal="center" vertical="top"/>
    </xf>
    <xf numFmtId="165" fontId="7" fillId="3" borderId="1" pivotButton="0" quotePrefix="0" xfId="1"/>
    <xf numFmtId="165" fontId="18" fillId="11" borderId="1" pivotButton="0" quotePrefix="0" xfId="1"/>
    <xf numFmtId="165" fontId="7" fillId="3" borderId="11" pivotButton="0" quotePrefix="0" xfId="1"/>
    <xf numFmtId="165" fontId="7" fillId="3" borderId="12" pivotButton="0" quotePrefix="0" xfId="1"/>
    <xf numFmtId="165" fontId="7" fillId="3" borderId="15" pivotButton="0" quotePrefix="0" xfId="1"/>
    <xf numFmtId="165" fontId="7" fillId="3" borderId="0" pivotButton="0" quotePrefix="0" xfId="0"/>
    <xf numFmtId="165" fontId="7" fillId="11" borderId="11" applyAlignment="1" pivotButton="0" quotePrefix="0" xfId="1">
      <alignment horizontal="center"/>
    </xf>
    <xf numFmtId="165" fontId="7" fillId="11" borderId="5" applyAlignment="1" pivotButton="0" quotePrefix="0" xfId="1">
      <alignment horizontal="center"/>
    </xf>
    <xf numFmtId="165" fontId="7" fillId="11" borderId="1" applyAlignment="1" pivotButton="0" quotePrefix="0" xfId="1">
      <alignment horizontal="center"/>
    </xf>
    <xf numFmtId="165" fontId="0" fillId="11" borderId="1" applyAlignment="1" pivotButton="0" quotePrefix="0" xfId="1">
      <alignment horizontal="center"/>
    </xf>
    <xf numFmtId="165" fontId="0" fillId="11" borderId="5" applyAlignment="1" pivotButton="0" quotePrefix="0" xfId="1">
      <alignment horizontal="center"/>
    </xf>
    <xf numFmtId="165" fontId="7" fillId="0" borderId="0" pivotButton="0" quotePrefix="0" xfId="0"/>
    <xf numFmtId="165" fontId="18" fillId="0" borderId="1" pivotButton="0" quotePrefix="0" xfId="0"/>
    <xf numFmtId="165" fontId="18" fillId="0" borderId="1" pivotButton="0" quotePrefix="0" xfId="1"/>
    <xf numFmtId="165" fontId="18" fillId="0" borderId="6" pivotButton="0" quotePrefix="0" xfId="0"/>
    <xf numFmtId="166" fontId="15" fillId="0" borderId="6" applyAlignment="1" pivotButton="0" quotePrefix="0" xfId="0">
      <alignment horizontal="center" vertical="center"/>
    </xf>
    <xf numFmtId="166" fontId="15" fillId="0" borderId="12" applyAlignment="1" pivotButton="0" quotePrefix="0" xfId="0">
      <alignment horizontal="center" vertical="center"/>
    </xf>
    <xf numFmtId="167" fontId="15" fillId="0" borderId="6" applyAlignment="1" pivotButton="0" quotePrefix="0" xfId="0">
      <alignment horizontal="center" vertical="center"/>
    </xf>
    <xf numFmtId="167" fontId="15" fillId="0" borderId="12" applyAlignment="1" pivotButton="0" quotePrefix="0" xfId="0">
      <alignment horizontal="center" vertical="center"/>
    </xf>
    <xf numFmtId="168" fontId="18" fillId="0" borderId="0" pivotButton="0" quotePrefix="0" xfId="0"/>
    <xf numFmtId="169" fontId="18" fillId="0" borderId="0" pivotButton="0" quotePrefix="0" xfId="0"/>
    <xf numFmtId="170" fontId="18" fillId="0" borderId="0" pivotButton="0" quotePrefix="0" xfId="0"/>
    <xf numFmtId="0" fontId="0" fillId="0" borderId="13" pivotButton="0" quotePrefix="0" xfId="0"/>
    <xf numFmtId="0" fontId="0" fillId="0" borderId="5" pivotButton="0" quotePrefix="0" xfId="0"/>
    <xf numFmtId="0" fontId="0" fillId="0" borderId="7" pivotButton="0" quotePrefix="0" xfId="0"/>
    <xf numFmtId="0" fontId="7" fillId="0" borderId="0" pivotButton="0" quotePrefix="0" xfId="0"/>
    <xf numFmtId="0" fontId="0" fillId="0" borderId="3" pivotButton="0" quotePrefix="0" xfId="0"/>
    <xf numFmtId="0" fontId="0" fillId="0" borderId="9" pivotButton="0" quotePrefix="0" xfId="0"/>
    <xf numFmtId="2" fontId="0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0" fillId="0" borderId="6" pivotButton="0" quotePrefix="0" xfId="0"/>
    <xf numFmtId="0" fontId="9" fillId="8" borderId="0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  <xf numFmtId="0" fontId="0" fillId="2" borderId="1" applyAlignment="1" pivotButton="0" quotePrefix="0" xfId="0">
      <alignment horizontal="center" vertical="center" wrapText="1"/>
    </xf>
    <xf numFmtId="14" fontId="0" fillId="12" borderId="1" pivotButton="0" quotePrefix="0" xfId="0"/>
    <xf numFmtId="14" fontId="24" fillId="12" borderId="17" applyAlignment="1" pivotButton="0" quotePrefix="0" xfId="0">
      <alignment horizontal="center" vertical="top"/>
    </xf>
    <xf numFmtId="14" fontId="0" fillId="12" borderId="0" pivotButton="0" quotePrefix="0" xfId="0"/>
    <xf numFmtId="14" fontId="0" fillId="12" borderId="17" pivotButton="0" quotePrefix="0" xfId="0"/>
    <xf numFmtId="14" fontId="0" fillId="12" borderId="9" applyAlignment="1" pivotButton="0" quotePrefix="0" xfId="0">
      <alignment horizontal="center" vertical="center" wrapText="1"/>
    </xf>
    <xf numFmtId="14" fontId="0" fillId="12" borderId="0" applyAlignment="1" pivotButton="0" quotePrefix="0" xfId="0">
      <alignment horizontal="center" vertical="center" wrapText="1"/>
    </xf>
    <xf numFmtId="14" fontId="0" fillId="12" borderId="2" pivotButton="0" quotePrefix="0" xfId="0"/>
    <xf numFmtId="171" fontId="7" fillId="0" borderId="1" pivotButton="0" quotePrefix="0" xfId="0"/>
    <xf numFmtId="171" fontId="7" fillId="0" borderId="1" applyAlignment="1" pivotButton="0" quotePrefix="0" xfId="0">
      <alignment vertical="center"/>
    </xf>
    <xf numFmtId="171" fontId="17" fillId="0" borderId="1" pivotButton="0" quotePrefix="0" xfId="0"/>
    <xf numFmtId="171" fontId="17" fillId="0" borderId="1" applyAlignment="1" pivotButton="0" quotePrefix="0" xfId="0">
      <alignment vertical="center"/>
    </xf>
    <xf numFmtId="172" fontId="0" fillId="12" borderId="1" pivotButton="0" quotePrefix="0" xfId="0"/>
    <xf numFmtId="172" fontId="0" fillId="12" borderId="0" pivotButton="0" quotePrefix="0" xfId="0"/>
    <xf numFmtId="172" fontId="0" fillId="12" borderId="17" pivotButton="0" quotePrefix="0" xfId="0"/>
    <xf numFmtId="171" fontId="0" fillId="0" borderId="0" applyAlignment="1" pivotButton="0" quotePrefix="0" xfId="2">
      <alignment horizontal="center"/>
    </xf>
    <xf numFmtId="172" fontId="0" fillId="0" borderId="0" pivotButton="0" quotePrefix="0" xfId="0"/>
    <xf numFmtId="0" fontId="15" fillId="2" borderId="15" applyAlignment="1" pivotButton="0" quotePrefix="0" xfId="0">
      <alignment horizontal="center" wrapText="1"/>
    </xf>
    <xf numFmtId="0" fontId="0" fillId="0" borderId="13" pivotButton="0" quotePrefix="0" xfId="0"/>
    <xf numFmtId="0" fontId="0" fillId="0" borderId="14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2" fontId="15" fillId="0" borderId="6" applyAlignment="1" pivotButton="0" quotePrefix="0" xfId="0">
      <alignment horizontal="center" vertical="center" wrapText="1"/>
    </xf>
    <xf numFmtId="0" fontId="7" fillId="0" borderId="0" pivotButton="0" quotePrefix="0" xfId="0"/>
    <xf numFmtId="2" fontId="0" fillId="0" borderId="11" applyAlignment="1" pivotButton="0" quotePrefix="0" xfId="0">
      <alignment horizontal="center" vertical="center" wrapText="1"/>
    </xf>
    <xf numFmtId="2" fontId="0" fillId="0" borderId="15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7" fillId="0" borderId="3" applyAlignment="1" pivotButton="0" quotePrefix="0" xfId="0">
      <alignment horizontal="left"/>
    </xf>
    <xf numFmtId="0" fontId="0" fillId="0" borderId="3" pivotButton="0" quotePrefix="0" xfId="0"/>
    <xf numFmtId="0" fontId="6" fillId="0" borderId="1" applyAlignment="1" pivotButton="0" quotePrefix="0" xfId="0">
      <alignment horizontal="center" vertical="center" wrapText="1"/>
    </xf>
    <xf numFmtId="2" fontId="15" fillId="0" borderId="15" applyAlignment="1" pivotButton="0" quotePrefix="0" xfId="0">
      <alignment horizontal="center" vertical="center" wrapText="1"/>
    </xf>
    <xf numFmtId="0" fontId="7" fillId="2" borderId="12" applyAlignment="1" pivotButton="0" quotePrefix="0" xfId="0">
      <alignment horizontal="center" vertical="center"/>
    </xf>
    <xf numFmtId="2" fontId="13" fillId="9" borderId="6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2" fillId="4" borderId="0" applyAlignment="1" pivotButton="0" quotePrefix="0" xfId="0">
      <alignment horizontal="center" vertical="center"/>
    </xf>
    <xf numFmtId="0" fontId="7" fillId="9" borderId="4" applyAlignment="1" pivotButton="0" quotePrefix="0" xfId="0">
      <alignment horizontal="center" vertical="center"/>
    </xf>
    <xf numFmtId="0" fontId="12" fillId="2" borderId="15" applyAlignment="1" pivotButton="0" quotePrefix="0" xfId="0">
      <alignment horizontal="center" wrapText="1"/>
    </xf>
    <xf numFmtId="0" fontId="9" fillId="0" borderId="1" applyAlignment="1" pivotButton="0" quotePrefix="0" xfId="0">
      <alignment horizontal="center" vertical="center"/>
    </xf>
    <xf numFmtId="2" fontId="12" fillId="2" borderId="15" applyAlignment="1" pivotButton="0" quotePrefix="0" xfId="0">
      <alignment horizontal="center" vertical="center" wrapText="1"/>
    </xf>
    <xf numFmtId="2" fontId="0" fillId="2" borderId="1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2" fontId="15" fillId="2" borderId="15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/>
    </xf>
    <xf numFmtId="2" fontId="0" fillId="2" borderId="15" applyAlignment="1" pivotButton="0" quotePrefix="0" xfId="0">
      <alignment horizontal="center" vertical="center" wrapText="1"/>
    </xf>
    <xf numFmtId="2" fontId="0" fillId="2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2" fontId="15" fillId="2" borderId="12" applyAlignment="1" pivotButton="0" quotePrefix="0" xfId="0">
      <alignment horizontal="center" vertical="center" wrapText="1"/>
    </xf>
    <xf numFmtId="2" fontId="12" fillId="2" borderId="12" applyAlignment="1" pivotButton="0" quotePrefix="0" xfId="0">
      <alignment horizontal="center" vertical="center" wrapText="1"/>
    </xf>
    <xf numFmtId="0" fontId="12" fillId="2" borderId="4" applyAlignment="1" pivotButton="0" quotePrefix="0" xfId="0">
      <alignment horizontal="center" wrapText="1"/>
    </xf>
    <xf numFmtId="0" fontId="0" fillId="0" borderId="0" pivotButton="0" quotePrefix="0" xfId="0"/>
    <xf numFmtId="0" fontId="9" fillId="0" borderId="8" applyAlignment="1" pivotButton="0" quotePrefix="0" xfId="0">
      <alignment horizontal="center" vertical="center"/>
    </xf>
    <xf numFmtId="2" fontId="0" fillId="2" borderId="6" applyAlignment="1" pivotButton="0" quotePrefix="0" xfId="0">
      <alignment horizontal="center" vertical="center" wrapText="1"/>
    </xf>
    <xf numFmtId="2" fontId="0" fillId="10" borderId="4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2" fontId="0" fillId="2" borderId="2" applyAlignment="1" pivotButton="0" quotePrefix="0" xfId="0">
      <alignment horizontal="center" vertical="center" wrapText="1"/>
    </xf>
    <xf numFmtId="2" fontId="0" fillId="2" borderId="4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wrapText="1"/>
    </xf>
    <xf numFmtId="2" fontId="0" fillId="2" borderId="8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2" fontId="15" fillId="2" borderId="4" applyAlignment="1" pivotButton="0" quotePrefix="0" xfId="0">
      <alignment horizontal="center" vertical="center" wrapText="1"/>
    </xf>
    <xf numFmtId="2" fontId="0" fillId="10" borderId="2" applyAlignment="1" pivotButton="0" quotePrefix="0" xfId="0">
      <alignment horizontal="center" vertical="center" wrapText="1"/>
    </xf>
    <xf numFmtId="2" fontId="15" fillId="10" borderId="4" applyAlignment="1" pivotButton="0" quotePrefix="0" xfId="0">
      <alignment horizontal="center" vertical="center" wrapText="1"/>
    </xf>
    <xf numFmtId="2" fontId="15" fillId="2" borderId="1" applyAlignment="1" pivotButton="0" quotePrefix="0" xfId="0">
      <alignment horizontal="center" vertical="center" wrapText="1"/>
    </xf>
    <xf numFmtId="0" fontId="13" fillId="0" borderId="9" applyAlignment="1" pivotButton="0" quotePrefix="0" xfId="0">
      <alignment horizontal="center" vertical="center"/>
    </xf>
    <xf numFmtId="0" fontId="0" fillId="2" borderId="15" applyAlignment="1" pivotButton="0" quotePrefix="0" xfId="0">
      <alignment horizontal="center" wrapText="1"/>
    </xf>
    <xf numFmtId="2" fontId="0" fillId="2" borderId="11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2" fontId="15" fillId="2" borderId="1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wrapText="1"/>
    </xf>
    <xf numFmtId="0" fontId="0" fillId="2" borderId="1" applyAlignment="1" pivotButton="0" quotePrefix="0" xfId="0">
      <alignment horizontal="center" wrapText="1"/>
    </xf>
    <xf numFmtId="0" fontId="15" fillId="2" borderId="1" applyAlignment="1" pivotButton="0" quotePrefix="0" xfId="0">
      <alignment horizontal="center" wrapText="1"/>
    </xf>
    <xf numFmtId="0" fontId="9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0" fillId="0" borderId="6" pivotButton="0" quotePrefix="0" xfId="0"/>
    <xf numFmtId="0" fontId="9" fillId="8" borderId="6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  <xf numFmtId="0" fontId="9" fillId="0" borderId="3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171" fontId="7" fillId="0" borderId="1" pivotButton="0" quotePrefix="0" xfId="0"/>
    <xf numFmtId="171" fontId="7" fillId="0" borderId="1" applyAlignment="1" pivotButton="0" quotePrefix="0" xfId="0">
      <alignment vertical="center"/>
    </xf>
    <xf numFmtId="171" fontId="17" fillId="0" borderId="1" pivotButton="0" quotePrefix="0" xfId="0"/>
    <xf numFmtId="171" fontId="17" fillId="0" borderId="1" applyAlignment="1" pivotButton="0" quotePrefix="0" xfId="0">
      <alignment vertical="center"/>
    </xf>
    <xf numFmtId="173" fontId="0" fillId="12" borderId="1" pivotButton="0" quotePrefix="0" xfId="0"/>
    <xf numFmtId="173" fontId="0" fillId="12" borderId="0" pivotButton="0" quotePrefix="0" xfId="0"/>
    <xf numFmtId="172" fontId="0" fillId="12" borderId="0" pivotButton="0" quotePrefix="0" xfId="0"/>
    <xf numFmtId="173" fontId="0" fillId="12" borderId="17" pivotButton="0" quotePrefix="0" xfId="0"/>
    <xf numFmtId="171" fontId="0" fillId="0" borderId="0" applyAlignment="1" pivotButton="0" quotePrefix="0" xfId="2">
      <alignment horizontal="center"/>
    </xf>
    <xf numFmtId="173" fontId="0" fillId="0" borderId="0" pivotButton="0" quotePrefix="0" xfId="0"/>
    <xf numFmtId="172" fontId="0" fillId="0" borderId="0" pivotButton="0" quotePrefix="0" xfId="0"/>
  </cellXfs>
  <cellStyles count="3">
    <cellStyle name="Обычный" xfId="0" builtinId="0"/>
    <cellStyle name="Процентный" xfId="1" builtinId="5"/>
    <cellStyle name="Финансовый" xfId="2" builtinId="3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defRPr sz="9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900" b="0" i="0" baseline="0"/>
              <a:t>Кредитная задолженность</a:t>
            </a:r>
            <a:r>
              <a:rPr lang="en-US" sz="900" b="0" i="0" baseline="0"/>
              <a:t> </a:t>
            </a:r>
            <a:r>
              <a:rPr lang="ru-RU" sz="900" b="0" i="0" baseline="0"/>
              <a:t>НФК перед банками и нерезидентами относительно ВВП</a:t>
            </a:r>
            <a:endParaRPr lang="ru-RU" sz="900"/>
          </a:p>
        </rich>
      </tx>
      <layout>
        <manualLayout>
          <xMode val="edge"/>
          <yMode val="edge"/>
          <wMode val="factor"/>
          <hMode val="factor"/>
          <x val="0.1381578348918963"/>
          <y val="0.0166667177021102"/>
        </manualLayout>
      </layout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Deviation_SD!$H$5</f>
              <strCache>
                <ptCount val="1"/>
                <pt idx="0">
                  <v>ggr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Deviation_SD!$H$22:$H$86</f>
              <numCache>
                <formatCode>0.00</formatCode>
                <ptCount val="65"/>
                <pt idx="0">
                  <v>0.273165415590969</v>
                </pt>
                <pt idx="1">
                  <v>0.2001233715041068</v>
                </pt>
                <pt idx="2">
                  <v>0.2199422159308477</v>
                </pt>
                <pt idx="3">
                  <v>0.3088096416448031</v>
                </pt>
                <pt idx="4">
                  <v>0.3319297678949081</v>
                </pt>
                <pt idx="5">
                  <v>0.4741882154737708</v>
                </pt>
                <pt idx="6">
                  <v>0.4440086133086552</v>
                </pt>
                <pt idx="7">
                  <v>0.434544006548428</v>
                </pt>
                <pt idx="8">
                  <v>0.2360440646079378</v>
                </pt>
                <pt idx="9">
                  <v>-0.2054538222977342</v>
                </pt>
                <pt idx="10">
                  <v>-0.3499661055550499</v>
                </pt>
                <pt idx="11">
                  <v>-0.362954766048083</v>
                </pt>
                <pt idx="12">
                  <v>-0.3700608094099565</v>
                </pt>
                <pt idx="13">
                  <v>-0.3857433371327225</v>
                </pt>
                <pt idx="14">
                  <v>-0.369227385415323</v>
                </pt>
                <pt idx="15">
                  <v>-0.261465840536627</v>
                </pt>
                <pt idx="16">
                  <v>-0.2264874626376351</v>
                </pt>
                <pt idx="17">
                  <v>-0.2272107389631527</v>
                </pt>
                <pt idx="18">
                  <v>-0.2992026473699494</v>
                </pt>
                <pt idx="19">
                  <v>-0.2840313724859392</v>
                </pt>
                <pt idx="20">
                  <v>0.08967620689702373</v>
                </pt>
                <pt idx="21">
                  <v>0.110690024369484</v>
                </pt>
                <pt idx="22">
                  <v>0.31568011138665</v>
                </pt>
                <pt idx="23">
                  <v>0.431297102190993</v>
                </pt>
                <pt idx="24">
                  <v>0.6548766894065456</v>
                </pt>
                <pt idx="25">
                  <v>0.5509333952503206</v>
                </pt>
                <pt idx="26">
                  <v>0.3550606226427828</v>
                </pt>
                <pt idx="27">
                  <v>0.1224437175711291</v>
                </pt>
                <pt idx="28">
                  <v>-0.04601969382639843</v>
                </pt>
                <pt idx="29">
                  <v>-0.0981178725824626</v>
                </pt>
                <pt idx="30">
                  <v>-0.05417384662014354</v>
                </pt>
                <pt idx="31">
                  <v>-0.04932005543087484</v>
                </pt>
                <pt idx="32">
                  <v>-0.07988258613043243</v>
                </pt>
                <pt idx="33">
                  <v>-0.1218895198229416</v>
                </pt>
                <pt idx="34">
                  <v>-0.1478743637437011</v>
                </pt>
                <pt idx="35">
                  <v>-0.1564908610865563</v>
                </pt>
                <pt idx="36">
                  <v>-0.2169996408621891</v>
                </pt>
                <pt idx="37">
                  <v>-0.2503899050509369</v>
                </pt>
                <pt idx="38">
                  <v>-0.2826356376967774</v>
                </pt>
                <pt idx="39">
                  <v>-0.2291203415564726</v>
                </pt>
                <pt idx="40">
                  <v>0.06470361887109173</v>
                </pt>
                <pt idx="41">
                  <v>0.2572866277486486</v>
                </pt>
                <pt idx="42">
                  <v>0.283054920471334</v>
                </pt>
                <pt idx="43">
                  <v>0.3617192430918739</v>
                </pt>
                <pt idx="44">
                  <v>0.2873227847827693</v>
                </pt>
                <pt idx="45">
                  <v>0.1273724813080772</v>
                </pt>
                <pt idx="46">
                  <v>0.04148198452168812</v>
                </pt>
                <pt idx="47">
                  <v>-0.07348495396889139</v>
                </pt>
                <pt idx="48">
                  <v>0.04052217915231583</v>
                </pt>
                <pt idx="49">
                  <v>0.04836588004128115</v>
                </pt>
                <pt idx="50">
                  <v>-0.1403866861621495</v>
                </pt>
                <pt idx="51">
                  <v>-0.1863886372071465</v>
                </pt>
                <pt idx="52">
                  <v>-0.08918282670240692</v>
                </pt>
                <pt idx="53">
                  <v>-0.09288822904504469</v>
                </pt>
                <pt idx="54">
                  <v>-0.02674358347296577</v>
                </pt>
                <pt idx="55">
                  <v>0.01736860604462782</v>
                </pt>
                <pt idx="56">
                  <v>0.01699494453703434</v>
                </pt>
                <pt idx="57">
                  <v>-0.03305063648922035</v>
                </pt>
                <pt idx="58">
                  <v>-0.1115015421283894</v>
                </pt>
                <pt idx="59">
                  <v>-0.1056341943784691</v>
                </pt>
                <pt idx="60">
                  <v>-0.06400566050042415</v>
                </pt>
                <pt idx="61">
                  <v>-0.06829547195310742</v>
                </pt>
                <pt idx="62">
                  <v>-0.09347303850748898</v>
                </pt>
                <pt idx="63">
                  <v>-0.08923285721809054</v>
                </pt>
                <pt idx="64">
                  <v>-0.07349859016786765</v>
                </pt>
              </numCache>
            </numRef>
          </val>
          <smooth val="0"/>
        </ser>
        <ser>
          <idx val="1"/>
          <order val="1"/>
          <tx>
            <strRef>
              <f>Deviation_SD!$I$5</f>
              <strCache>
                <ptCount val="1"/>
                <pt idx="0">
                  <v>ggr1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Deviation_SD!$I$22:$I$86</f>
              <numCache>
                <formatCode>0.00</formatCode>
                <ptCount val="65"/>
                <pt idx="0">
                  <v>0.3889486789141449</v>
                </pt>
                <pt idx="1">
                  <v>0.1285460878405128</v>
                </pt>
                <pt idx="2">
                  <v>0.03849592456704521</v>
                </pt>
                <pt idx="3">
                  <v>0.07041036631341317</v>
                </pt>
                <pt idx="4">
                  <v>0.07459511814619919</v>
                </pt>
                <pt idx="5">
                  <v>0.3478962774897519</v>
                </pt>
                <pt idx="6">
                  <v>0.2844285477450991</v>
                </pt>
                <pt idx="7">
                  <v>0.1596064525056377</v>
                </pt>
                <pt idx="8">
                  <v>-0.1217167395673566</v>
                </pt>
                <pt idx="9">
                  <v>-0.8627335470740924</v>
                </pt>
                <pt idx="10">
                  <v>-1.007866770187532</v>
                </pt>
                <pt idx="11">
                  <v>-1.012340182966636</v>
                </pt>
                <pt idx="12">
                  <v>-0.7693859102284588</v>
                </pt>
                <pt idx="13">
                  <v>-0.2288584342779421</v>
                </pt>
                <pt idx="14">
                  <v>-0.02445015371551653</v>
                </pt>
                <pt idx="15">
                  <v>0.1288294364226388</v>
                </pt>
                <pt idx="16">
                  <v>0.1822511496380203</v>
                </pt>
                <pt idx="17">
                  <v>0.2012403340943533</v>
                </pt>
                <pt idx="18">
                  <v>0.08888898461152864</v>
                </pt>
                <pt idx="19">
                  <v>-0.02864455159965998</v>
                </pt>
                <pt idx="20">
                  <v>0.4013362754428394</v>
                </pt>
                <pt idx="21">
                  <v>0.4289292125967895</v>
                </pt>
                <pt idx="22">
                  <v>0.7805285047349165</v>
                </pt>
                <pt idx="23">
                  <v>0.9080336971277975</v>
                </pt>
                <pt idx="24">
                  <v>0.717462119739222</v>
                </pt>
                <pt idx="25">
                  <v>0.5588423079026376</v>
                </pt>
                <pt idx="26">
                  <v>0.04998938599059563</v>
                </pt>
                <pt idx="27">
                  <v>-0.3920566433951473</v>
                </pt>
                <pt idx="28">
                  <v>-0.8897136863703764</v>
                </pt>
                <pt idx="29">
                  <v>-0.8239018062602116</v>
                </pt>
                <pt idx="30">
                  <v>-0.5194797932303397</v>
                </pt>
                <pt idx="31">
                  <v>-0.2180359084713771</v>
                </pt>
                <pt idx="32">
                  <v>-0.04298535341845523</v>
                </pt>
                <pt idx="33">
                  <v>-0.03017558715293523</v>
                </pt>
                <pt idx="34">
                  <v>-0.1189428772913269</v>
                </pt>
                <pt idx="35">
                  <v>-0.136041981171858</v>
                </pt>
                <pt idx="36">
                  <v>-0.1740555710487875</v>
                </pt>
                <pt idx="37">
                  <v>-0.1631176221995368</v>
                </pt>
                <pt idx="38">
                  <v>-0.1710651569861377</v>
                </pt>
                <pt idx="39">
                  <v>-0.09219542910179071</v>
                </pt>
                <pt idx="40">
                  <v>0.3575924368788616</v>
                </pt>
                <pt idx="41">
                  <v>0.6444415612439132</v>
                </pt>
                <pt idx="42">
                  <v>0.7180842188557744</v>
                </pt>
                <pt idx="43">
                  <v>0.7500082429963295</v>
                </pt>
                <pt idx="44">
                  <v>0.2825914407581542</v>
                </pt>
                <pt idx="45">
                  <v>-0.1649122422463498</v>
                </pt>
                <pt idx="46">
                  <v>-0.3066512433402608</v>
                </pt>
                <pt idx="47">
                  <v>-0.5524456107260355</v>
                </pt>
                <pt idx="48">
                  <v>-0.3132872160376576</v>
                </pt>
                <pt idx="49">
                  <v>-0.1002905081867337</v>
                </pt>
                <pt idx="50">
                  <v>-0.23086300528907</v>
                </pt>
                <pt idx="51">
                  <v>-0.143319261764996</v>
                </pt>
                <pt idx="52">
                  <v>-0.164646760434692</v>
                </pt>
                <pt idx="53">
                  <v>-0.1793071231591585</v>
                </pt>
                <pt idx="54">
                  <v>0.144257876403618</v>
                </pt>
                <pt idx="55">
                  <v>0.2586482286896765</v>
                </pt>
                <pt idx="56">
                  <v>0.1347814292096829</v>
                </pt>
                <pt idx="57">
                  <v>0.07595748291752451</v>
                </pt>
                <pt idx="58">
                  <v>-0.1075912469354006</v>
                </pt>
                <pt idx="59">
                  <v>-0.1561390208543016</v>
                </pt>
                <pt idx="60">
                  <v>-0.1028216846742614</v>
                </pt>
                <pt idx="61">
                  <v>-0.04473958381901155</v>
                </pt>
                <pt idx="62">
                  <v>0.02288527491368432</v>
                </pt>
                <pt idx="63">
                  <v>0.0208197595185963</v>
                </pt>
                <pt idx="64">
                  <v>-0.01205026827206331</v>
                </pt>
              </numCache>
            </numRef>
          </val>
          <smooth val="0"/>
        </ser>
        <ser>
          <idx val="2"/>
          <order val="2"/>
          <tx>
            <strRef>
              <f>Deviation_SD!$J$5</f>
              <strCache>
                <ptCount val="1"/>
                <pt idx="0">
                  <v>ggr2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Deviation_SD!$J$22:$J$86</f>
              <numCache>
                <formatCode>0.00</formatCode>
                <ptCount val="65"/>
                <pt idx="0">
                  <v>0.2629926777783581</v>
                </pt>
                <pt idx="1">
                  <v>0.2488727826618574</v>
                </pt>
                <pt idx="2">
                  <v>0.3517537975799684</v>
                </pt>
                <pt idx="3">
                  <v>0.4301356195175726</v>
                </pt>
                <pt idx="4">
                  <v>0.3062233798702883</v>
                </pt>
                <pt idx="5">
                  <v>0.3147443506958099</v>
                </pt>
                <pt idx="6">
                  <v>0.2133283283723481</v>
                </pt>
                <pt idx="7">
                  <v>0.1519522602448115</v>
                </pt>
                <pt idx="8">
                  <v>-0.03112918837025565</v>
                </pt>
                <pt idx="9">
                  <v>-0.3401085502062797</v>
                </pt>
                <pt idx="10">
                  <v>-0.4779131961393415</v>
                </pt>
                <pt idx="11">
                  <v>-0.5633275792431172</v>
                </pt>
                <pt idx="12">
                  <v>-0.5886746127601</v>
                </pt>
                <pt idx="13">
                  <v>-0.7211206105847413</v>
                </pt>
                <pt idx="14">
                  <v>-0.6819626959515508</v>
                </pt>
                <pt idx="15">
                  <v>-0.5836592975122999</v>
                </pt>
                <pt idx="16">
                  <v>-0.3878692627698586</v>
                </pt>
                <pt idx="17">
                  <v>-0.01824489516945007</v>
                </pt>
                <pt idx="18">
                  <v>0.04256917408237476</v>
                </pt>
                <pt idx="19">
                  <v>0.06618350679475135</v>
                </pt>
                <pt idx="20">
                  <v>0.3855258443568285</v>
                </pt>
                <pt idx="21">
                  <v>0.4162986317643854</v>
                </pt>
                <pt idx="22">
                  <v>0.5743490988217241</v>
                </pt>
                <pt idx="23">
                  <v>0.5809365114421216</v>
                </pt>
                <pt idx="24">
                  <v>0.7390935401116054</v>
                </pt>
                <pt idx="25">
                  <v>0.6525353924810942</v>
                </pt>
                <pt idx="26">
                  <v>0.5486514913014815</v>
                </pt>
                <pt idx="27">
                  <v>0.3408615072222755</v>
                </pt>
                <pt idx="28">
                  <v>-0.1137917436415994</v>
                </pt>
                <pt idx="29">
                  <v>-0.1751019342045323</v>
                </pt>
                <pt idx="30">
                  <v>-0.3101517919846453</v>
                </pt>
                <pt idx="31">
                  <v>-0.40303549405912</v>
                </pt>
                <pt idx="32">
                  <v>-0.6161537575892257</v>
                </pt>
                <pt idx="33">
                  <v>-0.564215221388741</v>
                </pt>
                <pt idx="34">
                  <v>-0.4217507583808959</v>
                </pt>
                <pt idx="35">
                  <v>-0.233908702460267</v>
                </pt>
                <pt idx="36">
                  <v>-0.143380206750731</v>
                </pt>
                <pt idx="37">
                  <v>-0.1276921409568204</v>
                </pt>
                <pt idx="38">
                  <v>-0.1915832786657324</v>
                </pt>
                <pt idx="39">
                  <v>-0.1507767585934062</v>
                </pt>
                <pt idx="40">
                  <v>0.1212469668275344</v>
                </pt>
                <pt idx="41">
                  <v>0.3179691851371317</v>
                </pt>
                <pt idx="42">
                  <v>0.3613682828709885</v>
                </pt>
                <pt idx="43">
                  <v>0.4345601526117444</v>
                </pt>
                <pt idx="44">
                  <v>0.4229142359183671</v>
                </pt>
                <pt idx="45">
                  <v>0.3167836345595959</v>
                </pt>
                <pt idx="46">
                  <v>0.2717982575787736</v>
                </pt>
                <pt idx="47">
                  <v>0.1305125801996324</v>
                </pt>
                <pt idx="48">
                  <v>-0.02027804948192352</v>
                </pt>
                <pt idx="49">
                  <v>-0.1751965684872347</v>
                </pt>
                <pt idx="50">
                  <v>-0.3550892730903799</v>
                </pt>
                <pt idx="51">
                  <v>-0.4596318022167121</v>
                </pt>
                <pt idx="52">
                  <v>-0.3157297294416331</v>
                </pt>
                <pt idx="53">
                  <v>-0.18470602393439</v>
                </pt>
                <pt idx="54">
                  <v>-0.05721253406817264</v>
                </pt>
                <pt idx="55">
                  <v>0.07618789480646823</v>
                </pt>
                <pt idx="56">
                  <v>-0.01972944676784748</v>
                </pt>
                <pt idx="57">
                  <v>-0.06827418756086076</v>
                </pt>
                <pt idx="58">
                  <v>0.02422247752081849</v>
                </pt>
                <pt idx="59">
                  <v>0.06771898640483347</v>
                </pt>
                <pt idx="60">
                  <v>0.02111304488053301</v>
                </pt>
                <pt idx="61">
                  <v>0.0206229716264584</v>
                </pt>
                <pt idx="62">
                  <v>-0.05595792503790384</v>
                </pt>
                <pt idx="63">
                  <v>-0.08939375703128245</v>
                </pt>
                <pt idx="64">
                  <v>-0.0758859851142502</v>
                </pt>
              </numCache>
            </numRef>
          </val>
          <smooth val="0"/>
        </ser>
        <ser>
          <idx val="3"/>
          <order val="3"/>
          <tx>
            <strRef>
              <f>Deviation_SD!$K$5</f>
              <strCache>
                <ptCount val="1"/>
                <pt idx="0">
                  <v>ggr_av2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Deviation_SD!$K$22:$K$86</f>
              <numCache>
                <formatCode>0.00</formatCode>
                <ptCount val="65"/>
                <pt idx="0">
                  <v>0.3784184530405894</v>
                </pt>
                <pt idx="1">
                  <v>0.2251819219667082</v>
                </pt>
                <pt idx="2">
                  <v>0.2015931261174141</v>
                </pt>
                <pt idx="3">
                  <v>0.2513336468693937</v>
                </pt>
                <pt idx="4">
                  <v>0.195364789576617</v>
                </pt>
                <pt idx="5">
                  <v>0.3272605494997712</v>
                </pt>
                <pt idx="6">
                  <v>0.2220086571232971</v>
                </pt>
                <pt idx="7">
                  <v>0.1656751862864993</v>
                </pt>
                <pt idx="8">
                  <v>-0.1362406170678495</v>
                </pt>
                <pt idx="9">
                  <v>-0.7326418363406066</v>
                </pt>
                <pt idx="10">
                  <v>-0.8607189150172212</v>
                </pt>
                <pt idx="11">
                  <v>-0.7811957708968473</v>
                </pt>
                <pt idx="12">
                  <v>-0.676259806258946</v>
                </pt>
                <pt idx="13">
                  <v>-0.5778743958643799</v>
                </pt>
                <pt idx="14">
                  <v>-0.4085786297670114</v>
                </pt>
                <pt idx="15">
                  <v>-0.122682377393991</v>
                </pt>
                <pt idx="16">
                  <v>0.04384503966334573</v>
                </pt>
                <pt idx="17">
                  <v>0.1217890282028893</v>
                </pt>
                <pt idx="18">
                  <v>0.02721800703776374</v>
                </pt>
                <pt idx="19">
                  <v>0.03926710924416889</v>
                </pt>
                <pt idx="20">
                  <v>0.535986970241291</v>
                </pt>
                <pt idx="21">
                  <v>0.4862206564640315</v>
                </pt>
                <pt idx="22">
                  <v>0.6813577721794009</v>
                </pt>
                <pt idx="23">
                  <v>0.7223188340377517</v>
                </pt>
                <pt idx="24">
                  <v>0.9093306506631493</v>
                </pt>
                <pt idx="25">
                  <v>0.6170209718783976</v>
                </pt>
                <pt idx="26">
                  <v>0.2168231111318819</v>
                </pt>
                <pt idx="27">
                  <v>-0.212397718816316</v>
                </pt>
                <pt idx="28">
                  <v>-0.5117504793981309</v>
                </pt>
                <pt idx="29">
                  <v>-0.5597186539016035</v>
                </pt>
                <pt idx="30">
                  <v>-0.4640927109886867</v>
                </pt>
                <pt idx="31">
                  <v>-0.394350379185357</v>
                </pt>
                <pt idx="32">
                  <v>-0.3540568212344415</v>
                </pt>
                <pt idx="33">
                  <v>-0.2860176673492771</v>
                </pt>
                <pt idx="34">
                  <v>-0.2066745383731563</v>
                </pt>
                <pt idx="35">
                  <v>-0.1326115447936076</v>
                </pt>
                <pt idx="36">
                  <v>-0.1676181248596792</v>
                </pt>
                <pt idx="37">
                  <v>-0.1840248698197271</v>
                </pt>
                <pt idx="38">
                  <v>-0.2020616143086113</v>
                </pt>
                <pt idx="39">
                  <v>-0.09001495199334646</v>
                </pt>
                <pt idx="40">
                  <v>0.3417986550407212</v>
                </pt>
                <pt idx="41">
                  <v>0.5800405662866656</v>
                </pt>
                <pt idx="42">
                  <v>0.5505128782992463</v>
                </pt>
                <pt idx="43">
                  <v>0.5843675030383528</v>
                </pt>
                <pt idx="44">
                  <v>0.3943679281989095</v>
                </pt>
                <pt idx="45">
                  <v>0.0899395886713803</v>
                </pt>
                <pt idx="46">
                  <v>-0.09178420195391036</v>
                </pt>
                <pt idx="47">
                  <v>-0.3040488286251883</v>
                </pt>
                <pt idx="48">
                  <v>-0.1749648065131114</v>
                </pt>
                <pt idx="49">
                  <v>-0.1601299471921418</v>
                </pt>
                <pt idx="50">
                  <v>-0.3821637651555016</v>
                </pt>
                <pt idx="51">
                  <v>-0.372705269979262</v>
                </pt>
                <pt idx="52">
                  <v>-0.1464641259211835</v>
                </pt>
                <pt idx="53">
                  <v>-0.08727175463723737</v>
                </pt>
                <pt idx="54">
                  <v>0.04061706244878351</v>
                </pt>
                <pt idx="55">
                  <v>0.1124820857947278</v>
                </pt>
                <pt idx="56">
                  <v>0.09646772085196247</v>
                </pt>
                <pt idx="57">
                  <v>0.03216008599216275</v>
                </pt>
                <pt idx="58">
                  <v>-0.06104784047791353</v>
                </pt>
                <pt idx="59">
                  <v>-0.05796697133833435</v>
                </pt>
                <pt idx="60">
                  <v>-0.0149162214843465</v>
                </pt>
                <pt idx="61">
                  <v>-0.02506920762910364</v>
                </pt>
                <pt idx="62">
                  <v>-0.06363857354666584</v>
                </pt>
                <pt idx="63">
                  <v>-0.04646240834641856</v>
                </pt>
                <pt idx="64">
                  <v>-0.006790243540843678</v>
                </pt>
              </numCache>
            </numRef>
          </val>
          <smooth val="0"/>
        </ser>
        <ser>
          <idx val="4"/>
          <order val="4"/>
          <tx>
            <strRef>
              <f>Deviation_SD!$L$5</f>
              <strCache>
                <ptCount val="1"/>
                <pt idx="0">
                  <v>ggr_av3</v>
                </pt>
              </strCache>
            </strRef>
          </tx>
          <spPr>
            <a:ln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Deviation_SD!$L$22:$L$86</f>
              <numCache>
                <formatCode>0.00</formatCode>
                <ptCount val="65"/>
                <pt idx="0">
                  <v>0.3299228769813881</v>
                </pt>
                <pt idx="1">
                  <v>0.2169590261050045</v>
                </pt>
                <pt idx="2">
                  <v>0.2142411254049471</v>
                </pt>
                <pt idx="3">
                  <v>0.2838076142292919</v>
                </pt>
                <pt idx="4">
                  <v>0.2754211599350133</v>
                </pt>
                <pt idx="5">
                  <v>0.3974172625682042</v>
                </pt>
                <pt idx="6">
                  <v>0.3121392501845898</v>
                </pt>
                <pt idx="7">
                  <v>0.2429382554742584</v>
                </pt>
                <pt idx="8">
                  <v>-0.03315685822716016</v>
                </pt>
                <pt idx="9">
                  <v>-0.5420155087718286</v>
                </pt>
                <pt idx="10">
                  <v>-0.6727053988601054</v>
                </pt>
                <pt idx="11">
                  <v>-0.6376327828587005</v>
                </pt>
                <pt idx="12">
                  <v>-0.5890960996960898</v>
                </pt>
                <pt idx="13">
                  <v>-0.5475049002280349</v>
                </pt>
                <pt idx="14">
                  <v>-0.4758404038710793</v>
                </pt>
                <pt idx="15">
                  <v>-0.3037936387114085</v>
                </pt>
                <pt idx="16">
                  <v>-0.2133041755007034</v>
                </pt>
                <pt idx="17">
                  <v>-0.1630570199512491</v>
                </pt>
                <pt idx="18">
                  <v>-0.1779102088202654</v>
                </pt>
                <pt idx="19">
                  <v>-0.09333897679820215</v>
                </pt>
                <pt idx="20">
                  <v>0.3822317930972019</v>
                </pt>
                <pt idx="21">
                  <v>0.4186585751032619</v>
                </pt>
                <pt idx="22">
                  <v>0.6146004840674629</v>
                </pt>
                <pt idx="23">
                  <v>0.6805705928862142</v>
                </pt>
                <pt idx="24">
                  <v>0.853201877475136</v>
                </pt>
                <pt idx="25">
                  <v>0.6455129964078824</v>
                </pt>
                <pt idx="26">
                  <v>0.3450608479304731</v>
                </pt>
                <pt idx="27">
                  <v>0.02371960284936609</v>
                </pt>
                <pt idx="28">
                  <v>-0.1961452580415171</v>
                </pt>
                <pt idx="29">
                  <v>-0.2697829215092594</v>
                </pt>
                <pt idx="30">
                  <v>-0.2333833976157309</v>
                </pt>
                <pt idx="31">
                  <v>-0.2504557690221125</v>
                </pt>
                <pt idx="32">
                  <v>-0.3054305816769286</v>
                </pt>
                <pt idx="33">
                  <v>-0.3360067884139774</v>
                </pt>
                <pt idx="34">
                  <v>-0.3432493549031822</v>
                </pt>
                <pt idx="35">
                  <v>-0.3103303228540895</v>
                </pt>
                <pt idx="36">
                  <v>-0.3229728119895653</v>
                </pt>
                <pt idx="37">
                  <v>-0.2799048056275873</v>
                </pt>
                <pt idx="38">
                  <v>-0.2420301387491852</v>
                </pt>
                <pt idx="39">
                  <v>-0.1250465391305479</v>
                </pt>
                <pt idx="40">
                  <v>0.2293603658800692</v>
                </pt>
                <pt idx="41">
                  <v>0.4304697425147838</v>
                </pt>
                <pt idx="42">
                  <v>0.4262483413758011</v>
                </pt>
                <pt idx="43">
                  <v>0.4817058863839661</v>
                </pt>
                <pt idx="44">
                  <v>0.3625362261101715</v>
                </pt>
                <pt idx="45">
                  <v>0.1535355447300785</v>
                </pt>
                <pt idx="46">
                  <v>0.03654571619685554</v>
                </pt>
                <pt idx="47">
                  <v>-0.1068603605619623</v>
                </pt>
                <pt idx="48">
                  <v>0.01059851825248113</v>
                </pt>
                <pt idx="49">
                  <v>-0.004336334930081896</v>
                </pt>
                <pt idx="50">
                  <v>-0.238671605665377</v>
                </pt>
                <pt idx="51">
                  <v>-0.302129501770388</v>
                </pt>
                <pt idx="52">
                  <v>-0.199417577285508</v>
                </pt>
                <pt idx="53">
                  <v>-0.1894162204811193</v>
                </pt>
                <pt idx="54">
                  <v>-0.0848604812689617</v>
                </pt>
                <pt idx="55">
                  <v>-0.008160953958483362</v>
                </pt>
                <pt idx="56">
                  <v>0.0229035486602524</v>
                </pt>
                <pt idx="57">
                  <v>-0.007279146862524447</v>
                </pt>
                <pt idx="58">
                  <v>-0.07866300434440751</v>
                </pt>
                <pt idx="59">
                  <v>-0.05824455187445868</v>
                </pt>
                <pt idx="60">
                  <v>-0.009646861633998405</v>
                </pt>
                <pt idx="61">
                  <v>-0.004797975160519934</v>
                </pt>
                <pt idx="62">
                  <v>-0.02175025712608146</v>
                </pt>
                <pt idx="63">
                  <v>-0.02138752566937381</v>
                </pt>
                <pt idx="64">
                  <v>-0.01301003476874764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27117416"/>
        <axId val="727118400"/>
      </lineChart>
      <dateAx>
        <axId val="727117416"/>
        <scaling>
          <orientation val="minMax"/>
        </scaling>
        <delete val="0"/>
        <axPos val="b"/>
        <numFmt formatCode="yyyy\-mm\-dd" sourceLinked="1"/>
        <majorTickMark val="none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7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27118400"/>
        <crosses val="autoZero"/>
        <lblOffset val="100"/>
        <baseTimeUnit val="months"/>
      </dateAx>
      <valAx>
        <axId val="727118400"/>
        <scaling>
          <orientation val="minMax"/>
          <max val="1"/>
          <min val="-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7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27117416"/>
        <crosses val="autoZero"/>
        <crossBetween val="between"/>
        <majorUnit val="1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7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solidFill>
      <a:schemeClr val="bg1"/>
    </a:solidFill>
    <a:ln w="9525" cap="flat" cmpd="sng" algn="ctr">
      <a:noFill/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defRPr sz="9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900" b="0" i="0" baseline="0"/>
              <a:t>Кредитная задолженность</a:t>
            </a:r>
            <a:r>
              <a:rPr lang="en-US" sz="900" b="0" i="0" baseline="0"/>
              <a:t> </a:t>
            </a:r>
            <a:r>
              <a:rPr lang="ru-RU" sz="900" b="0" i="0" baseline="0"/>
              <a:t>ДХ перед банками и нерезидентами относительно ВВП</a:t>
            </a:r>
            <a:endParaRPr lang="ru-RU" sz="900"/>
          </a:p>
        </rich>
      </tx>
      <layout>
        <manualLayout>
          <xMode val="edge"/>
          <yMode val="edge"/>
          <wMode val="factor"/>
          <hMode val="factor"/>
          <x val="0.1205109446452318"/>
          <y val="0.02210473489990074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059010625747742"/>
          <y val="0.2282363227943009"/>
          <w val="0.8455695481382361"/>
          <h val="0.4614546999163306"/>
        </manualLayout>
      </layout>
      <lineChart>
        <grouping val="standard"/>
        <varyColors val="0"/>
        <ser>
          <idx val="0"/>
          <order val="0"/>
          <tx>
            <strRef>
              <f>Deviation_SD!$Z$5</f>
              <strCache>
                <ptCount val="1"/>
                <pt idx="0">
                  <v>l_gdp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Deviation_SD!$Z$22:$Z$86</f>
              <numCache>
                <formatCode>0.00</formatCode>
                <ptCount val="65"/>
                <pt idx="0">
                  <v>0.396620539112048</v>
                </pt>
                <pt idx="1">
                  <v>0.4881095204829705</v>
                </pt>
                <pt idx="2">
                  <v>0.617241420258278</v>
                </pt>
                <pt idx="3">
                  <v>0.8151577838317388</v>
                </pt>
                <pt idx="4">
                  <v>0.958937957192724</v>
                </pt>
                <pt idx="5">
                  <v>0.8661895368210552</v>
                </pt>
                <pt idx="6">
                  <v>0.6270750213122757</v>
                </pt>
                <pt idx="7">
                  <v>0.130699086061371</v>
                </pt>
                <pt idx="8">
                  <v>-0.2445922039418602</v>
                </pt>
                <pt idx="9">
                  <v>-0.5951539255181768</v>
                </pt>
                <pt idx="10">
                  <v>-0.6880728581897469</v>
                </pt>
                <pt idx="11">
                  <v>-0.6321202685846486</v>
                </pt>
                <pt idx="12">
                  <v>-0.5375965699178451</v>
                </pt>
                <pt idx="13">
                  <v>-0.427004507266336</v>
                </pt>
                <pt idx="14">
                  <v>-0.3046629037426613</v>
                </pt>
                <pt idx="15">
                  <v>-0.1608349896608718</v>
                </pt>
                <pt idx="16">
                  <v>-0.1124330098380203</v>
                </pt>
                <pt idx="17">
                  <v>-0.09546248762565938</v>
                </pt>
                <pt idx="18">
                  <v>-0.1092827816163027</v>
                </pt>
                <pt idx="19">
                  <v>-0.08895400944186876</v>
                </pt>
                <pt idx="20">
                  <v>-0.08934598757114914</v>
                </pt>
                <pt idx="21">
                  <v>-0.1153991921834315</v>
                </pt>
                <pt idx="22">
                  <v>-0.09845820072668553</v>
                </pt>
                <pt idx="23">
                  <v>-0.07419093664245224</v>
                </pt>
                <pt idx="24">
                  <v>-0.08846559800443241</v>
                </pt>
                <pt idx="25">
                  <v>-0.1429708651771146</v>
                </pt>
                <pt idx="26">
                  <v>-0.1830479421655527</v>
                </pt>
                <pt idx="27">
                  <v>-0.1832240026287529</v>
                </pt>
                <pt idx="28">
                  <v>-0.1865561850615625</v>
                </pt>
                <pt idx="29">
                  <v>-0.1852710210210616</v>
                </pt>
                <pt idx="30">
                  <v>-0.1291141177893557</v>
                </pt>
                <pt idx="31">
                  <v>-0.05826111834262134</v>
                </pt>
                <pt idx="32">
                  <v>-0.01075483551083137</v>
                </pt>
                <pt idx="33">
                  <v>0.01530436928040973</v>
                </pt>
                <pt idx="34">
                  <v>0.05681193635057858</v>
                </pt>
                <pt idx="35">
                  <v>0.1184103835462238</v>
                </pt>
                <pt idx="36">
                  <v>0.1569620552447181</v>
                </pt>
                <pt idx="37">
                  <v>0.1797081199954594</v>
                </pt>
                <pt idx="38">
                  <v>0.2306613798794803</v>
                </pt>
                <pt idx="39">
                  <v>0.3116822578496407</v>
                </pt>
                <pt idx="40">
                  <v>0.3765910983973459</v>
                </pt>
                <pt idx="41">
                  <v>0.4144956586413693</v>
                </pt>
                <pt idx="42">
                  <v>0.3872438538155614</v>
                </pt>
                <pt idx="43">
                  <v>0.3214304609062576</v>
                </pt>
                <pt idx="44">
                  <v>0.2153054805891479</v>
                </pt>
                <pt idx="45">
                  <v>0.06639726846142971</v>
                </pt>
                <pt idx="46">
                  <v>-0.01606021570044654</v>
                </pt>
                <pt idx="47">
                  <v>-0.09576761556134059</v>
                </pt>
                <pt idx="48">
                  <v>-0.1784620018274969</v>
                </pt>
                <pt idx="49">
                  <v>-0.2332137481999219</v>
                </pt>
                <pt idx="50">
                  <v>-0.3000888071980496</v>
                </pt>
                <pt idx="51">
                  <v>-0.2775067847614531</v>
                </pt>
                <pt idx="52">
                  <v>-0.253190195187034</v>
                </pt>
                <pt idx="53">
                  <v>-0.2471309571386249</v>
                </pt>
                <pt idx="54">
                  <v>-0.1828696413513995</v>
                </pt>
                <pt idx="55">
                  <v>-0.1230019687493231</v>
                </pt>
                <pt idx="56">
                  <v>-0.08637639550916516</v>
                </pt>
                <pt idx="57">
                  <v>-0.0582622081818873</v>
                </pt>
                <pt idx="58">
                  <v>0.01004307912600939</v>
                </pt>
                <pt idx="59">
                  <v>0.1018883644868568</v>
                </pt>
                <pt idx="60">
                  <v>0.1765489946694778</v>
                </pt>
                <pt idx="61">
                  <v>0.1917585975386667</v>
                </pt>
                <pt idx="62">
                  <v>0.1832772155658511</v>
                </pt>
                <pt idx="63">
                  <v>0.1766575471026747</v>
                </pt>
                <pt idx="64">
                  <v>0.1654813139771387</v>
                </pt>
              </numCache>
            </numRef>
          </val>
          <smooth val="0"/>
        </ser>
        <ser>
          <idx val="1"/>
          <order val="1"/>
          <tx>
            <strRef>
              <f>Deviation_SD!$AA$5</f>
              <strCache>
                <ptCount val="1"/>
                <pt idx="0">
                  <v>l_gdp1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Deviation_SD!$AA$22:$AA$86</f>
              <numCache>
                <formatCode>0.00</formatCode>
                <ptCount val="65"/>
                <pt idx="0">
                  <v>0.2761808529932082</v>
                </pt>
                <pt idx="1">
                  <v>0.2755560451440645</v>
                </pt>
                <pt idx="2">
                  <v>0.3882011036385324</v>
                </pt>
                <pt idx="3">
                  <v>0.548288649502702</v>
                </pt>
                <pt idx="4">
                  <v>0.6028474113660517</v>
                </pt>
                <pt idx="5">
                  <v>0.4053307825971494</v>
                </pt>
                <pt idx="6">
                  <v>0.01054237473212758</v>
                </pt>
                <pt idx="7">
                  <v>-0.7337922334795</v>
                </pt>
                <pt idx="8">
                  <v>-1.290276663698966</v>
                </pt>
                <pt idx="9">
                  <v>-1.566672301197535</v>
                </pt>
                <pt idx="10">
                  <v>-1.409939420741184</v>
                </pt>
                <pt idx="11">
                  <v>-0.8178008692277395</v>
                </pt>
                <pt idx="12">
                  <v>-0.3141231586787367</v>
                </pt>
                <pt idx="13">
                  <v>0.1802690762484729</v>
                </pt>
                <pt idx="14">
                  <v>0.411044885145706</v>
                </pt>
                <pt idx="15">
                  <v>0.5052539744969534</v>
                </pt>
                <pt idx="16">
                  <v>0.455807953586322</v>
                </pt>
                <pt idx="17">
                  <v>0.3554384798921153</v>
                </pt>
                <pt idx="18">
                  <v>0.2094624798539669</v>
                </pt>
                <pt idx="19">
                  <v>0.07706192527236151</v>
                </pt>
                <pt idx="20">
                  <v>0.02475105903217253</v>
                </pt>
                <pt idx="21">
                  <v>-0.02137367676577703</v>
                </pt>
                <pt idx="22">
                  <v>0.01160478114069714</v>
                </pt>
                <pt idx="23">
                  <v>0.01582714661643284</v>
                </pt>
                <pt idx="24">
                  <v>0.0009438451561760519</v>
                </pt>
                <pt idx="25">
                  <v>-0.02955894865929344</v>
                </pt>
                <pt idx="26">
                  <v>-0.09068669227533777</v>
                </pt>
                <pt idx="27">
                  <v>-0.1168918114034214</v>
                </pt>
                <pt idx="28">
                  <v>-0.1051606345195647</v>
                </pt>
                <pt idx="29">
                  <v>-0.04534901219660502</v>
                </pt>
                <pt idx="30">
                  <v>0.05782119736080599</v>
                </pt>
                <pt idx="31">
                  <v>0.1339697987052603</v>
                </pt>
                <pt idx="32">
                  <v>0.1884725336324394</v>
                </pt>
                <pt idx="33">
                  <v>0.2150322059019512</v>
                </pt>
                <pt idx="34">
                  <v>0.1993269936868341</v>
                </pt>
                <pt idx="35">
                  <v>0.189405403694186</v>
                </pt>
                <pt idx="36">
                  <v>0.1798053735903302</v>
                </pt>
                <pt idx="37">
                  <v>0.1762534332934676</v>
                </pt>
                <pt idx="38">
                  <v>0.1863799406330868</v>
                </pt>
                <pt idx="39">
                  <v>0.2072022764497818</v>
                </pt>
                <pt idx="40">
                  <v>0.2354591834933498</v>
                </pt>
                <pt idx="41">
                  <v>0.2517102535731637</v>
                </pt>
                <pt idx="42">
                  <v>0.1678684245632167</v>
                </pt>
                <pt idx="43">
                  <v>0.01045082152747586</v>
                </pt>
                <pt idx="44">
                  <v>-0.1729105556041958</v>
                </pt>
                <pt idx="45">
                  <v>-0.3731881792616979</v>
                </pt>
                <pt idx="46">
                  <v>-0.4323729027121074</v>
                </pt>
                <pt idx="47">
                  <v>-0.4472683440677341</v>
                </pt>
                <pt idx="48">
                  <v>-0.4221489497253032</v>
                </pt>
                <pt idx="49">
                  <v>-0.3212059950544395</v>
                </pt>
                <pt idx="50">
                  <v>-0.304500439845365</v>
                </pt>
                <pt idx="51">
                  <v>-0.1948383318270001</v>
                </pt>
                <pt idx="52">
                  <v>-0.08011435618804792</v>
                </pt>
                <pt idx="53">
                  <v>-0.01492031566579331</v>
                </pt>
                <pt idx="54">
                  <v>0.125667938464966</v>
                </pt>
                <pt idx="55">
                  <v>0.1656410158775082</v>
                </pt>
                <pt idx="56">
                  <v>0.178837190672814</v>
                </pt>
                <pt idx="57">
                  <v>0.2024817882845282</v>
                </pt>
                <pt idx="58">
                  <v>0.206817235995175</v>
                </pt>
                <pt idx="59">
                  <v>0.2410996900921693</v>
                </pt>
                <pt idx="60">
                  <v>0.2818761890617149</v>
                </pt>
                <pt idx="61">
                  <v>0.2680414845244327</v>
                </pt>
                <pt idx="62">
                  <v>0.1857202842292337</v>
                </pt>
                <pt idx="63">
                  <v>0.08015829981534479</v>
                </pt>
                <pt idx="64">
                  <v>-0.01186540277904996</v>
                </pt>
              </numCache>
            </numRef>
          </val>
          <smooth val="0"/>
        </ser>
        <ser>
          <idx val="2"/>
          <order val="2"/>
          <tx>
            <strRef>
              <f>Deviation_SD!$AB$5</f>
              <strCache>
                <ptCount val="1"/>
                <pt idx="0">
                  <v>l_gdp2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Deviation_SD!$AB$22:$AB$86</f>
              <numCache>
                <formatCode>0.00</formatCode>
                <ptCount val="65"/>
                <pt idx="0">
                  <v>0.3606185356293367</v>
                </pt>
                <pt idx="1">
                  <v>0.4284099073179261</v>
                </pt>
                <pt idx="2">
                  <v>0.4930604590796935</v>
                </pt>
                <pt idx="3">
                  <v>0.5575709712216506</v>
                </pt>
                <pt idx="4">
                  <v>0.5610773010106131</v>
                </pt>
                <pt idx="5">
                  <v>0.4346050736846186</v>
                </pt>
                <pt idx="6">
                  <v>0.2545150408819581</v>
                </pt>
                <pt idx="7">
                  <v>-0.1184055785752971</v>
                </pt>
                <pt idx="8">
                  <v>-0.4387810553689531</v>
                </pt>
                <pt idx="9">
                  <v>-0.7412757828473654</v>
                </pt>
                <pt idx="10">
                  <v>-0.8932248818976385</v>
                </pt>
                <pt idx="11">
                  <v>-0.9903705098359163</v>
                </pt>
                <pt idx="12">
                  <v>-1.024076652117387</v>
                </pt>
                <pt idx="13">
                  <v>-0.8849310211132296</v>
                </pt>
                <pt idx="14">
                  <v>-0.6375870637500923</v>
                </pt>
                <pt idx="15">
                  <v>-0.1994963930569662</v>
                </pt>
                <pt idx="16">
                  <v>0.09043636654725364</v>
                </pt>
                <pt idx="17">
                  <v>0.3419382082661998</v>
                </pt>
                <pt idx="18">
                  <v>0.3960653049819721</v>
                </pt>
                <pt idx="19">
                  <v>0.3716879725321339</v>
                </pt>
                <pt idx="20">
                  <v>0.3067372969774174</v>
                </pt>
                <pt idx="21">
                  <v>0.2132311163366214</v>
                </pt>
                <pt idx="22">
                  <v>0.1411056130613808</v>
                </pt>
                <pt idx="23">
                  <v>0.05929041404230078</v>
                </pt>
                <pt idx="24">
                  <v>0.01640086909177331</v>
                </pt>
                <pt idx="25">
                  <v>-0.03250992165503743</v>
                </pt>
                <pt idx="26">
                  <v>-0.05047740448997759</v>
                </pt>
                <pt idx="27">
                  <v>-0.0645088350913941</v>
                </pt>
                <pt idx="28">
                  <v>-0.06652081311472305</v>
                </pt>
                <pt idx="29">
                  <v>-0.04781320260716759</v>
                </pt>
                <pt idx="30">
                  <v>-0.02097780461753962</v>
                </pt>
                <pt idx="31">
                  <v>0.01090075417426291</v>
                </pt>
                <pt idx="32">
                  <v>0.05317737482581756</v>
                </pt>
                <pt idx="33">
                  <v>0.1083075393718468</v>
                </pt>
                <pt idx="34">
                  <v>0.1641358063701624</v>
                </pt>
                <pt idx="35">
                  <v>0.2064080225091465</v>
                </pt>
                <pt idx="36">
                  <v>0.2350690900218172</v>
                </pt>
                <pt idx="37">
                  <v>0.2497547567756607</v>
                </pt>
                <pt idx="38">
                  <v>0.2461939103255631</v>
                </pt>
                <pt idx="39">
                  <v>0.2531517765216145</v>
                </pt>
                <pt idx="40">
                  <v>0.2650603243841239</v>
                </pt>
                <pt idx="41">
                  <v>0.2731660858854284</v>
                </pt>
                <pt idx="42">
                  <v>0.2261141361326354</v>
                </pt>
                <pt idx="43">
                  <v>0.1389263778209611</v>
                </pt>
                <pt idx="44">
                  <v>0.03992433092415385</v>
                </pt>
                <pt idx="45">
                  <v>-0.07753846996873601</v>
                </pt>
                <pt idx="46">
                  <v>-0.1688312705316447</v>
                </pt>
                <pt idx="47">
                  <v>-0.2788174243289893</v>
                </pt>
                <pt idx="48">
                  <v>-0.3798221225961979</v>
                </pt>
                <pt idx="49">
                  <v>-0.4432267140429036</v>
                </pt>
                <pt idx="50">
                  <v>-0.4703408559111371</v>
                </pt>
                <pt idx="51">
                  <v>-0.4098519868806751</v>
                </pt>
                <pt idx="52">
                  <v>-0.3205909883727646</v>
                </pt>
                <pt idx="53">
                  <v>-0.2145469615303346</v>
                </pt>
                <pt idx="54">
                  <v>-0.1141474754291659</v>
                </pt>
                <pt idx="55">
                  <v>-0.01863643285877293</v>
                </pt>
                <pt idx="56">
                  <v>0.06301406196671694</v>
                </pt>
                <pt idx="57">
                  <v>0.1197191138184898</v>
                </pt>
                <pt idx="58">
                  <v>0.2122228509320101</v>
                </pt>
                <pt idx="59">
                  <v>0.2596196126673659</v>
                </pt>
                <pt idx="60">
                  <v>0.2940699749050159</v>
                </pt>
                <pt idx="61">
                  <v>0.3003315577830329</v>
                </pt>
                <pt idx="62">
                  <v>0.2505538232646592</v>
                </pt>
                <pt idx="63">
                  <v>0.2050566212871332</v>
                </pt>
                <pt idx="64">
                  <v>0.1723459066719089</v>
                </pt>
              </numCache>
            </numRef>
          </val>
          <smooth val="0"/>
        </ser>
        <ser>
          <idx val="3"/>
          <order val="3"/>
          <tx>
            <strRef>
              <f>Deviation_SD!$AC$5</f>
              <strCache>
                <ptCount val="1"/>
                <pt idx="0">
                  <v>l_gdp_av2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Deviation_SD!$AC$22:$AC$86</f>
              <numCache>
                <formatCode>0.00</formatCode>
                <ptCount val="65"/>
                <pt idx="0">
                  <v>0.3679807608157744</v>
                </pt>
                <pt idx="1">
                  <v>0.3968142938978498</v>
                </pt>
                <pt idx="2">
                  <v>0.4540809846418181</v>
                </pt>
                <pt idx="3">
                  <v>0.5754808092063027</v>
                </pt>
                <pt idx="4">
                  <v>0.6226781810523787</v>
                </pt>
                <pt idx="5">
                  <v>0.4029085832277586</v>
                </pt>
                <pt idx="6">
                  <v>0.04438860442949617</v>
                </pt>
                <pt idx="7">
                  <v>-0.5666850952536662</v>
                </pt>
                <pt idx="8">
                  <v>-0.9647814467404278</v>
                </pt>
                <pt idx="9">
                  <v>-1.269165852081579</v>
                </pt>
                <pt idx="10">
                  <v>-1.221338544442909</v>
                </pt>
                <pt idx="11">
                  <v>-0.9746918680043725</v>
                </pt>
                <pt idx="12">
                  <v>-0.6646530063589884</v>
                </pt>
                <pt idx="13">
                  <v>-0.3295963234736149</v>
                </pt>
                <pt idx="14">
                  <v>-0.009924907440217477</v>
                </pt>
                <pt idx="15">
                  <v>0.2830736805312684</v>
                </pt>
                <pt idx="16">
                  <v>0.3785771709323487</v>
                </pt>
                <pt idx="17">
                  <v>0.3790844100625637</v>
                </pt>
                <pt idx="18">
                  <v>0.2932186652134524</v>
                </pt>
                <pt idx="19">
                  <v>0.2346628965881975</v>
                </pt>
                <pt idx="20">
                  <v>0.1577954749462961</v>
                </pt>
                <pt idx="21">
                  <v>0.06539786327883911</v>
                </pt>
                <pt idx="22">
                  <v>0.04062289926964248</v>
                </pt>
                <pt idx="23">
                  <v>0.03892506996517611</v>
                </pt>
                <pt idx="24">
                  <v>0.01066569349027094</v>
                </pt>
                <pt idx="25">
                  <v>-0.05405993909097976</v>
                </pt>
                <pt idx="26">
                  <v>-0.09248762721378168</v>
                </pt>
                <pt idx="27">
                  <v>-0.08230668273518554</v>
                </pt>
                <pt idx="28">
                  <v>-0.07279326280031473</v>
                </pt>
                <pt idx="29">
                  <v>-0.05766867249186505</v>
                </pt>
                <pt idx="30">
                  <v>0.01537508727849336</v>
                </pt>
                <pt idx="31">
                  <v>0.0994434840454318</v>
                </pt>
                <pt idx="32">
                  <v>0.1506770424287879</v>
                </pt>
                <pt idx="33">
                  <v>0.1690760297347957</v>
                </pt>
                <pt idx="34">
                  <v>0.1935284864961567</v>
                </pt>
                <pt idx="35">
                  <v>0.2291166723201336</v>
                </pt>
                <pt idx="36">
                  <v>0.2300705095813685</v>
                </pt>
                <pt idx="37">
                  <v>0.2073396597825798</v>
                </pt>
                <pt idx="38">
                  <v>0.2133402961780969</v>
                </pt>
                <pt idx="39">
                  <v>0.253918418935022</v>
                </pt>
                <pt idx="40">
                  <v>0.2749295198778854</v>
                </pt>
                <pt idx="41">
                  <v>0.2630949014591948</v>
                </pt>
                <pt idx="42">
                  <v>0.1762509843195803</v>
                </pt>
                <pt idx="43">
                  <v>0.05567539434631173</v>
                </pt>
                <pt idx="44">
                  <v>-0.09234904323242443</v>
                </pt>
                <pt idx="45">
                  <v>-0.2681752648021027</v>
                </pt>
                <pt idx="46">
                  <v>-0.3450492907956276</v>
                </pt>
                <pt idx="47">
                  <v>-0.4000561568857693</v>
                </pt>
                <pt idx="48">
                  <v>-0.4358100253051333</v>
                </pt>
                <pt idx="49">
                  <v>-0.4193420374338024</v>
                </pt>
                <pt idx="50">
                  <v>-0.4034833294600664</v>
                </pt>
                <pt idx="51">
                  <v>-0.281352980489901</v>
                </pt>
                <pt idx="52">
                  <v>-0.1697078084943743</v>
                </pt>
                <pt idx="53">
                  <v>-0.09696761612567027</v>
                </pt>
                <pt idx="54">
                  <v>0.01948246049578774</v>
                </pt>
                <pt idx="55">
                  <v>0.1103428122206311</v>
                </pt>
                <pt idx="56">
                  <v>0.155402024461691</v>
                </pt>
                <pt idx="57">
                  <v>0.1740915698596404</v>
                </pt>
                <pt idx="58">
                  <v>0.226362168110221</v>
                </pt>
                <pt idx="59">
                  <v>0.2861097778666903</v>
                </pt>
                <pt idx="60">
                  <v>0.3167679699207242</v>
                </pt>
                <pt idx="61">
                  <v>0.2734220619796856</v>
                </pt>
                <pt idx="62">
                  <v>0.2021211365476175</v>
                </pt>
                <pt idx="63">
                  <v>0.1431510894954366</v>
                </pt>
                <pt idx="64">
                  <v>0.08840709160041495</v>
                </pt>
              </numCache>
            </numRef>
          </val>
          <smooth val="0"/>
        </ser>
        <ser>
          <idx val="4"/>
          <order val="4"/>
          <tx>
            <strRef>
              <f>Deviation_SD!$AD$5</f>
              <strCache>
                <ptCount val="1"/>
                <pt idx="0">
                  <v>l_gdp_av3</v>
                </pt>
              </strCache>
            </strRef>
          </tx>
          <spPr>
            <a:ln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Deviation_SD!$AD$22:$AD$86</f>
              <numCache>
                <formatCode>0.00</formatCode>
                <ptCount val="65"/>
                <pt idx="0">
                  <v>0.3534151064744974</v>
                </pt>
                <pt idx="1">
                  <v>0.4017045650795696</v>
                </pt>
                <pt idx="2">
                  <v>0.4751235317528105</v>
                </pt>
                <pt idx="3">
                  <v>0.6020566183014948</v>
                </pt>
                <pt idx="4">
                  <v>0.6647061458991268</v>
                </pt>
                <pt idx="5">
                  <v>0.4951275679213336</v>
                </pt>
                <pt idx="6">
                  <v>0.1968630450319366</v>
                </pt>
                <pt idx="7">
                  <v>-0.3180338209502034</v>
                </pt>
                <pt idx="8">
                  <v>-0.6748447353368661</v>
                </pt>
                <pt idx="9">
                  <v>-0.9692306990194041</v>
                </pt>
                <pt idx="10">
                  <v>-0.991468140386173</v>
                </pt>
                <pt idx="11">
                  <v>-0.8671388622066384</v>
                </pt>
                <pt idx="12">
                  <v>-0.7077361809613097</v>
                </pt>
                <pt idx="13">
                  <v>-0.5336119628474537</v>
                </pt>
                <pt idx="14">
                  <v>-0.3501019749824288</v>
                </pt>
                <pt idx="15">
                  <v>-0.1462154984200821</v>
                </pt>
                <pt idx="16">
                  <v>-0.02633894923688966</v>
                </pt>
                <pt idx="17">
                  <v>0.07183875059545231</v>
                </pt>
                <pt idx="18">
                  <v>0.1331168616997833</v>
                </pt>
                <pt idx="19">
                  <v>0.2086012535342219</v>
                </pt>
                <pt idx="20">
                  <v>0.2251525855385085</v>
                </pt>
                <pt idx="21">
                  <v>0.1891249620316888</v>
                </pt>
                <pt idx="22">
                  <v>0.167837025995671</v>
                </pt>
                <pt idx="23">
                  <v>0.1448593280811493</v>
                </pt>
                <pt idx="24">
                  <v>0.08870819724586718</v>
                </pt>
                <pt idx="25">
                  <v>0.003761057700917678</v>
                </pt>
                <pt idx="26">
                  <v>-0.05514157552957415</v>
                </pt>
                <pt idx="27">
                  <v>-0.0646687406600734</v>
                </pt>
                <pt idx="28">
                  <v>-0.06602374217683511</v>
                </pt>
                <pt idx="29">
                  <v>-0.05912866969543604</v>
                </pt>
                <pt idx="30">
                  <v>-0.0003236117500116496</v>
                </pt>
                <pt idx="31">
                  <v>0.06667250944994964</v>
                </pt>
                <pt idx="32">
                  <v>0.1082055429401235</v>
                </pt>
                <pt idx="33">
                  <v>0.1262329815413973</v>
                </pt>
                <pt idx="34">
                  <v>0.1545221948576481</v>
                </pt>
                <pt idx="35">
                  <v>0.199483988225044</v>
                </pt>
                <pt idx="36">
                  <v>0.2202757219566623</v>
                </pt>
                <pt idx="37">
                  <v>0.2223951861232342</v>
                </pt>
                <pt idx="38">
                  <v>0.2446300273139011</v>
                </pt>
                <pt idx="39">
                  <v>0.2876383021578249</v>
                </pt>
                <pt idx="40">
                  <v>0.3095065945576326</v>
                </pt>
                <pt idx="41">
                  <v>0.3011679507951429</v>
                </pt>
                <pt idx="42">
                  <v>0.2298042509031373</v>
                </pt>
                <pt idx="43">
                  <v>0.1292317057068041</v>
                </pt>
                <pt idx="44">
                  <v>0.00193419225422542</v>
                </pt>
                <pt idx="45">
                  <v>-0.1530658075006495</v>
                </pt>
                <pt idx="46">
                  <v>-0.2331917965276984</v>
                </pt>
                <pt idx="47">
                  <v>-0.3012312297060182</v>
                </pt>
                <pt idx="48">
                  <v>-0.3611499745455466</v>
                </pt>
                <pt idx="49">
                  <v>-0.3859132820714934</v>
                </pt>
                <pt idx="50">
                  <v>-0.4159112722051633</v>
                </pt>
                <pt idx="51">
                  <v>-0.3541768558188424</v>
                </pt>
                <pt idx="52">
                  <v>-0.2863398221864525</v>
                </pt>
                <pt idx="53">
                  <v>-0.2322471702307592</v>
                </pt>
                <pt idx="54">
                  <v>-0.1219229223329067</v>
                </pt>
                <pt idx="55">
                  <v>-0.02270506632917945</v>
                </pt>
                <pt idx="56">
                  <v>0.04535921219040828</v>
                </pt>
                <pt idx="57">
                  <v>0.09456691382569707</v>
                </pt>
                <pt idx="58">
                  <v>0.1672807957786609</v>
                </pt>
                <pt idx="59">
                  <v>0.2501370443529808</v>
                </pt>
                <pt idx="60">
                  <v>0.3039047080265733</v>
                </pt>
                <pt idx="61">
                  <v>0.2906223486164216</v>
                </pt>
                <pt idx="62">
                  <v>0.250062113886348</v>
                </pt>
                <pt idx="63">
                  <v>0.2067257504888344</v>
                </pt>
                <pt idx="64">
                  <v>0.1614276241106922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27117416"/>
        <axId val="727118400"/>
      </lineChart>
      <dateAx>
        <axId val="727117416"/>
        <scaling>
          <orientation val="minMax"/>
        </scaling>
        <delete val="0"/>
        <axPos val="b"/>
        <numFmt formatCode="yyyy\-mm\-dd" sourceLinked="1"/>
        <majorTickMark val="none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7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27118400"/>
        <crosses val="autoZero"/>
        <lblOffset val="100"/>
        <baseTimeUnit val="months"/>
      </dateAx>
      <valAx>
        <axId val="727118400"/>
        <scaling>
          <orientation val="minMax"/>
          <max val="2"/>
          <min val="-4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7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27117416"/>
        <crosses val="autoZero"/>
        <crossBetween val="between"/>
        <majorUnit val="1"/>
      </valAx>
    </plotArea>
    <legend>
      <legendPos val="b"/>
      <layout>
        <manualLayout>
          <xMode val="edge"/>
          <yMode val="edge"/>
          <wMode val="factor"/>
          <hMode val="factor"/>
          <x val="0.01596224364879868"/>
          <y val="0.8726461024363465"/>
          <w val="0.9813104533068766"/>
          <h val="0.08384923751232133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7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solidFill>
      <a:schemeClr val="bg1"/>
    </a:solidFill>
    <a:ln w="9525" cap="flat" cmpd="sng" algn="ctr">
      <a:noFill/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defRPr sz="9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900" b="0" i="0" baseline="0"/>
              <a:t>Отношение складских запасов в промышленности к среднемесячному объему промышленного производства</a:t>
            </a:r>
            <a:endParaRPr lang="ru-RU" sz="900"/>
          </a:p>
        </rich>
      </tx>
      <layout>
        <manualLayout>
          <xMode val="edge"/>
          <yMode val="edge"/>
          <wMode val="factor"/>
          <hMode val="factor"/>
          <x val="0.1822756219195822"/>
          <y val="0.01666665239348424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059010625747742"/>
          <y val="0.2282363227943009"/>
          <w val="0.8455695481382361"/>
          <h val="0.4560166174099141"/>
        </manualLayout>
      </layout>
      <lineChart>
        <grouping val="standard"/>
        <varyColors val="0"/>
        <ser>
          <idx val="0"/>
          <order val="0"/>
          <tx>
            <strRef>
              <f>Deviation_SD!$P$5</f>
              <strCache>
                <ptCount val="1"/>
                <pt idx="0">
                  <v>invr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Deviation_SD!$A$24:$A$86</f>
              <numCache>
                <formatCode>yyyy\-mm\-dd</formatCode>
                <ptCount val="63"/>
                <pt idx="0">
                  <v>40360</v>
                </pt>
                <pt idx="1">
                  <v>40452</v>
                </pt>
                <pt idx="2">
                  <v>40544</v>
                </pt>
                <pt idx="3">
                  <v>40634</v>
                </pt>
                <pt idx="4">
                  <v>40725</v>
                </pt>
                <pt idx="5">
                  <v>40817</v>
                </pt>
                <pt idx="6">
                  <v>40909</v>
                </pt>
                <pt idx="7">
                  <v>41000</v>
                </pt>
                <pt idx="8">
                  <v>41091</v>
                </pt>
                <pt idx="9">
                  <v>41183</v>
                </pt>
                <pt idx="10">
                  <v>41275</v>
                </pt>
                <pt idx="11">
                  <v>41365</v>
                </pt>
                <pt idx="12">
                  <v>41456</v>
                </pt>
                <pt idx="13">
                  <v>41548</v>
                </pt>
                <pt idx="14">
                  <v>41640</v>
                </pt>
                <pt idx="15">
                  <v>41730</v>
                </pt>
                <pt idx="16">
                  <v>41821</v>
                </pt>
                <pt idx="17">
                  <v>41913</v>
                </pt>
                <pt idx="18">
                  <v>42005</v>
                </pt>
                <pt idx="19">
                  <v>42095</v>
                </pt>
                <pt idx="20">
                  <v>42186</v>
                </pt>
                <pt idx="21">
                  <v>42278</v>
                </pt>
                <pt idx="22">
                  <v>42370</v>
                </pt>
                <pt idx="23">
                  <v>42461</v>
                </pt>
                <pt idx="24">
                  <v>42552</v>
                </pt>
                <pt idx="25">
                  <v>42644</v>
                </pt>
                <pt idx="26">
                  <v>42736</v>
                </pt>
                <pt idx="27">
                  <v>42826</v>
                </pt>
                <pt idx="28">
                  <v>42917</v>
                </pt>
                <pt idx="29">
                  <v>43009</v>
                </pt>
                <pt idx="30">
                  <v>43101</v>
                </pt>
                <pt idx="31">
                  <v>43191</v>
                </pt>
                <pt idx="32">
                  <v>43282</v>
                </pt>
                <pt idx="33">
                  <v>43374</v>
                </pt>
                <pt idx="34">
                  <v>43466</v>
                </pt>
                <pt idx="35">
                  <v>43556</v>
                </pt>
                <pt idx="36">
                  <v>43647</v>
                </pt>
                <pt idx="37">
                  <v>43739</v>
                </pt>
                <pt idx="38">
                  <v>43831</v>
                </pt>
                <pt idx="39">
                  <v>43922</v>
                </pt>
                <pt idx="40">
                  <v>44013</v>
                </pt>
                <pt idx="41">
                  <v>44105</v>
                </pt>
                <pt idx="42">
                  <v>44197</v>
                </pt>
                <pt idx="43">
                  <v>44287</v>
                </pt>
                <pt idx="44">
                  <v>44378</v>
                </pt>
                <pt idx="45">
                  <v>44470</v>
                </pt>
                <pt idx="46">
                  <v>44562</v>
                </pt>
                <pt idx="47">
                  <v>44652</v>
                </pt>
                <pt idx="48">
                  <v>44743</v>
                </pt>
                <pt idx="49">
                  <v>44835</v>
                </pt>
                <pt idx="50">
                  <v>44927</v>
                </pt>
                <pt idx="51">
                  <v>45017</v>
                </pt>
                <pt idx="52">
                  <v>45108</v>
                </pt>
                <pt idx="53">
                  <v>45200</v>
                </pt>
                <pt idx="54">
                  <v>45292</v>
                </pt>
                <pt idx="55">
                  <v>45383</v>
                </pt>
                <pt idx="56">
                  <v>45474</v>
                </pt>
                <pt idx="57">
                  <v>45566</v>
                </pt>
                <pt idx="58">
                  <v>45658</v>
                </pt>
                <pt idx="59">
                  <v>45748</v>
                </pt>
                <pt idx="60">
                  <v>45839</v>
                </pt>
                <pt idx="61">
                  <v>45931</v>
                </pt>
                <pt idx="62">
                  <v>46023</v>
                </pt>
              </numCache>
            </numRef>
          </cat>
          <val>
            <numRef>
              <f>Deviation_SD!$P$24:$P$86</f>
              <numCache>
                <formatCode>0.00</formatCode>
                <ptCount val="63"/>
                <pt idx="0">
                  <v>-0.4125873935712499</v>
                </pt>
                <pt idx="1">
                  <v>-0.3415338739289221</v>
                </pt>
                <pt idx="2">
                  <v>-0.3731132159921787</v>
                </pt>
                <pt idx="3">
                  <v>-0.5994318341121869</v>
                </pt>
                <pt idx="4">
                  <v>-0.5941686104349774</v>
                </pt>
                <pt idx="5">
                  <v>-0.5020621960838113</v>
                </pt>
                <pt idx="6">
                  <v>-0.6862750247861434</v>
                </pt>
                <pt idx="7">
                  <v>-0.8862775245201039</v>
                </pt>
                <pt idx="8">
                  <v>-0.6836434129475388</v>
                </pt>
                <pt idx="9">
                  <v>-0.5310099263084634</v>
                </pt>
                <pt idx="10">
                  <v>0.205841388500865</v>
                </pt>
                <pt idx="11">
                  <v>0.8716391836678649</v>
                </pt>
                <pt idx="12">
                  <v>0.6716366839339052</v>
                </pt>
                <pt idx="13">
                  <v>0.4795290197157586</v>
                </pt>
                <pt idx="14">
                  <v>0.6426889537092524</v>
                </pt>
                <pt idx="15">
                  <v>0.8242701705729807</v>
                </pt>
                <pt idx="16">
                  <v>0.7190056970287909</v>
                </pt>
                <pt idx="17">
                  <v>0.5716354340669246</v>
                </pt>
                <pt idx="18">
                  <v>0.7611114864464659</v>
                </pt>
                <pt idx="19">
                  <v>0.7953224403483279</v>
                </pt>
                <pt idx="20">
                  <v>0.4505812894911058</v>
                </pt>
                <pt idx="21">
                  <v>0.2295258950483078</v>
                </pt>
                <pt idx="22">
                  <v>0.1979465529850512</v>
                </pt>
                <pt idx="23">
                  <v>0.09268207944086143</v>
                </pt>
                <pt idx="24">
                  <v>-0.04679334800519031</v>
                </pt>
                <pt idx="25">
                  <v>0.01110211244411376</v>
                </pt>
                <pt idx="26">
                  <v>0.09794530311807062</v>
                </pt>
                <pt idx="27">
                  <v>-0.04942495984379565</v>
                </pt>
                <pt idx="28">
                  <v>-0.2652171306093844</v>
                </pt>
                <pt idx="29">
                  <v>-0.2652171306093844</v>
                </pt>
                <pt idx="30">
                  <v>-0.2125848938372895</v>
                </pt>
                <pt idx="31">
                  <v>-0.2546906832549652</v>
                </pt>
                <pt idx="32">
                  <v>-0.3283758147358977</v>
                </pt>
                <pt idx="33">
                  <v>-0.296796472672641</v>
                </pt>
                <pt idx="34">
                  <v>-0.1152152558089135</v>
                </pt>
                <pt idx="35">
                  <v>-0.04942495984379491</v>
                </pt>
                <pt idx="36">
                  <v>-0.1125836439703089</v>
                </pt>
                <pt idx="37">
                  <v>-0.03626690065077118</v>
                </pt>
                <pt idx="38">
                  <v>0.3137374738836594</v>
                </pt>
                <pt idx="39">
                  <v>0.6242676708390195</v>
                </pt>
                <pt idx="40">
                  <v>0.4163703355892438</v>
                </pt>
                <pt idx="41">
                  <v>0.07952402024783696</v>
                </pt>
                <pt idx="42">
                  <v>-0.1125836439703093</v>
                </pt>
                <pt idx="43">
                  <v>-0.3362706502517125</v>
                </pt>
                <pt idx="44">
                  <v>-0.5810105512419537</v>
                </pt>
                <pt idx="45">
                  <v>-0.688906636624748</v>
                </pt>
                <pt idx="46">
                  <v>-0.4783776895363685</v>
                </pt>
                <pt idx="47">
                  <v>0.02162855979853214</v>
                </pt>
                <pt idx="48">
                  <v>0.1768936582762122</v>
                </pt>
                <pt idx="49">
                  <v>0.1163665859883035</v>
                </pt>
                <pt idx="50">
                  <v>0.3637380988171496</v>
                </pt>
                <pt idx="51">
                  <v>0.4558445131683157</v>
                </pt>
                <pt idx="52">
                  <v>0.234789118725517</v>
                </pt>
                <pt idx="53">
                  <v>0.04794467818457959</v>
                </pt>
                <pt idx="54">
                  <v>0.09268207944086068</v>
                </pt>
                <pt idx="55">
                  <v>0.04531306634597574</v>
                </pt>
                <pt idx="56">
                  <v>-0.1336365386791472</v>
                </pt>
                <pt idx="57">
                  <v>-0.1467945978721709</v>
                </pt>
                <pt idx="58">
                  <v>0.2479471779185407</v>
                </pt>
                <pt idx="59">
                  <v>0.7795327693166988</v>
                </pt>
                <pt idx="60">
                  <v>0.8690075718292603</v>
                </pt>
                <pt idx="61">
                  <v>0.7795327693166988</v>
                </pt>
                <pt idx="62">
                  <v>0.911113361246936</v>
                </pt>
              </numCache>
            </numRef>
          </val>
          <smooth val="0"/>
        </ser>
        <ser>
          <idx val="1"/>
          <order val="1"/>
          <tx>
            <strRef>
              <f>Deviation_SD!$Q$5</f>
              <strCache>
                <ptCount val="1"/>
                <pt idx="0">
                  <v>invr1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Deviation_SD!$A$24:$A$86</f>
              <numCache>
                <formatCode>yyyy\-mm\-dd</formatCode>
                <ptCount val="63"/>
                <pt idx="0">
                  <v>40360</v>
                </pt>
                <pt idx="1">
                  <v>40452</v>
                </pt>
                <pt idx="2">
                  <v>40544</v>
                </pt>
                <pt idx="3">
                  <v>40634</v>
                </pt>
                <pt idx="4">
                  <v>40725</v>
                </pt>
                <pt idx="5">
                  <v>40817</v>
                </pt>
                <pt idx="6">
                  <v>40909</v>
                </pt>
                <pt idx="7">
                  <v>41000</v>
                </pt>
                <pt idx="8">
                  <v>41091</v>
                </pt>
                <pt idx="9">
                  <v>41183</v>
                </pt>
                <pt idx="10">
                  <v>41275</v>
                </pt>
                <pt idx="11">
                  <v>41365</v>
                </pt>
                <pt idx="12">
                  <v>41456</v>
                </pt>
                <pt idx="13">
                  <v>41548</v>
                </pt>
                <pt idx="14">
                  <v>41640</v>
                </pt>
                <pt idx="15">
                  <v>41730</v>
                </pt>
                <pt idx="16">
                  <v>41821</v>
                </pt>
                <pt idx="17">
                  <v>41913</v>
                </pt>
                <pt idx="18">
                  <v>42005</v>
                </pt>
                <pt idx="19">
                  <v>42095</v>
                </pt>
                <pt idx="20">
                  <v>42186</v>
                </pt>
                <pt idx="21">
                  <v>42278</v>
                </pt>
                <pt idx="22">
                  <v>42370</v>
                </pt>
                <pt idx="23">
                  <v>42461</v>
                </pt>
                <pt idx="24">
                  <v>42552</v>
                </pt>
                <pt idx="25">
                  <v>42644</v>
                </pt>
                <pt idx="26">
                  <v>42736</v>
                </pt>
                <pt idx="27">
                  <v>42826</v>
                </pt>
                <pt idx="28">
                  <v>42917</v>
                </pt>
                <pt idx="29">
                  <v>43009</v>
                </pt>
                <pt idx="30">
                  <v>43101</v>
                </pt>
                <pt idx="31">
                  <v>43191</v>
                </pt>
                <pt idx="32">
                  <v>43282</v>
                </pt>
                <pt idx="33">
                  <v>43374</v>
                </pt>
                <pt idx="34">
                  <v>43466</v>
                </pt>
                <pt idx="35">
                  <v>43556</v>
                </pt>
                <pt idx="36">
                  <v>43647</v>
                </pt>
                <pt idx="37">
                  <v>43739</v>
                </pt>
                <pt idx="38">
                  <v>43831</v>
                </pt>
                <pt idx="39">
                  <v>43922</v>
                </pt>
                <pt idx="40">
                  <v>44013</v>
                </pt>
                <pt idx="41">
                  <v>44105</v>
                </pt>
                <pt idx="42">
                  <v>44197</v>
                </pt>
                <pt idx="43">
                  <v>44287</v>
                </pt>
                <pt idx="44">
                  <v>44378</v>
                </pt>
                <pt idx="45">
                  <v>44470</v>
                </pt>
                <pt idx="46">
                  <v>44562</v>
                </pt>
                <pt idx="47">
                  <v>44652</v>
                </pt>
                <pt idx="48">
                  <v>44743</v>
                </pt>
                <pt idx="49">
                  <v>44835</v>
                </pt>
                <pt idx="50">
                  <v>44927</v>
                </pt>
                <pt idx="51">
                  <v>45017</v>
                </pt>
                <pt idx="52">
                  <v>45108</v>
                </pt>
                <pt idx="53">
                  <v>45200</v>
                </pt>
                <pt idx="54">
                  <v>45292</v>
                </pt>
                <pt idx="55">
                  <v>45383</v>
                </pt>
                <pt idx="56">
                  <v>45474</v>
                </pt>
                <pt idx="57">
                  <v>45566</v>
                </pt>
                <pt idx="58">
                  <v>45658</v>
                </pt>
                <pt idx="59">
                  <v>45748</v>
                </pt>
                <pt idx="60">
                  <v>45839</v>
                </pt>
                <pt idx="61">
                  <v>45931</v>
                </pt>
                <pt idx="62">
                  <v>46023</v>
                </pt>
              </numCache>
            </numRef>
          </cat>
          <val>
            <numRef>
              <f>Deviation_SD!$Q$24:$Q$86</f>
              <numCache>
                <formatCode>0.00</formatCode>
                <ptCount val="63"/>
                <pt idx="0">
                  <v>-1.057118842893914</v>
                </pt>
                <pt idx="1">
                  <v>-0.5147227873776652</v>
                </pt>
                <pt idx="2">
                  <v>-0.4150990220787621</v>
                </pt>
                <pt idx="3">
                  <v>-0.4409274056747738</v>
                </pt>
                <pt idx="4">
                  <v>-0.1272970334374872</v>
                </pt>
                <pt idx="5">
                  <v>-0.1125379570969087</v>
                </pt>
                <pt idx="6">
                  <v>-0.219541260566101</v>
                </pt>
                <pt idx="7">
                  <v>-0.201092415140378</v>
                </pt>
                <pt idx="8">
                  <v>-0.06272607444745749</v>
                </pt>
                <pt idx="9">
                  <v>-0.02029372996829493</v>
                </pt>
                <pt idx="10">
                  <v>0.6254158599320018</v>
                </pt>
                <pt idx="11">
                  <v>1.23238287443828</v>
                </pt>
                <pt idx="12">
                  <v>0.9501155394247227</v>
                </pt>
                <pt idx="13">
                  <v>0.7084356643477542</v>
                </pt>
                <pt idx="14">
                  <v>0.3062508340669978</v>
                </pt>
                <pt idx="15">
                  <v>-0.03320792176630014</v>
                </pt>
                <pt idx="16">
                  <v>0.03320792176630118</v>
                </pt>
                <pt idx="17">
                  <v>0.06457095899002967</v>
                </pt>
                <pt idx="18">
                  <v>0.08301980441575244</v>
                </pt>
                <pt idx="19">
                  <v>-0.02029372996829546</v>
                </pt>
                <pt idx="20">
                  <v>-0.188178223342373</v>
                </pt>
                <pt idx="21">
                  <v>-0.2398349905343959</v>
                </pt>
                <pt idx="22">
                  <v>-0.3948052921104667</v>
                </pt>
                <pt idx="23">
                  <v>-0.4925841728667975</v>
                </pt>
                <pt idx="24">
                  <v>-0.3486831785461598</v>
                </pt>
                <pt idx="25">
                  <v>-0.1531254170334991</v>
                </pt>
                <pt idx="26">
                  <v>-0.0701056126177467</v>
                </pt>
                <pt idx="27">
                  <v>-0.09962376529890354</v>
                </pt>
                <pt idx="28">
                  <v>-0.1531254170334991</v>
                </pt>
                <pt idx="29">
                  <v>-0.193712876970089</v>
                </pt>
                <pt idx="30">
                  <v>-0.2176963760235288</v>
                </pt>
                <pt idx="31">
                  <v>-0.1439009943206372</v>
                </pt>
                <pt idx="32">
                  <v>-0.04427722902173421</v>
                </pt>
                <pt idx="33">
                  <v>-0.0221386145108671</v>
                </pt>
                <pt idx="34">
                  <v>0.06826072807517454</v>
                </pt>
                <pt idx="35">
                  <v>0.1439009943206377</v>
                </pt>
                <pt idx="36">
                  <v>0.1512805324909264</v>
                </pt>
                <pt idx="37">
                  <v>0.1826435697146555</v>
                </pt>
                <pt idx="38">
                  <v>0.3007161804392807</v>
                </pt>
                <pt idx="39">
                  <v>0.4722904428985026</v>
                </pt>
                <pt idx="40">
                  <v>0.3708217930570269</v>
                </pt>
                <pt idx="41">
                  <v>0.08117491987317974</v>
                </pt>
                <pt idx="42">
                  <v>-0.2988712958967088</v>
                </pt>
                <pt idx="43">
                  <v>-0.6733828580388811</v>
                </pt>
                <pt idx="44">
                  <v>-0.6992112416348922</v>
                </pt>
                <pt idx="45">
                  <v>-0.5387062864311044</v>
                </pt>
                <pt idx="46">
                  <v>-0.2564389514175462</v>
                </pt>
                <pt idx="47">
                  <v>0.2509042977898292</v>
                </pt>
                <pt idx="48">
                  <v>0.5313267482608153</v>
                </pt>
                <pt idx="49">
                  <v>0.5645346700271164</v>
                </pt>
                <pt idx="50">
                  <v>0.5903630536231284</v>
                </pt>
                <pt idx="51">
                  <v>0.3044059495244261</v>
                </pt>
                <pt idx="52">
                  <v>0.04058745993659039</v>
                </pt>
                <pt idx="53">
                  <v>-0.0479669981068796</v>
                </pt>
                <pt idx="54">
                  <v>-0.1900231078849447</v>
                </pt>
                <pt idx="55">
                  <v>-0.287801988641275</v>
                </pt>
                <pt idx="56">
                  <v>-0.2582838359601187</v>
                </pt>
                <pt idx="57">
                  <v>-0.136521456150348</v>
                </pt>
                <pt idx="58">
                  <v>0.1088481880117644</v>
                </pt>
                <pt idx="59">
                  <v>0.5147227873776646</v>
                </pt>
                <pt idx="60">
                  <v>0.7029010107200371</v>
                </pt>
                <pt idx="61">
                  <v>0.649399358985441</v>
                </pt>
                <pt idx="62">
                  <v>0.4649109047282134</v>
                </pt>
              </numCache>
            </numRef>
          </val>
          <smooth val="0"/>
        </ser>
        <ser>
          <idx val="2"/>
          <order val="2"/>
          <tx>
            <strRef>
              <f>Deviation_SD!$R$5</f>
              <strCache>
                <ptCount val="1"/>
                <pt idx="0">
                  <v>invr2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Deviation_SD!$A$24:$A$86</f>
              <numCache>
                <formatCode>yyyy\-mm\-dd</formatCode>
                <ptCount val="63"/>
                <pt idx="0">
                  <v>40360</v>
                </pt>
                <pt idx="1">
                  <v>40452</v>
                </pt>
                <pt idx="2">
                  <v>40544</v>
                </pt>
                <pt idx="3">
                  <v>40634</v>
                </pt>
                <pt idx="4">
                  <v>40725</v>
                </pt>
                <pt idx="5">
                  <v>40817</v>
                </pt>
                <pt idx="6">
                  <v>40909</v>
                </pt>
                <pt idx="7">
                  <v>41000</v>
                </pt>
                <pt idx="8">
                  <v>41091</v>
                </pt>
                <pt idx="9">
                  <v>41183</v>
                </pt>
                <pt idx="10">
                  <v>41275</v>
                </pt>
                <pt idx="11">
                  <v>41365</v>
                </pt>
                <pt idx="12">
                  <v>41456</v>
                </pt>
                <pt idx="13">
                  <v>41548</v>
                </pt>
                <pt idx="14">
                  <v>41640</v>
                </pt>
                <pt idx="15">
                  <v>41730</v>
                </pt>
                <pt idx="16">
                  <v>41821</v>
                </pt>
                <pt idx="17">
                  <v>41913</v>
                </pt>
                <pt idx="18">
                  <v>42005</v>
                </pt>
                <pt idx="19">
                  <v>42095</v>
                </pt>
                <pt idx="20">
                  <v>42186</v>
                </pt>
                <pt idx="21">
                  <v>42278</v>
                </pt>
                <pt idx="22">
                  <v>42370</v>
                </pt>
                <pt idx="23">
                  <v>42461</v>
                </pt>
                <pt idx="24">
                  <v>42552</v>
                </pt>
                <pt idx="25">
                  <v>42644</v>
                </pt>
                <pt idx="26">
                  <v>42736</v>
                </pt>
                <pt idx="27">
                  <v>42826</v>
                </pt>
                <pt idx="28">
                  <v>42917</v>
                </pt>
                <pt idx="29">
                  <v>43009</v>
                </pt>
                <pt idx="30">
                  <v>43101</v>
                </pt>
                <pt idx="31">
                  <v>43191</v>
                </pt>
                <pt idx="32">
                  <v>43282</v>
                </pt>
                <pt idx="33">
                  <v>43374</v>
                </pt>
                <pt idx="34">
                  <v>43466</v>
                </pt>
                <pt idx="35">
                  <v>43556</v>
                </pt>
                <pt idx="36">
                  <v>43647</v>
                </pt>
                <pt idx="37">
                  <v>43739</v>
                </pt>
                <pt idx="38">
                  <v>43831</v>
                </pt>
                <pt idx="39">
                  <v>43922</v>
                </pt>
                <pt idx="40">
                  <v>44013</v>
                </pt>
                <pt idx="41">
                  <v>44105</v>
                </pt>
                <pt idx="42">
                  <v>44197</v>
                </pt>
                <pt idx="43">
                  <v>44287</v>
                </pt>
                <pt idx="44">
                  <v>44378</v>
                </pt>
                <pt idx="45">
                  <v>44470</v>
                </pt>
                <pt idx="46">
                  <v>44562</v>
                </pt>
                <pt idx="47">
                  <v>44652</v>
                </pt>
                <pt idx="48">
                  <v>44743</v>
                </pt>
                <pt idx="49">
                  <v>44835</v>
                </pt>
                <pt idx="50">
                  <v>44927</v>
                </pt>
                <pt idx="51">
                  <v>45017</v>
                </pt>
                <pt idx="52">
                  <v>45108</v>
                </pt>
                <pt idx="53">
                  <v>45200</v>
                </pt>
                <pt idx="54">
                  <v>45292</v>
                </pt>
                <pt idx="55">
                  <v>45383</v>
                </pt>
                <pt idx="56">
                  <v>45474</v>
                </pt>
                <pt idx="57">
                  <v>45566</v>
                </pt>
                <pt idx="58">
                  <v>45658</v>
                </pt>
                <pt idx="59">
                  <v>45748</v>
                </pt>
                <pt idx="60">
                  <v>45839</v>
                </pt>
                <pt idx="61">
                  <v>45931</v>
                </pt>
                <pt idx="62">
                  <v>46023</v>
                </pt>
              </numCache>
            </numRef>
          </cat>
          <val>
            <numRef>
              <f>Deviation_SD!$R$24:$R$86</f>
              <numCache>
                <formatCode>0.00</formatCode>
                <ptCount val="63"/>
                <pt idx="0">
                  <v>0.2617423595408563</v>
                </pt>
                <pt idx="1">
                  <v>0.1218171987800208</v>
                </pt>
                <pt idx="2">
                  <v>-0.5975627453668603</v>
                </pt>
                <pt idx="3">
                  <v>-1.290603835723467</v>
                </pt>
                <pt idx="4">
                  <v>-1.056846508334778</v>
                </pt>
                <pt idx="5">
                  <v>-0.5597006430433404</v>
                </pt>
                <pt idx="6">
                  <v>-0.5662853564909093</v>
                </pt>
                <pt idx="7">
                  <v>-0.5728700699384776</v>
                </pt>
                <pt idx="8">
                  <v>-0.1695563712748945</v>
                </pt>
                <pt idx="9">
                  <v>-0.1185248420562366</v>
                </pt>
                <pt idx="10">
                  <v>0.3621592396162791</v>
                </pt>
                <pt idx="11">
                  <v>0.9202137042977272</v>
                </pt>
                <pt idx="12">
                  <v>0.7918117920701379</v>
                </pt>
                <pt idx="13">
                  <v>0.6140245289857825</v>
                </pt>
                <pt idx="14">
                  <v>0.8313200727555498</v>
                </pt>
                <pt idx="15">
                  <v>1.070015935229916</v>
                </pt>
                <pt idx="16">
                  <v>0.8774130668885314</v>
                </pt>
                <pt idx="17">
                  <v>0.6897487336328225</v>
                </pt>
                <pt idx="18">
                  <v>0.3473436343592494</v>
                </pt>
                <pt idx="19">
                  <v>-0.04773917249487278</v>
                </pt>
                <pt idx="20">
                  <v>-0.1382789823989435</v>
                </pt>
                <pt idx="21">
                  <v>-0.1563869443797569</v>
                </pt>
                <pt idx="22">
                  <v>-0.2782041431597777</v>
                </pt>
                <pt idx="23">
                  <v>-0.4576375846060256</v>
                </pt>
                <pt idx="24">
                  <v>-0.4790379033106241</v>
                </pt>
                <pt idx="25">
                  <v>-0.3506359910830341</v>
                </pt>
                <pt idx="26">
                  <v>-0.4148369471968286</v>
                </pt>
                <pt idx="27">
                  <v>-0.5284232541673894</v>
                </pt>
                <pt idx="28">
                  <v>-0.4477605144346721</v>
                </pt>
                <pt idx="29">
                  <v>-0.3094815320357296</v>
                </pt>
                <pt idx="30">
                  <v>-0.2568038244551801</v>
                </pt>
                <pt idx="31">
                  <v>-0.2172955437697677</v>
                </pt>
                <pt idx="32">
                  <v>-0.1761410847224628</v>
                </pt>
                <pt idx="33">
                  <v>-0.1926028683413846</v>
                </pt>
                <pt idx="34">
                  <v>-0.1333404473132663</v>
                </pt>
                <pt idx="35">
                  <v>4.678720307231792e-16</v>
                </pt>
                <pt idx="36">
                  <v>0.0954783449897465</v>
                </pt>
                <pt idx="37">
                  <v>0.1432175174846197</v>
                </pt>
                <pt idx="38">
                  <v>0.3292356723784355</v>
                </pt>
                <pt idx="39">
                  <v>0.5498235728719875</v>
                </pt>
                <pt idx="40">
                  <v>0.4658684764154856</v>
                </pt>
                <pt idx="41">
                  <v>0.2354035057505811</v>
                </pt>
                <pt idx="42">
                  <v>0.00164617836189185</v>
                </pt>
                <pt idx="43">
                  <v>-0.1794334414462477</v>
                </pt>
                <pt idx="44">
                  <v>-0.2930197484168078</v>
                </pt>
                <pt idx="45">
                  <v>-0.4082522337492603</v>
                </pt>
                <pt idx="46">
                  <v>-0.4954996869295454</v>
                </pt>
                <pt idx="47">
                  <v>-0.3769748448733092</v>
                </pt>
                <pt idx="48">
                  <v>-0.1498022309321881</v>
                </pt>
                <pt idx="49">
                  <v>0.02304649706649058</v>
                </pt>
                <pt idx="50">
                  <v>0.2979582835024843</v>
                </pt>
                <pt idx="51">
                  <v>0.4954996869295457</v>
                </pt>
                <pt idx="52">
                  <v>0.5103152921865751</v>
                </pt>
                <pt idx="53">
                  <v>0.4609299413298093</v>
                </pt>
                <pt idx="54">
                  <v>0.3572207045306024</v>
                </pt>
                <pt idx="55">
                  <v>0.01481560525703016</v>
                </pt>
                <pt idx="56">
                  <v>-0.1942490467032767</v>
                </pt>
                <pt idx="57">
                  <v>-0.1646178361892178</v>
                </pt>
                <pt idx="58">
                  <v>-0.07243184792325591</v>
                </pt>
                <pt idx="59">
                  <v>0.2024799385127376</v>
                </pt>
                <pt idx="60">
                  <v>0.3967289852160147</v>
                </pt>
                <pt idx="61">
                  <v>0.4576375846060256</v>
                </pt>
                <pt idx="62">
                  <v>0.5119614705484672</v>
                </pt>
              </numCache>
            </numRef>
          </val>
          <smooth val="0"/>
        </ser>
        <ser>
          <idx val="3"/>
          <order val="3"/>
          <tx>
            <strRef>
              <f>Deviation_SD!$S$5</f>
              <strCache>
                <ptCount val="1"/>
                <pt idx="0">
                  <v>invr_av2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Deviation_SD!$A$24:$A$86</f>
              <numCache>
                <formatCode>yyyy\-mm\-dd</formatCode>
                <ptCount val="63"/>
                <pt idx="0">
                  <v>40360</v>
                </pt>
                <pt idx="1">
                  <v>40452</v>
                </pt>
                <pt idx="2">
                  <v>40544</v>
                </pt>
                <pt idx="3">
                  <v>40634</v>
                </pt>
                <pt idx="4">
                  <v>40725</v>
                </pt>
                <pt idx="5">
                  <v>40817</v>
                </pt>
                <pt idx="6">
                  <v>40909</v>
                </pt>
                <pt idx="7">
                  <v>41000</v>
                </pt>
                <pt idx="8">
                  <v>41091</v>
                </pt>
                <pt idx="9">
                  <v>41183</v>
                </pt>
                <pt idx="10">
                  <v>41275</v>
                </pt>
                <pt idx="11">
                  <v>41365</v>
                </pt>
                <pt idx="12">
                  <v>41456</v>
                </pt>
                <pt idx="13">
                  <v>41548</v>
                </pt>
                <pt idx="14">
                  <v>41640</v>
                </pt>
                <pt idx="15">
                  <v>41730</v>
                </pt>
                <pt idx="16">
                  <v>41821</v>
                </pt>
                <pt idx="17">
                  <v>41913</v>
                </pt>
                <pt idx="18">
                  <v>42005</v>
                </pt>
                <pt idx="19">
                  <v>42095</v>
                </pt>
                <pt idx="20">
                  <v>42186</v>
                </pt>
                <pt idx="21">
                  <v>42278</v>
                </pt>
                <pt idx="22">
                  <v>42370</v>
                </pt>
                <pt idx="23">
                  <v>42461</v>
                </pt>
                <pt idx="24">
                  <v>42552</v>
                </pt>
                <pt idx="25">
                  <v>42644</v>
                </pt>
                <pt idx="26">
                  <v>42736</v>
                </pt>
                <pt idx="27">
                  <v>42826</v>
                </pt>
                <pt idx="28">
                  <v>42917</v>
                </pt>
                <pt idx="29">
                  <v>43009</v>
                </pt>
                <pt idx="30">
                  <v>43101</v>
                </pt>
                <pt idx="31">
                  <v>43191</v>
                </pt>
                <pt idx="32">
                  <v>43282</v>
                </pt>
                <pt idx="33">
                  <v>43374</v>
                </pt>
                <pt idx="34">
                  <v>43466</v>
                </pt>
                <pt idx="35">
                  <v>43556</v>
                </pt>
                <pt idx="36">
                  <v>43647</v>
                </pt>
                <pt idx="37">
                  <v>43739</v>
                </pt>
                <pt idx="38">
                  <v>43831</v>
                </pt>
                <pt idx="39">
                  <v>43922</v>
                </pt>
                <pt idx="40">
                  <v>44013</v>
                </pt>
                <pt idx="41">
                  <v>44105</v>
                </pt>
                <pt idx="42">
                  <v>44197</v>
                </pt>
                <pt idx="43">
                  <v>44287</v>
                </pt>
                <pt idx="44">
                  <v>44378</v>
                </pt>
                <pt idx="45">
                  <v>44470</v>
                </pt>
                <pt idx="46">
                  <v>44562</v>
                </pt>
                <pt idx="47">
                  <v>44652</v>
                </pt>
                <pt idx="48">
                  <v>44743</v>
                </pt>
                <pt idx="49">
                  <v>44835</v>
                </pt>
                <pt idx="50">
                  <v>44927</v>
                </pt>
                <pt idx="51">
                  <v>45017</v>
                </pt>
                <pt idx="52">
                  <v>45108</v>
                </pt>
                <pt idx="53">
                  <v>45200</v>
                </pt>
                <pt idx="54">
                  <v>45292</v>
                </pt>
                <pt idx="55">
                  <v>45383</v>
                </pt>
                <pt idx="56">
                  <v>45474</v>
                </pt>
                <pt idx="57">
                  <v>45566</v>
                </pt>
                <pt idx="58">
                  <v>45658</v>
                </pt>
                <pt idx="59">
                  <v>45748</v>
                </pt>
                <pt idx="60">
                  <v>45839</v>
                </pt>
                <pt idx="61">
                  <v>45931</v>
                </pt>
                <pt idx="62">
                  <v>46023</v>
                </pt>
              </numCache>
            </numRef>
          </cat>
          <val>
            <numRef>
              <f>Deviation_SD!$S$24:$S$86</f>
              <numCache>
                <formatCode>0.00</formatCode>
                <ptCount val="63"/>
                <pt idx="0">
                  <v>-0.6290112762519218</v>
                </pt>
                <pt idx="1">
                  <v>-0.6125040742508353</v>
                </pt>
                <pt idx="2">
                  <v>-0.6617360802189869</v>
                </pt>
                <pt idx="3">
                  <v>-0.7558560916286906</v>
                </pt>
                <pt idx="4">
                  <v>-0.524176063543268</v>
                </pt>
                <pt idx="5">
                  <v>-0.257164831174819</v>
                </pt>
                <pt idx="6">
                  <v>-0.3208768388983098</v>
                </pt>
                <pt idx="7">
                  <v>-0.3973312481664994</v>
                </pt>
                <pt idx="8">
                  <v>-0.1181568143235653</v>
                </pt>
                <pt idx="9">
                  <v>0.04604640558197762</v>
                </pt>
                <pt idx="10">
                  <v>0.7156016867488486</v>
                </pt>
                <pt idx="11">
                  <v>1.238040150081475</v>
                </pt>
                <pt idx="12">
                  <v>0.9000769091118662</v>
                </pt>
                <pt idx="13">
                  <v>0.5916528717231477</v>
                </pt>
                <pt idx="14">
                  <v>0.6272736760412807</v>
                </pt>
                <pt idx="15">
                  <v>0.6408848776913</v>
                </pt>
                <pt idx="16">
                  <v>0.3599728436377255</v>
                </pt>
                <pt idx="17">
                  <v>0.07587520919797529</v>
                </pt>
                <pt idx="18">
                  <v>0.1213424147097402</v>
                </pt>
                <pt idx="19">
                  <v>0.09035521095331484</v>
                </pt>
                <pt idx="20">
                  <v>-0.2047472248204928</v>
                </pt>
                <pt idx="21">
                  <v>-0.3750320454632774</v>
                </pt>
                <pt idx="22">
                  <v>-0.3753216454983839</v>
                </pt>
                <pt idx="23">
                  <v>-0.4190512507995078</v>
                </pt>
                <pt idx="24">
                  <v>-0.461332855925097</v>
                </pt>
                <pt idx="25">
                  <v>-0.3260896395302317</v>
                </pt>
                <pt idx="26">
                  <v>-0.1879504227842991</v>
                </pt>
                <pt idx="27">
                  <v>-0.2447120296652273</v>
                </pt>
                <pt idx="28">
                  <v>-0.3417280414259979</v>
                </pt>
                <pt idx="29">
                  <v>-0.2629568318769548</v>
                </pt>
                <pt idx="30">
                  <v>-0.1621760196597956</v>
                </pt>
                <pt idx="31">
                  <v>-0.154067218676806</v>
                </pt>
                <pt idx="32">
                  <v>-0.180710421906629</v>
                </pt>
                <pt idx="33">
                  <v>-0.1219216147799536</v>
                </pt>
                <pt idx="34">
                  <v>0.07182080870648112</v>
                </pt>
                <pt idx="35">
                  <v>0.1531984185714858</v>
                </pt>
                <pt idx="36">
                  <v>0.09759521183098428</v>
                </pt>
                <pt idx="37">
                  <v>0.1479856179395639</v>
                </pt>
                <pt idx="38">
                  <v>0.4309248522388854</v>
                </pt>
                <pt idx="39">
                  <v>0.6463872783583284</v>
                </pt>
                <pt idx="40">
                  <v>0.3666336444451799</v>
                </pt>
                <pt idx="41">
                  <v>-0.01187360143937829</v>
                </pt>
                <pt idx="42">
                  <v>-0.2224128269620056</v>
                </pt>
                <pt idx="43">
                  <v>-0.4196304508697211</v>
                </pt>
                <pt idx="44">
                  <v>-0.6035264731625254</v>
                </pt>
                <pt idx="45">
                  <v>-0.6469664784285415</v>
                </pt>
                <pt idx="46">
                  <v>-0.3898016472537228</v>
                </pt>
                <pt idx="47">
                  <v>0.1375600166757188</v>
                </pt>
                <pt idx="48">
                  <v>0.3405696412855705</v>
                </pt>
                <pt idx="49">
                  <v>0.3136368380206404</v>
                </pt>
                <pt idx="50">
                  <v>0.5273616639294429</v>
                </pt>
                <pt idx="51">
                  <v>0.5560320674050139</v>
                </pt>
                <pt idx="52">
                  <v>0.2742512332461185</v>
                </pt>
                <pt idx="53">
                  <v>0.01998240242236728</v>
                </pt>
                <pt idx="54">
                  <v>-0.02172000263300834</v>
                </pt>
                <pt idx="55">
                  <v>-0.1262656153065549</v>
                </pt>
                <pt idx="56">
                  <v>-0.2864144347206036</v>
                </pt>
                <pt idx="57">
                  <v>-0.2638256319822744</v>
                </pt>
                <pt idx="58">
                  <v>0.1126544136565369</v>
                </pt>
                <pt idx="59">
                  <v>0.5933904719337876</v>
                </pt>
                <pt idx="60">
                  <v>0.6365408771646976</v>
                </pt>
                <pt idx="61">
                  <v>0.4879760591549208</v>
                </pt>
                <pt idx="62">
                  <v>0.5233072634379478</v>
                </pt>
              </numCache>
            </numRef>
          </val>
          <smooth val="0"/>
        </ser>
        <ser>
          <idx val="4"/>
          <order val="4"/>
          <tx>
            <strRef>
              <f>Deviation_SD!$T$5</f>
              <strCache>
                <ptCount val="1"/>
                <pt idx="0">
                  <v>invr_av3</v>
                </pt>
              </strCache>
            </strRef>
          </tx>
          <spPr>
            <a:ln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Deviation_SD!$A$24:$A$86</f>
              <numCache>
                <formatCode>yyyy\-mm\-dd</formatCode>
                <ptCount val="63"/>
                <pt idx="0">
                  <v>40360</v>
                </pt>
                <pt idx="1">
                  <v>40452</v>
                </pt>
                <pt idx="2">
                  <v>40544</v>
                </pt>
                <pt idx="3">
                  <v>40634</v>
                </pt>
                <pt idx="4">
                  <v>40725</v>
                </pt>
                <pt idx="5">
                  <v>40817</v>
                </pt>
                <pt idx="6">
                  <v>40909</v>
                </pt>
                <pt idx="7">
                  <v>41000</v>
                </pt>
                <pt idx="8">
                  <v>41091</v>
                </pt>
                <pt idx="9">
                  <v>41183</v>
                </pt>
                <pt idx="10">
                  <v>41275</v>
                </pt>
                <pt idx="11">
                  <v>41365</v>
                </pt>
                <pt idx="12">
                  <v>41456</v>
                </pt>
                <pt idx="13">
                  <v>41548</v>
                </pt>
                <pt idx="14">
                  <v>41640</v>
                </pt>
                <pt idx="15">
                  <v>41730</v>
                </pt>
                <pt idx="16">
                  <v>41821</v>
                </pt>
                <pt idx="17">
                  <v>41913</v>
                </pt>
                <pt idx="18">
                  <v>42005</v>
                </pt>
                <pt idx="19">
                  <v>42095</v>
                </pt>
                <pt idx="20">
                  <v>42186</v>
                </pt>
                <pt idx="21">
                  <v>42278</v>
                </pt>
                <pt idx="22">
                  <v>42370</v>
                </pt>
                <pt idx="23">
                  <v>42461</v>
                </pt>
                <pt idx="24">
                  <v>42552</v>
                </pt>
                <pt idx="25">
                  <v>42644</v>
                </pt>
                <pt idx="26">
                  <v>42736</v>
                </pt>
                <pt idx="27">
                  <v>42826</v>
                </pt>
                <pt idx="28">
                  <v>42917</v>
                </pt>
                <pt idx="29">
                  <v>43009</v>
                </pt>
                <pt idx="30">
                  <v>43101</v>
                </pt>
                <pt idx="31">
                  <v>43191</v>
                </pt>
                <pt idx="32">
                  <v>43282</v>
                </pt>
                <pt idx="33">
                  <v>43374</v>
                </pt>
                <pt idx="34">
                  <v>43466</v>
                </pt>
                <pt idx="35">
                  <v>43556</v>
                </pt>
                <pt idx="36">
                  <v>43647</v>
                </pt>
                <pt idx="37">
                  <v>43739</v>
                </pt>
                <pt idx="38">
                  <v>43831</v>
                </pt>
                <pt idx="39">
                  <v>43922</v>
                </pt>
                <pt idx="40">
                  <v>44013</v>
                </pt>
                <pt idx="41">
                  <v>44105</v>
                </pt>
                <pt idx="42">
                  <v>44197</v>
                </pt>
                <pt idx="43">
                  <v>44287</v>
                </pt>
                <pt idx="44">
                  <v>44378</v>
                </pt>
                <pt idx="45">
                  <v>44470</v>
                </pt>
                <pt idx="46">
                  <v>44562</v>
                </pt>
                <pt idx="47">
                  <v>44652</v>
                </pt>
                <pt idx="48">
                  <v>44743</v>
                </pt>
                <pt idx="49">
                  <v>44835</v>
                </pt>
                <pt idx="50">
                  <v>44927</v>
                </pt>
                <pt idx="51">
                  <v>45017</v>
                </pt>
                <pt idx="52">
                  <v>45108</v>
                </pt>
                <pt idx="53">
                  <v>45200</v>
                </pt>
                <pt idx="54">
                  <v>45292</v>
                </pt>
                <pt idx="55">
                  <v>45383</v>
                </pt>
                <pt idx="56">
                  <v>45474</v>
                </pt>
                <pt idx="57">
                  <v>45566</v>
                </pt>
                <pt idx="58">
                  <v>45658</v>
                </pt>
                <pt idx="59">
                  <v>45748</v>
                </pt>
                <pt idx="60">
                  <v>45839</v>
                </pt>
                <pt idx="61">
                  <v>45931</v>
                </pt>
                <pt idx="62">
                  <v>46023</v>
                </pt>
              </numCache>
            </numRef>
          </cat>
          <val>
            <numRef>
              <f>Deviation_SD!$T$24:$T$86</f>
              <numCache>
                <formatCode>0.00</formatCode>
                <ptCount val="63"/>
                <pt idx="0">
                  <v>-0.3502493683158123</v>
                </pt>
                <pt idx="1">
                  <v>-0.2853744853194147</v>
                </pt>
                <pt idx="2">
                  <v>-0.3329993994265965</v>
                </pt>
                <pt idx="3">
                  <v>-0.5518115047930604</v>
                </pt>
                <pt idx="4">
                  <v>-0.5570614953245608</v>
                </pt>
                <pt idx="5">
                  <v>-0.4951866069175911</v>
                </pt>
                <pt idx="6">
                  <v>-0.6551238184665138</v>
                </pt>
                <pt idx="7">
                  <v>-0.735748673057413</v>
                </pt>
                <pt idx="8">
                  <v>-0.3950617874954049</v>
                </pt>
                <pt idx="9">
                  <v>-0.1378122514518852</v>
                </pt>
                <pt idx="10">
                  <v>0.5579989936337568</v>
                </pt>
                <pt idx="11">
                  <v>1.128185465287068</v>
                </pt>
                <pt idx="12">
                  <v>0.8971858819010509</v>
                </pt>
                <pt idx="13">
                  <v>0.6556863174520321</v>
                </pt>
                <pt idx="14">
                  <v>0.7366861713666096</v>
                </pt>
                <pt idx="15">
                  <v>0.8195610218995809</v>
                </pt>
                <pt idx="16">
                  <v>0.6281238671616561</v>
                </pt>
                <pt idx="17">
                  <v>0.4085617631478347</v>
                </pt>
                <pt idx="18">
                  <v>0.4940616089465551</v>
                </pt>
                <pt idx="19">
                  <v>0.4201867421818716</v>
                </pt>
                <pt idx="20">
                  <v>0.005624989855178361</v>
                </pt>
                <pt idx="21">
                  <v>-0.2641870235315739</v>
                </pt>
                <pt idx="22">
                  <v>-0.3453743771079905</v>
                </pt>
                <pt idx="23">
                  <v>-0.4348117158053365</v>
                </pt>
                <pt idx="24">
                  <v>-0.4985616008306987</v>
                </pt>
                <pt idx="25">
                  <v>-0.3978742824229947</v>
                </pt>
                <pt idx="26">
                  <v>-0.2902494765272365</v>
                </pt>
                <pt idx="27">
                  <v>-0.377436819282511</v>
                </pt>
                <pt idx="28">
                  <v>-0.4996865988017348</v>
                </pt>
                <pt idx="29">
                  <v>-0.4295617252738364</v>
                </pt>
                <pt idx="30">
                  <v>-0.3249369139675075</v>
                </pt>
                <pt idx="31">
                  <v>-0.2915619741601118</v>
                </pt>
                <pt idx="32">
                  <v>-0.2797494954642351</v>
                </pt>
                <pt idx="33">
                  <v>-0.1972496442549433</v>
                </pt>
                <pt idx="34">
                  <v>-0.004499991884142625</v>
                </pt>
                <pt idx="35">
                  <v>0.07406236642652361</v>
                </pt>
                <pt idx="36">
                  <v>0.03018744555612703</v>
                </pt>
                <pt idx="37">
                  <v>0.1001248194221863</v>
                </pt>
                <pt idx="38">
                  <v>0.4027492736308163</v>
                </pt>
                <pt idx="39">
                  <v>0.6528738225244426</v>
                </pt>
                <pt idx="40">
                  <v>0.4271242296699245</v>
                </pt>
                <pt idx="41">
                  <v>0.0905623366683814</v>
                </pt>
                <pt idx="42">
                  <v>-0.09824982280379306</v>
                </pt>
                <pt idx="43">
                  <v>-0.2966244650297724</v>
                </pt>
                <pt idx="44">
                  <v>-0.5000615981254131</v>
                </pt>
                <pt idx="45">
                  <v>-0.5743114642137761</v>
                </pt>
                <pt idx="46">
                  <v>-0.3663743392339922</v>
                </pt>
                <pt idx="47">
                  <v>0.08699984309343442</v>
                </pt>
                <pt idx="48">
                  <v>0.2146871128059983</v>
                </pt>
                <pt idx="49">
                  <v>0.1423122433360291</v>
                </pt>
                <pt idx="50">
                  <v>0.3429368815040799</v>
                </pt>
                <pt idx="51">
                  <v>0.4181242459016393</v>
                </pt>
                <pt idx="52">
                  <v>0.2411245651253399</v>
                </pt>
                <pt idx="53">
                  <v>0.09431232990516718</v>
                </pt>
                <pt idx="54">
                  <v>0.1348122568624569</v>
                </pt>
                <pt idx="55">
                  <v>0.07968735628170229</v>
                </pt>
                <pt idx="56">
                  <v>-0.1004998187458648</v>
                </pt>
                <pt idx="57">
                  <v>-0.1436247409689037</v>
                </pt>
                <pt idx="58">
                  <v>0.1552497200029405</v>
                </pt>
                <pt idx="59">
                  <v>0.5579989936337565</v>
                </pt>
                <pt idx="60">
                  <v>0.5804989530544731</v>
                </pt>
                <pt idx="61">
                  <v>0.4546866799603028</v>
                </pt>
                <pt idx="62">
                  <v>0.5199365622803787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27117416"/>
        <axId val="727118400"/>
      </lineChart>
      <dateAx>
        <axId val="727117416"/>
        <scaling>
          <orientation val="minMax"/>
        </scaling>
        <delete val="0"/>
        <axPos val="b"/>
        <numFmt formatCode="yyyy\-mm\-dd" sourceLinked="1"/>
        <majorTickMark val="none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7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27118400"/>
        <crosses val="autoZero"/>
        <lblOffset val="100"/>
        <baseTimeUnit val="months"/>
      </dateAx>
      <valAx>
        <axId val="727118400"/>
        <scaling>
          <orientation val="minMax"/>
          <max val="2"/>
          <min val="-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7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27117416"/>
        <crosses val="autoZero"/>
        <crossBetween val="between"/>
        <majorUnit val="1"/>
      </valAx>
    </plotArea>
    <legend>
      <legendPos val="b"/>
      <layout>
        <manualLayout>
          <xMode val="edge"/>
          <yMode val="edge"/>
          <wMode val="factor"/>
          <hMode val="factor"/>
          <x val="0.03388546369362496"/>
          <y val="0.845455689904264"/>
          <w val="0.9234055472878429"/>
          <h val="0.121915815057236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7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solidFill>
      <a:schemeClr val="bg1"/>
    </a:solidFill>
    <a:ln w="9525" cap="flat" cmpd="sng" algn="ctr">
      <a:noFill/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defRPr sz="9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900" b="0" i="0" baseline="0"/>
              <a:t>Прирост кредитной задолженности НФК в реальном выражении</a:t>
            </a:r>
            <a:endParaRPr lang="ru-RU" sz="900"/>
          </a:p>
        </rich>
      </tx>
      <layout>
        <manualLayout>
          <xMode val="edge"/>
          <yMode val="edge"/>
          <wMode val="factor"/>
          <hMode val="factor"/>
          <x val="0.1558050459448606"/>
          <y val="0.04385706492556678"/>
        </manualLayout>
      </layout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Deviation_SD!$M$5</f>
              <strCache>
                <ptCount val="1"/>
                <pt idx="0">
                  <v>rcgr_c1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Deviation_SD!$M$22:$M$86</f>
              <numCache>
                <formatCode>0.00</formatCode>
                <ptCount val="65"/>
                <pt idx="0">
                  <v>0.2758553294501509</v>
                </pt>
                <pt idx="1">
                  <v>0.04445229502563722</v>
                </pt>
                <pt idx="2">
                  <v>-0.03421064173083895</v>
                </pt>
                <pt idx="3">
                  <v>0.0401369579534691</v>
                </pt>
                <pt idx="4">
                  <v>-0.1382017002056933</v>
                </pt>
                <pt idx="5">
                  <v>-0.1998878984693786</v>
                </pt>
                <pt idx="6">
                  <v>-0.3132774445350595</v>
                </pt>
                <pt idx="7">
                  <v>-0.9410852900160687</v>
                </pt>
                <pt idx="8">
                  <v>-0.5784186955548257</v>
                </pt>
                <pt idx="9">
                  <v>-0.9387921943447637</v>
                </pt>
                <pt idx="10">
                  <v>-0.3379844324251168</v>
                </pt>
                <pt idx="11">
                  <v>-0.1993659280226034</v>
                </pt>
                <pt idx="12">
                  <v>0.1093576986892239</v>
                </pt>
                <pt idx="13">
                  <v>0.1942581953086499</v>
                </pt>
                <pt idx="14">
                  <v>-0.0004503295155053723</v>
                </pt>
                <pt idx="15">
                  <v>0.1346410423396146</v>
                </pt>
                <pt idx="16">
                  <v>0.1133432058594285</v>
                </pt>
                <pt idx="17">
                  <v>0.2737725591160852</v>
                </pt>
                <pt idx="18">
                  <v>0.01400409053332692</v>
                </pt>
                <pt idx="19">
                  <v>0.005177319888994707</v>
                </pt>
                <pt idx="20">
                  <v>0.2409177116347376</v>
                </pt>
                <pt idx="21">
                  <v>0.3285978329885968</v>
                </pt>
                <pt idx="22">
                  <v>0.6772320628406487</v>
                </pt>
                <pt idx="23">
                  <v>0.6670695112421023</v>
                </pt>
                <pt idx="24">
                  <v>0.4680418266756775</v>
                </pt>
                <pt idx="25">
                  <v>0.3782099674471865</v>
                </pt>
                <pt idx="26">
                  <v>-0.0667590277955096</v>
                </pt>
                <pt idx="27">
                  <v>-0.3709597693165277</v>
                </pt>
                <pt idx="28">
                  <v>-0.7705309572021739</v>
                </pt>
                <pt idx="29">
                  <v>-0.7493128882917695</v>
                </pt>
                <pt idx="30">
                  <v>-0.4423349696476975</v>
                </pt>
                <pt idx="31">
                  <v>-0.2155733702486504</v>
                </pt>
                <pt idx="32">
                  <v>-0.007617750165863618</v>
                </pt>
                <pt idx="33">
                  <v>0.07877262085652388</v>
                </pt>
                <pt idx="34">
                  <v>-0.03778267957120528</v>
                </pt>
                <pt idx="35">
                  <v>-0.01943914623857736</v>
                </pt>
                <pt idx="36">
                  <v>-0.02509192578395274</v>
                </pt>
                <pt idx="37">
                  <v>-0.0790502517901048</v>
                </pt>
                <pt idx="38">
                  <v>-0.1497468871179451</v>
                </pt>
                <pt idx="39">
                  <v>-0.009559305328974699</v>
                </pt>
                <pt idx="40">
                  <v>0.2991146550931166</v>
                </pt>
                <pt idx="41">
                  <v>0.5955926578047637</v>
                </pt>
                <pt idx="42">
                  <v>0.6614420087005199</v>
                </pt>
                <pt idx="43">
                  <v>0.6062529214804353</v>
                </pt>
                <pt idx="44">
                  <v>0.258408446850973</v>
                </pt>
                <pt idx="45">
                  <v>-0.1447470492985277</v>
                </pt>
                <pt idx="46">
                  <v>-0.2759097030529171</v>
                </pt>
                <pt idx="47">
                  <v>-0.5787899940258759</v>
                </pt>
                <pt idx="48">
                  <v>-0.3016276608180483</v>
                </pt>
                <pt idx="49">
                  <v>-0.1449993699904766</v>
                </pt>
                <pt idx="50">
                  <v>-0.4095694586855538</v>
                </pt>
                <pt idx="51">
                  <v>-0.2511693429747271</v>
                </pt>
                <pt idx="52">
                  <v>-0.2943888766929449</v>
                </pt>
                <pt idx="53">
                  <v>-0.2341184244906298</v>
                </pt>
                <pt idx="54">
                  <v>0.2560124575937854</v>
                </pt>
                <pt idx="55">
                  <v>0.3636227339519937</v>
                </pt>
                <pt idx="56">
                  <v>0.2071333853368804</v>
                </pt>
                <pt idx="57">
                  <v>0.1421601487437406</v>
                </pt>
                <pt idx="58">
                  <v>-0.04927591469728407</v>
                </pt>
                <pt idx="59">
                  <v>-0.1189220030478786</v>
                </pt>
                <pt idx="60">
                  <v>0.02701163259719526</v>
                </pt>
                <pt idx="61">
                  <v>0.01551938998532158</v>
                </pt>
                <pt idx="62">
                  <v>0.02448787153663854</v>
                </pt>
                <pt idx="63">
                  <v>-0.06464396169932977</v>
                </pt>
                <pt idx="64">
                  <v>-0.09928459985183183</v>
                </pt>
              </numCache>
            </numRef>
          </val>
          <smooth val="0"/>
        </ser>
        <ser>
          <idx val="1"/>
          <order val="1"/>
          <tx>
            <strRef>
              <f>Deviation_SD!$N$5</f>
              <strCache>
                <ptCount val="1"/>
                <pt idx="0">
                  <v>rcgr_c2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Deviation_SD!$N$22:$N$86</f>
              <numCache>
                <formatCode>0.00</formatCode>
                <ptCount val="65"/>
                <pt idx="0">
                  <v>0.392759170959589</v>
                </pt>
                <pt idx="1">
                  <v>0.3327089452088182</v>
                </pt>
                <pt idx="2">
                  <v>0.26525685755688</v>
                </pt>
                <pt idx="3">
                  <v>0.2552949970832604</v>
                </pt>
                <pt idx="4">
                  <v>0.0801464636984523</v>
                </pt>
                <pt idx="5">
                  <v>-0.09049971306406672</v>
                </pt>
                <pt idx="6">
                  <v>-0.2023189758556679</v>
                </pt>
                <pt idx="7">
                  <v>-0.5245617074258402</v>
                </pt>
                <pt idx="8">
                  <v>-0.4172399293039594</v>
                </pt>
                <pt idx="9">
                  <v>-0.6629769460041562</v>
                </pt>
                <pt idx="10">
                  <v>-0.3791860531862893</v>
                </pt>
                <pt idx="11">
                  <v>-0.6640081532762951</v>
                </pt>
                <pt idx="12">
                  <v>-0.2731027170441452</v>
                </pt>
                <pt idx="13">
                  <v>-0.4334921458557474</v>
                </pt>
                <pt idx="14">
                  <v>-0.1970478331086976</v>
                </pt>
                <pt idx="15">
                  <v>-0.03768495410728156</v>
                </pt>
                <pt idx="16">
                  <v>0.1296637804610568</v>
                </pt>
                <pt idx="17">
                  <v>0.2725028760603606</v>
                </pt>
                <pt idx="18">
                  <v>0.007891444790483574</v>
                </pt>
                <pt idx="19">
                  <v>0.08140684233491415</v>
                </pt>
                <pt idx="20">
                  <v>0.2062623406267348</v>
                </pt>
                <pt idx="21">
                  <v>0.3507198250334848</v>
                </pt>
                <pt idx="22">
                  <v>0.402460389729795</v>
                </pt>
                <pt idx="23">
                  <v>0.3914041826820731</v>
                </pt>
                <pt idx="24">
                  <v>0.412779526502422</v>
                </pt>
                <pt idx="25">
                  <v>0.4115267140455016</v>
                </pt>
                <pt idx="26">
                  <v>0.3554374498564061</v>
                </pt>
                <pt idx="27">
                  <v>0.1724048164385878</v>
                </pt>
                <pt idx="28">
                  <v>-0.176119105990766</v>
                </pt>
                <pt idx="29">
                  <v>-0.2160683080940818</v>
                </pt>
                <pt idx="30">
                  <v>-0.2964112447244087</v>
                </pt>
                <pt idx="31">
                  <v>-0.3414988564857799</v>
                </pt>
                <pt idx="32">
                  <v>-0.4530637330041992</v>
                </pt>
                <pt idx="33">
                  <v>-0.3904105652522284</v>
                </pt>
                <pt idx="34">
                  <v>-0.2795402631613387</v>
                </pt>
                <pt idx="35">
                  <v>-0.1368320052635582</v>
                </pt>
                <pt idx="36">
                  <v>-0.01904464757296362</v>
                </pt>
                <pt idx="37">
                  <v>-0.0001616458473484519</v>
                </pt>
                <pt idx="38">
                  <v>-0.1091858724795926</v>
                </pt>
                <pt idx="39">
                  <v>-0.01688385085541589</v>
                </pt>
                <pt idx="40">
                  <v>0.159545032322582</v>
                </pt>
                <pt idx="41">
                  <v>0.300747952811654</v>
                </pt>
                <pt idx="42">
                  <v>0.2979257046231796</v>
                </pt>
                <pt idx="43">
                  <v>0.3474146196396544</v>
                </pt>
                <pt idx="44">
                  <v>0.3246082598494917</v>
                </pt>
                <pt idx="45">
                  <v>0.2624971197205578</v>
                </pt>
                <pt idx="46">
                  <v>0.2244695698091105</v>
                </pt>
                <pt idx="47">
                  <v>0.01598981828790898</v>
                </pt>
                <pt idx="48">
                  <v>-0.02516364575565527</v>
                </pt>
                <pt idx="49">
                  <v>-0.1686998810184855</v>
                </pt>
                <pt idx="50">
                  <v>-0.3991084801313356</v>
                </pt>
                <pt idx="51">
                  <v>-0.483229583115322</v>
                </pt>
                <pt idx="52">
                  <v>-0.3470204022188929</v>
                </pt>
                <pt idx="53">
                  <v>-0.2207348307457769</v>
                </pt>
                <pt idx="54">
                  <v>-0.08940592907861983</v>
                </pt>
                <pt idx="55">
                  <v>0.06547405736554697</v>
                </pt>
                <pt idx="56">
                  <v>-0.05080301266914113</v>
                </pt>
                <pt idx="57">
                  <v>-0.05354112818799552</v>
                </pt>
                <pt idx="58">
                  <v>0.1203688048135142</v>
                </pt>
                <pt idx="59">
                  <v>0.1424728018726105</v>
                </pt>
                <pt idx="60">
                  <v>0.1363269191159552</v>
                </pt>
                <pt idx="61">
                  <v>0.09180620588139202</v>
                </pt>
                <pt idx="62">
                  <v>-0.0144324128047669</v>
                </pt>
                <pt idx="63">
                  <v>-0.1068781332583417</v>
                </pt>
                <pt idx="64">
                  <v>-0.04207969508865224</v>
                </pt>
              </numCache>
            </numRef>
          </val>
          <smooth val="0"/>
        </ser>
        <ser>
          <idx val="2"/>
          <order val="2"/>
          <tx>
            <strRef>
              <f>Deviation_SD!$O$5</f>
              <strCache>
                <ptCount val="1"/>
                <pt idx="0">
                  <v>rcgr_c3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Deviation_SD!$O$22:$O$86</f>
              <numCache>
                <formatCode>0.00</formatCode>
                <ptCount val="65"/>
                <pt idx="0">
                  <v>0.2993686985573938</v>
                </pt>
                <pt idx="1">
                  <v>0.1556313658354682</v>
                </pt>
                <pt idx="2">
                  <v>0.09478170350757016</v>
                </pt>
                <pt idx="3">
                  <v>0.197706605676881</v>
                </pt>
                <pt idx="4">
                  <v>0.2125321255883521</v>
                </pt>
                <pt idx="5">
                  <v>0.1472222744993661</v>
                </pt>
                <pt idx="6">
                  <v>0.05638814038858165</v>
                </pt>
                <pt idx="7">
                  <v>-0.1991539396917514</v>
                </pt>
                <pt idx="8">
                  <v>-0.1746487024495925</v>
                </pt>
                <pt idx="9">
                  <v>-0.4335767048595206</v>
                </pt>
                <pt idx="10">
                  <v>-0.2716115570509853</v>
                </pt>
                <pt idx="11">
                  <v>-0.4359884040250759</v>
                </pt>
                <pt idx="12">
                  <v>-0.2406217057475702</v>
                </pt>
                <pt idx="13">
                  <v>-0.3742176310501228</v>
                </pt>
                <pt idx="14">
                  <v>-0.2582343745713073</v>
                </pt>
                <pt idx="15">
                  <v>-0.3985421157963147</v>
                </pt>
                <pt idx="16">
                  <v>-0.1409495792339342</v>
                </pt>
                <pt idx="17">
                  <v>-0.186534462301149</v>
                </pt>
                <pt idx="18">
                  <v>-0.1285523743304912</v>
                </pt>
                <pt idx="19">
                  <v>-0.02359512106304186</v>
                </pt>
                <pt idx="20">
                  <v>0.1837041905922934</v>
                </pt>
                <pt idx="21">
                  <v>0.3156560257613988</v>
                </pt>
                <pt idx="22">
                  <v>0.2737169005188392</v>
                </pt>
                <pt idx="23">
                  <v>0.3197211641649012</v>
                </pt>
                <pt idx="24">
                  <v>0.3258291508721233</v>
                </pt>
                <pt idx="25">
                  <v>0.3885450561608181</v>
                </pt>
                <pt idx="26">
                  <v>0.2474427490470217</v>
                </pt>
                <pt idx="27">
                  <v>0.1193819529556645</v>
                </pt>
                <pt idx="28">
                  <v>-0.02439705239673857</v>
                </pt>
                <pt idx="29">
                  <v>-0.01684221143861392</v>
                </pt>
                <pt idx="30">
                  <v>0.06662300894184349</v>
                </pt>
                <pt idx="31">
                  <v>0.03191172324775065</v>
                </pt>
                <pt idx="32">
                  <v>-0.1228767170388096</v>
                </pt>
                <pt idx="33">
                  <v>-0.1158329266132534</v>
                </pt>
                <pt idx="34">
                  <v>-0.2166943556576169</v>
                </pt>
                <pt idx="35">
                  <v>-0.2401103933257653</v>
                </pt>
                <pt idx="36">
                  <v>-0.318275982053445</v>
                </pt>
                <pt idx="37">
                  <v>-0.2970176666837723</v>
                </pt>
                <pt idx="38">
                  <v>-0.249577456106251</v>
                </pt>
                <pt idx="39">
                  <v>-0.09690911236113069</v>
                </pt>
                <pt idx="40">
                  <v>0.1055602802712264</v>
                </pt>
                <pt idx="41">
                  <v>0.2358875621930173</v>
                </pt>
                <pt idx="42">
                  <v>0.1877830150307819</v>
                </pt>
                <pt idx="43">
                  <v>0.2287312490471319</v>
                </pt>
                <pt idx="44">
                  <v>0.2109704719534189</v>
                </pt>
                <pt idx="45">
                  <v>0.1473201521409417</v>
                </pt>
                <pt idx="46">
                  <v>0.09342758886826541</v>
                </pt>
                <pt idx="47">
                  <v>0.007094129304656359</v>
                </pt>
                <pt idx="48">
                  <v>0.1013959820580679</v>
                </pt>
                <pt idx="49">
                  <v>0.1211884806411879</v>
                </pt>
                <pt idx="50">
                  <v>-0.009524478933419664</v>
                </pt>
                <pt idx="51">
                  <v>-0.08864140601545589</v>
                </pt>
                <pt idx="52">
                  <v>-0.1337737935173334</v>
                </pt>
                <pt idx="53">
                  <v>-0.2075761493326846</v>
                </pt>
                <pt idx="54">
                  <v>-0.1701718406407381</v>
                </pt>
                <pt idx="55">
                  <v>-0.1847811654153194</v>
                </pt>
                <pt idx="56">
                  <v>-0.1540910183746079</v>
                </pt>
                <pt idx="57">
                  <v>-0.09389207205091894</v>
                </pt>
                <pt idx="58">
                  <v>-0.08037049272793556</v>
                </pt>
                <pt idx="59">
                  <v>-0.002563122150852739</v>
                </pt>
                <pt idx="60">
                  <v>-0.02387102011252459</v>
                </pt>
                <pt idx="61">
                  <v>-0.03028813586952904</v>
                </pt>
                <pt idx="62">
                  <v>0.09162033709581395</v>
                </pt>
                <pt idx="63">
                  <v>0.07134567485604242</v>
                </pt>
                <pt idx="64">
                  <v>0.05343707755026188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27117416"/>
        <axId val="727118400"/>
      </lineChart>
      <dateAx>
        <axId val="727117416"/>
        <scaling>
          <orientation val="minMax"/>
        </scaling>
        <delete val="0"/>
        <axPos val="b"/>
        <numFmt formatCode="yyyy\-mm\-dd" sourceLinked="1"/>
        <majorTickMark val="none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7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27118400"/>
        <crosses val="autoZero"/>
        <lblOffset val="100"/>
        <baseTimeUnit val="months"/>
      </dateAx>
      <valAx>
        <axId val="727118400"/>
        <scaling>
          <orientation val="minMax"/>
          <max val="2"/>
          <min val="-4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7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27117416"/>
        <crosses val="autoZero"/>
        <crossBetween val="between"/>
        <majorUnit val="1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7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solidFill>
      <a:schemeClr val="bg1"/>
    </a:solidFill>
    <a:ln w="9525" cap="flat" cmpd="sng" algn="ctr">
      <a:noFill/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9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900"/>
              <a:t>Коэффициент обслуживания ДХ кредитной задолженности относительно ВВП</a:t>
            </a:r>
          </a:p>
        </rich>
      </tx>
      <layout>
        <manualLayout>
          <xMode val="edge"/>
          <yMode val="edge"/>
          <wMode val="factor"/>
          <hMode val="factor"/>
          <x val="0.1381579952950462"/>
          <y val="0.04385706492556678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059010625747742"/>
          <y val="0.2282363227943009"/>
          <w val="0.8455695481382361"/>
          <h val="0.4560166174099141"/>
        </manualLayout>
      </layout>
      <lineChart>
        <grouping val="standard"/>
        <varyColors val="0"/>
        <ser>
          <idx val="0"/>
          <order val="0"/>
          <tx>
            <strRef>
              <f>Deviation_SD!$U$5</f>
              <strCache>
                <ptCount val="1"/>
                <pt idx="0">
                  <v>d_srv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Deviation_SD!$U$22:$U$86</f>
              <numCache>
                <formatCode>0.00</formatCode>
                <ptCount val="65"/>
                <pt idx="0">
                  <v>-2.686972397878447</v>
                </pt>
                <pt idx="1">
                  <v>-2.70127946042338</v>
                </pt>
                <pt idx="2">
                  <v>-2.805172501628924</v>
                </pt>
                <pt idx="3">
                  <v>-2.905860999661224</v>
                </pt>
                <pt idx="4">
                  <v>-2.985789376723986</v>
                </pt>
                <pt idx="5">
                  <v>-3.070757203475846</v>
                </pt>
                <pt idx="6">
                  <v>-3.096731777701408</v>
                </pt>
                <pt idx="7">
                  <v>-3.176550738731927</v>
                </pt>
                <pt idx="8">
                  <v>-3.40932495022395</v>
                </pt>
                <pt idx="9">
                  <v>-3.740455966935516</v>
                </pt>
                <pt idx="10">
                  <v>-3.955483086807768</v>
                </pt>
                <pt idx="11">
                  <v>-4.047396074788395</v>
                </pt>
                <pt idx="12">
                  <v>-4.035018865723604</v>
                </pt>
                <pt idx="13">
                  <v>-4.044825257351595</v>
                </pt>
                <pt idx="14">
                  <v>-4.022621819311336</v>
                </pt>
                <pt idx="15">
                  <v>-3.905165342748947</v>
                </pt>
                <pt idx="16">
                  <v>-3.785680623264681</v>
                </pt>
                <pt idx="17">
                  <v>-3.734497262208671</v>
                </pt>
                <pt idx="18">
                  <v>-3.744406016215224</v>
                </pt>
                <pt idx="19">
                  <v>-3.752426852177135</v>
                </pt>
                <pt idx="20">
                  <v>-3.715516611764283</v>
                </pt>
                <pt idx="21">
                  <v>-3.71446697599971</v>
                </pt>
                <pt idx="22">
                  <v>-3.737743916092215</v>
                </pt>
                <pt idx="23">
                  <v>-3.765676763707401</v>
                </pt>
                <pt idx="24">
                  <v>-3.779032713706072</v>
                </pt>
                <pt idx="25">
                  <v>-3.81705440996929</v>
                </pt>
                <pt idx="26">
                  <v>-3.849238114376127</v>
                </pt>
                <pt idx="27">
                  <v>-3.859487155423455</v>
                </pt>
                <pt idx="28">
                  <v>-3.862234843110262</v>
                </pt>
                <pt idx="29">
                  <v>-3.886816647897025</v>
                </pt>
                <pt idx="30">
                  <v>-3.916469275334578</v>
                </pt>
                <pt idx="31">
                  <v>-3.876882828420639</v>
                </pt>
                <pt idx="32">
                  <v>-3.741109146729639</v>
                </pt>
                <pt idx="33">
                  <v>-3.552329354735279</v>
                </pt>
                <pt idx="34">
                  <v>-3.379621384024377</v>
                </pt>
                <pt idx="35">
                  <v>-3.201149638955405</v>
                </pt>
                <pt idx="36">
                  <v>-2.99171475402037</v>
                </pt>
                <pt idx="37">
                  <v>-2.810683266460588</v>
                </pt>
                <pt idx="38">
                  <v>-2.689385181911057</v>
                </pt>
                <pt idx="39">
                  <v>-2.588087683061194</v>
                </pt>
                <pt idx="40">
                  <v>-2.424817179717936</v>
                </pt>
                <pt idx="41">
                  <v>-2.320896316917592</v>
                </pt>
                <pt idx="42">
                  <v>-2.34105423861437</v>
                </pt>
                <pt idx="43">
                  <v>-2.422633055804712</v>
                </pt>
                <pt idx="44">
                  <v>-2.579205589183311</v>
                </pt>
                <pt idx="45">
                  <v>-2.652544265340364</v>
                </pt>
                <pt idx="46">
                  <v>-2.731411090419992</v>
                </pt>
                <pt idx="47">
                  <v>-2.820681400929954</v>
                </pt>
                <pt idx="48">
                  <v>-2.851738658069805</v>
                </pt>
                <pt idx="49">
                  <v>-2.837784054125786</v>
                </pt>
                <pt idx="50">
                  <v>-2.903015251605862</v>
                </pt>
                <pt idx="51">
                  <v>-2.938966022185494</v>
                </pt>
                <pt idx="52">
                  <v>-2.973459492349945</v>
                </pt>
                <pt idx="53">
                  <v>-3.008423791598183</v>
                </pt>
                <pt idx="54">
                  <v>-3.02190648180026</v>
                </pt>
                <pt idx="55">
                  <v>-3.039171091262453</v>
                </pt>
                <pt idx="56">
                  <v>-3.049362992900536</v>
                </pt>
                <pt idx="57">
                  <v>-3.072723753802435</v>
                </pt>
                <pt idx="58">
                  <v>-3.066466044071436</v>
                </pt>
                <pt idx="59">
                  <v>-3.043438321005476</v>
                </pt>
                <pt idx="60">
                  <v>-2.987446683504311</v>
                </pt>
                <pt idx="61">
                  <v>-2.929366091993334</v>
                </pt>
                <pt idx="62">
                  <v>-2.93256618330315</v>
                </pt>
                <pt idx="63">
                  <v>-2.950723507408457</v>
                </pt>
                <pt idx="64">
                  <v>-2.969912953807823</v>
                </pt>
              </numCache>
            </numRef>
          </val>
          <smooth val="0"/>
        </ser>
        <ser>
          <idx val="1"/>
          <order val="1"/>
          <tx>
            <strRef>
              <f>Deviation_SD!$V$5</f>
              <strCache>
                <ptCount val="1"/>
                <pt idx="0">
                  <v>d_srv1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Deviation_SD!$V$22:$V$86</f>
              <numCache>
                <formatCode>0.00</formatCode>
                <ptCount val="65"/>
                <pt idx="0">
                  <v>0.9037204807319006</v>
                </pt>
                <pt idx="1">
                  <v>0.5912474689264371</v>
                </pt>
                <pt idx="2">
                  <v>0.1871661915825437</v>
                </pt>
                <pt idx="3">
                  <v>-0.1414627298919656</v>
                </pt>
                <pt idx="4">
                  <v>-0.3927891268697047</v>
                </pt>
                <pt idx="5">
                  <v>-0.4856713318368178</v>
                </pt>
                <pt idx="6">
                  <v>-0.3832490172470135</v>
                </pt>
                <pt idx="7">
                  <v>-0.3558164153621592</v>
                </pt>
                <pt idx="8">
                  <v>-0.5567293021836751</v>
                </pt>
                <pt idx="9">
                  <v>-0.8803060441254849</v>
                </pt>
                <pt idx="10">
                  <v>-1.128811951065407</v>
                </pt>
                <pt idx="11">
                  <v>-1.14470931507874</v>
                </pt>
                <pt idx="12">
                  <v>-0.8224625244064012</v>
                </pt>
                <pt idx="13">
                  <v>-0.4000875328114517</v>
                </pt>
                <pt idx="14">
                  <v>-0.08825256255885922</v>
                </pt>
                <pt idx="15">
                  <v>0.186959540477424</v>
                </pt>
                <pt idx="16">
                  <v>0.3277502869115483</v>
                </pt>
                <pt idx="17">
                  <v>0.4079201346802421</v>
                </pt>
                <pt idx="18">
                  <v>0.3657092806495565</v>
                </pt>
                <pt idx="19">
                  <v>0.2007717854014919</v>
                </pt>
                <pt idx="20">
                  <v>0.09222923316269445</v>
                </pt>
                <pt idx="21">
                  <v>0.02632942298447866</v>
                </pt>
                <pt idx="22">
                  <v>0.008757201483480283</v>
                </pt>
                <pt idx="23">
                  <v>-0.01741675189000707</v>
                </pt>
                <pt idx="24">
                  <v>-0.08349068490106971</v>
                </pt>
                <pt idx="25">
                  <v>-0.1348491935511605</v>
                </pt>
                <pt idx="26">
                  <v>-0.1465569626069105</v>
                </pt>
                <pt idx="27">
                  <v>-0.123311941629999</v>
                </pt>
                <pt idx="28">
                  <v>-0.109367586435793</v>
                </pt>
                <pt idx="29">
                  <v>-0.09170110958880827</v>
                </pt>
                <pt idx="30">
                  <v>-0.08837405797130687</v>
                </pt>
                <pt idx="31">
                  <v>-0.0228662749830114</v>
                </pt>
                <pt idx="32">
                  <v>0.1592173801724382</v>
                </pt>
                <pt idx="33">
                  <v>0.4396770636581734</v>
                </pt>
                <pt idx="34">
                  <v>0.7056761476682205</v>
                </pt>
                <pt idx="35">
                  <v>0.8882381801474818</v>
                </pt>
                <pt idx="36">
                  <v>0.9850644040728395</v>
                </pt>
                <pt idx="37">
                  <v>0.9748794080751657</v>
                </pt>
                <pt idx="38">
                  <v>0.90730210916862</v>
                </pt>
                <pt idx="39">
                  <v>0.8058580583441167</v>
                </pt>
                <pt idx="40">
                  <v>0.7451758735232624</v>
                </pt>
                <pt idx="41">
                  <v>0.6438154518743522</v>
                </pt>
                <pt idx="42">
                  <v>0.4578742734358812</v>
                </pt>
                <pt idx="43">
                  <v>0.2174869006028581</v>
                </pt>
                <pt idx="44">
                  <v>-0.202940571807512</v>
                </pt>
                <pt idx="45">
                  <v>-0.4359448000324162</v>
                </pt>
                <pt idx="46">
                  <v>-0.5131165156033308</v>
                </pt>
                <pt idx="47">
                  <v>-0.5232268344915334</v>
                </pt>
                <pt idx="48">
                  <v>-0.3582394366766598</v>
                </pt>
                <pt idx="49">
                  <v>-0.2434941119465806</v>
                </pt>
                <pt idx="50">
                  <v>-0.2255703437596417</v>
                </pt>
                <pt idx="51">
                  <v>-0.1554828419876809</v>
                </pt>
                <pt idx="52">
                  <v>-0.1599996774060895</v>
                </pt>
                <pt idx="53">
                  <v>-0.2243026274812334</v>
                </pt>
                <pt idx="54">
                  <v>-0.1562802176802075</v>
                </pt>
                <pt idx="55">
                  <v>-0.1317176210760183</v>
                </pt>
                <pt idx="56">
                  <v>-0.09977368027347619</v>
                </pt>
                <pt idx="57">
                  <v>-0.08452105402289892</v>
                </pt>
                <pt idx="58">
                  <v>-0.0585726809293486</v>
                </pt>
                <pt idx="59">
                  <v>-0.00560919078758518</v>
                </pt>
                <pt idx="60">
                  <v>0.0813877886079192</v>
                </pt>
                <pt idx="61">
                  <v>0.1884408678169058</v>
                </pt>
                <pt idx="62">
                  <v>0.1760087716646669</v>
                </pt>
                <pt idx="63">
                  <v>0.1218718254275809</v>
                </pt>
                <pt idx="64">
                  <v>0.02304774783836187</v>
                </pt>
              </numCache>
            </numRef>
          </val>
          <smooth val="0"/>
        </ser>
        <ser>
          <idx val="2"/>
          <order val="2"/>
          <tx>
            <strRef>
              <f>Deviation_SD!$W$5</f>
              <strCache>
                <ptCount val="1"/>
                <pt idx="0">
                  <v>d_srv2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Deviation_SD!$W$22:$W$86</f>
              <numCache>
                <formatCode>0.00</formatCode>
                <ptCount val="65"/>
                <pt idx="0">
                  <v>0.8251979944789267</v>
                </pt>
                <pt idx="1">
                  <v>0.7963741430587844</v>
                </pt>
                <pt idx="2">
                  <v>0.7162521146072975</v>
                </pt>
                <pt idx="3">
                  <v>0.5510606892979396</v>
                </pt>
                <pt idx="4">
                  <v>0.3084722351511537</v>
                </pt>
                <pt idx="5">
                  <v>0.06374106176980338</v>
                </pt>
                <pt idx="6">
                  <v>-0.1183840197910164</v>
                </pt>
                <pt idx="7">
                  <v>-0.3002297828681855</v>
                </pt>
                <pt idx="8">
                  <v>-0.5732669759122022</v>
                </pt>
                <pt idx="9">
                  <v>-0.8247019705168587</v>
                </pt>
                <pt idx="10">
                  <v>-0.9128992046668397</v>
                </pt>
                <pt idx="11">
                  <v>-0.9059348628187012</v>
                </pt>
                <pt idx="12">
                  <v>-0.8326801286209381</v>
                </pt>
                <pt idx="13">
                  <v>-0.7730311823013399</v>
                </pt>
                <pt idx="14">
                  <v>-0.7347965788415624</v>
                </pt>
                <pt idx="15">
                  <v>-0.578236609386992</v>
                </pt>
                <pt idx="16">
                  <v>-0.2986800252188576</v>
                </pt>
                <pt idx="17">
                  <v>0.004728893983997971</v>
                </pt>
                <pt idx="18">
                  <v>0.1675130980711451</v>
                </pt>
                <pt idx="19">
                  <v>0.2340908378941416</v>
                </pt>
                <pt idx="20">
                  <v>0.2535605229464</v>
                </pt>
                <pt idx="21">
                  <v>0.2621759863701087</v>
                </pt>
                <pt idx="22">
                  <v>0.2260822551984596</v>
                </pt>
                <pt idx="23">
                  <v>0.1106996792934287</v>
                </pt>
                <pt idx="24">
                  <v>0.005275854562189671</v>
                </pt>
                <pt idx="25">
                  <v>-0.06551826567649521</v>
                </pt>
                <pt idx="26">
                  <v>-0.08319591271062279</v>
                </pt>
                <pt idx="27">
                  <v>-0.08496424091391029</v>
                </pt>
                <pt idx="28">
                  <v>-0.1164372113337074</v>
                </pt>
                <pt idx="29">
                  <v>-0.1367786060798419</v>
                </pt>
                <pt idx="30">
                  <v>-0.1418384220821381</v>
                </pt>
                <pt idx="31">
                  <v>-0.08825436307278697</v>
                </pt>
                <pt idx="32">
                  <v>0.03009656224760552</v>
                </pt>
                <pt idx="33">
                  <v>0.2100887321148495</v>
                </pt>
                <pt idx="34">
                  <v>0.3726930319168543</v>
                </pt>
                <pt idx="35">
                  <v>0.5224639353315047</v>
                </pt>
                <pt idx="36">
                  <v>0.690854372041716</v>
                </pt>
                <pt idx="37">
                  <v>0.8540313552587379</v>
                </pt>
                <pt idx="38">
                  <v>0.9738275100472095</v>
                </pt>
                <pt idx="39">
                  <v>1.022802083486174</v>
                </pt>
                <pt idx="40">
                  <v>1.044623865308089</v>
                </pt>
                <pt idx="41">
                  <v>0.9772788804246776</v>
                </pt>
                <pt idx="42">
                  <v>0.8242183748057039</v>
                </pt>
                <pt idx="43">
                  <v>0.6178393720229192</v>
                </pt>
                <pt idx="44">
                  <v>0.3273718362236798</v>
                </pt>
                <pt idx="45">
                  <v>0.1255008605584691</v>
                </pt>
                <pt idx="46">
                  <v>-0.03335222586623757</v>
                </pt>
                <pt idx="47">
                  <v>-0.1845889473579709</v>
                </pt>
                <pt idx="48">
                  <v>-0.338809607652196</v>
                </pt>
                <pt idx="49">
                  <v>-0.4102078258508236</v>
                </pt>
                <pt idx="50">
                  <v>-0.4459784760947353</v>
                </pt>
                <pt idx="51">
                  <v>-0.4097675535855397</v>
                </pt>
                <pt idx="52">
                  <v>-0.312884258629734</v>
                </pt>
                <pt idx="53">
                  <v>-0.2824299286331127</v>
                </pt>
                <pt idx="54">
                  <v>-0.2305403559415198</v>
                </pt>
                <pt idx="55">
                  <v>-0.1733958350921646</v>
                </pt>
                <pt idx="56">
                  <v>-0.1568368581618667</v>
                </pt>
                <pt idx="57">
                  <v>-0.1864507444710105</v>
                </pt>
                <pt idx="58">
                  <v>-0.1297163569270197</v>
                </pt>
                <pt idx="59">
                  <v>-0.08291037197371359</v>
                </pt>
                <pt idx="60">
                  <v>-0.0111003896207376</v>
                </pt>
                <pt idx="61">
                  <v>0.06274106491060044</v>
                </pt>
                <pt idx="62">
                  <v>0.07090144913343455</v>
                </pt>
                <pt idx="63">
                  <v>0.07019298091781295</v>
                </pt>
                <pt idx="64">
                  <v>0.06305242986806989</v>
                </pt>
              </numCache>
            </numRef>
          </val>
          <smooth val="0"/>
        </ser>
        <ser>
          <idx val="3"/>
          <order val="3"/>
          <tx>
            <strRef>
              <f>Deviation_SD!$X$5</f>
              <strCache>
                <ptCount val="1"/>
                <pt idx="0">
                  <v>d_srv_av2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Deviation_SD!$X$22:$X$86</f>
              <numCache>
                <formatCode>0.00</formatCode>
                <ptCount val="65"/>
                <pt idx="0">
                  <v>0.9147841697261212</v>
                </pt>
                <pt idx="1">
                  <v>0.7233266244761228</v>
                </pt>
                <pt idx="2">
                  <v>0.4190159944298498</v>
                </pt>
                <pt idx="3">
                  <v>0.1357037868439454</v>
                </pt>
                <pt idx="4">
                  <v>-0.0855342136183459</v>
                </pt>
                <pt idx="5">
                  <v>-0.2627565827444062</v>
                </pt>
                <pt idx="6">
                  <v>-0.3105463016221068</v>
                </pt>
                <pt idx="7">
                  <v>-0.3917201459821557</v>
                </pt>
                <pt idx="8">
                  <v>-0.6378531733632151</v>
                </pt>
                <pt idx="9">
                  <v>-0.9574354481989303</v>
                </pt>
                <pt idx="10">
                  <v>-1.070400080059469</v>
                </pt>
                <pt idx="11">
                  <v>-1.001562646384576</v>
                </pt>
                <pt idx="12">
                  <v>-0.7957913387714297</v>
                </pt>
                <pt idx="13">
                  <v>-0.6347676885551953</v>
                </pt>
                <pt idx="14">
                  <v>-0.4437351819307062</v>
                </pt>
                <pt idx="15">
                  <v>-0.1342965164199947</v>
                </pt>
                <pt idx="16">
                  <v>0.1451113493213216</v>
                </pt>
                <pt idx="17">
                  <v>0.2754562591499125</v>
                </pt>
                <pt idx="18">
                  <v>0.261319312013588</v>
                </pt>
                <pt idx="19">
                  <v>0.215664447145699</v>
                </pt>
                <pt idx="20">
                  <v>0.215716315016948</v>
                </pt>
                <pt idx="21">
                  <v>0.1641130943447866</v>
                </pt>
                <pt idx="22">
                  <v>0.07842865493913163</v>
                </pt>
                <pt idx="23">
                  <v>-0.005890151727577222</v>
                </pt>
                <pt idx="24">
                  <v>-0.04675009723801288</v>
                </pt>
                <pt idx="25">
                  <v>-0.09830626236374081</v>
                </pt>
                <pt idx="26">
                  <v>-0.1273191127546927</v>
                </pt>
                <pt idx="27">
                  <v>-0.1235306649820349</v>
                </pt>
                <pt idx="28">
                  <v>-0.1094185876682182</v>
                </pt>
                <pt idx="29">
                  <v>-0.1177015394576186</v>
                </pt>
                <pt idx="30">
                  <v>-0.1284617929399903</v>
                </pt>
                <pt idx="31">
                  <v>-0.04628665719479326</v>
                </pt>
                <pt idx="32">
                  <v>0.1523261321333925</v>
                </pt>
                <pt idx="33">
                  <v>0.396539960046671</v>
                </pt>
                <pt idx="34">
                  <v>0.5818073252674641</v>
                </pt>
                <pt idx="35">
                  <v>0.7407375009745824</v>
                </pt>
                <pt idx="36">
                  <v>0.9094514471134655</v>
                </pt>
                <pt idx="37">
                  <v>1.005280206112004</v>
                </pt>
                <pt idx="38">
                  <v>0.987739598221033</v>
                </pt>
                <pt idx="39">
                  <v>0.9186206121500488</v>
                </pt>
                <pt idx="40">
                  <v>0.921501600033462</v>
                </pt>
                <pt idx="41">
                  <v>0.8410667577195363</v>
                </pt>
                <pt idx="42">
                  <v>0.610059279622248</v>
                </pt>
                <pt idx="43">
                  <v>0.3295391974976656</v>
                </pt>
                <pt idx="44">
                  <v>-0.007360185090944245</v>
                </pt>
                <pt idx="45">
                  <v>-0.1731012331622953</v>
                </pt>
                <pt idx="46">
                  <v>-0.3039853951979457</v>
                </pt>
                <pt idx="47">
                  <v>-0.4154731350883411</v>
                </pt>
                <pt idx="48">
                  <v>-0.4181045635689883</v>
                </pt>
                <pt idx="49">
                  <v>-0.3287735392613123</v>
                </pt>
                <pt idx="50">
                  <v>-0.3295965633919504</v>
                </pt>
                <pt idx="51">
                  <v>-0.2840891426046875</v>
                </pt>
                <pt idx="52">
                  <v>-0.2442162890956414</v>
                </pt>
                <pt idx="53">
                  <v>-0.2252175446873767</v>
                </pt>
                <pt idx="54">
                  <v>-0.184078633646725</v>
                </pt>
                <pt idx="55">
                  <v>-0.158803508116034</v>
                </pt>
                <pt idx="56">
                  <v>-0.1360867780808688</v>
                </pt>
                <pt idx="57">
                  <v>-0.1343056178218489</v>
                </pt>
                <pt idx="58">
                  <v>-0.08703225017496902</v>
                </pt>
                <pt idx="59">
                  <v>-0.02936356907703473</v>
                </pt>
                <pt idx="60">
                  <v>0.06226428106106215</v>
                </pt>
                <pt idx="61">
                  <v>0.1416552758396924</v>
                </pt>
                <pt idx="62">
                  <v>0.1242955125794278</v>
                </pt>
                <pt idx="63">
                  <v>0.08538243876845496</v>
                </pt>
                <pt idx="64">
                  <v>0.04524784964830911</v>
                </pt>
              </numCache>
            </numRef>
          </val>
          <smooth val="0"/>
        </ser>
        <ser>
          <idx val="4"/>
          <order val="4"/>
          <tx>
            <strRef>
              <f>Deviation_SD!$Y$5</f>
              <strCache>
                <ptCount val="1"/>
                <pt idx="0">
                  <v>d_srv_av3</v>
                </pt>
              </strCache>
            </strRef>
          </tx>
          <spPr>
            <a:ln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Deviation_SD!$Y$22:$Y$86</f>
              <numCache>
                <formatCode>0.00</formatCode>
                <ptCount val="65"/>
                <pt idx="0">
                  <v>0.924766271862847</v>
                </pt>
                <pt idx="1">
                  <v>0.7880129795187542</v>
                </pt>
                <pt idx="2">
                  <v>0.5666981585843508</v>
                </pt>
                <pt idx="3">
                  <v>0.3655461159780108</v>
                </pt>
                <pt idx="4">
                  <v>0.2024371666118252</v>
                </pt>
                <pt idx="5">
                  <v>0.04616040405573738</v>
                </pt>
                <pt idx="6">
                  <v>-0.03778306746257841</v>
                </pt>
                <pt idx="7">
                  <v>-0.1770343498423531</v>
                </pt>
                <pt idx="8">
                  <v>-0.4625838277498118</v>
                </pt>
                <pt idx="9">
                  <v>-0.8121991180477851</v>
                </pt>
                <pt idx="10">
                  <v>-0.9889221788733064</v>
                </pt>
                <pt idx="11">
                  <v>-0.9973576530870649</v>
                </pt>
                <pt idx="12">
                  <v>-0.8732947519323131</v>
                </pt>
                <pt idx="13">
                  <v>-0.7640829086892829</v>
                </pt>
                <pt idx="14">
                  <v>-0.6211749323805951</v>
                </pt>
                <pt idx="15">
                  <v>-0.3879998730585283</v>
                </pt>
                <pt idx="16">
                  <v>-0.1720277047196031</v>
                </pt>
                <pt idx="17">
                  <v>-0.04650808301067591</v>
                </pt>
                <pt idx="18">
                  <v>0.001853342399383204</v>
                </pt>
                <pt idx="19">
                  <v>0.05079964748852043</v>
                </pt>
                <pt idx="20">
                  <v>0.1412317430871078</v>
                </pt>
                <pt idx="21">
                  <v>0.1695283970834928</v>
                </pt>
                <pt idx="22">
                  <v>0.1424278319902308</v>
                </pt>
                <pt idx="23">
                  <v>0.09334757088790335</v>
                </pt>
                <pt idx="24">
                  <v>0.05411495846924586</v>
                </pt>
                <pt idx="25">
                  <v>-0.009106485925481685</v>
                </pt>
                <pt idx="26">
                  <v>-0.0636050407296234</v>
                </pt>
                <pt idx="27">
                  <v>-0.08991205412429135</v>
                </pt>
                <pt idx="28">
                  <v>-0.09689333706723081</v>
                </pt>
                <pt idx="29">
                  <v>-0.1162817060674253</v>
                </pt>
                <pt idx="30">
                  <v>-0.1343461423801929</v>
                </pt>
                <pt idx="31">
                  <v>-0.07690727032557082</v>
                </pt>
                <pt idx="32">
                  <v>0.07876072477459763</v>
                </pt>
                <pt idx="33">
                  <v>0.282113312728318</v>
                </pt>
                <pt idx="34">
                  <v>0.4516832475444024</v>
                </pt>
                <pt idx="35">
                  <v>0.6099962377790911</v>
                </pt>
                <pt idx="36">
                  <v>0.7829687827038287</v>
                </pt>
                <pt idx="37">
                  <v>0.9059114521335438</v>
                </pt>
                <pt idx="38">
                  <v>0.9457845069179375</v>
                </pt>
                <pt idx="39">
                  <v>0.9507301438272743</v>
                </pt>
                <pt idx="40">
                  <v>1.01178576585897</v>
                </pt>
                <pt idx="41">
                  <v>0.9948881101048337</v>
                </pt>
                <pt idx="42">
                  <v>0.8344202115780733</v>
                </pt>
                <pt idx="43">
                  <v>0.607686376630496</v>
                </pt>
                <pt idx="44">
                  <v>0.3118271908497415</v>
                </pt>
                <pt idx="45">
                  <v>0.1305751323355726</v>
                </pt>
                <pt idx="46">
                  <v>-0.03329876100995681</v>
                </pt>
                <pt idx="47">
                  <v>-0.1859234009372982</v>
                </pt>
                <pt idx="48">
                  <v>-0.2527760522853624</v>
                </pt>
                <pt idx="49">
                  <v>-0.250336908501106</v>
                </pt>
                <pt idx="50">
                  <v>-0.317413089106668</v>
                </pt>
                <pt idx="51">
                  <v>-0.336743916294728</v>
                </pt>
                <pt idx="52">
                  <v>-0.3423398562191483</v>
                </pt>
                <pt idx="53">
                  <v>-0.3308830959967156</v>
                </pt>
                <pt idx="54">
                  <v>-0.2842170360179576</v>
                </pt>
                <pt idx="55">
                  <v>-0.2421718460920671</v>
                </pt>
                <pt idx="56">
                  <v>-0.1983018321308269</v>
                </pt>
                <pt idx="57">
                  <v>-0.181452023141346</v>
                </pt>
                <pt idx="58">
                  <v>-0.137489980191761</v>
                </pt>
                <pt idx="59">
                  <v>-0.08322111584180235</v>
                </pt>
                <pt idx="60">
                  <v>-0.003808328234685202</v>
                </pt>
                <pt idx="61">
                  <v>0.07010277345976787</v>
                </pt>
                <pt idx="62">
                  <v>0.07482329640105888</v>
                </pt>
                <pt idx="63">
                  <v>0.05810586167826509</v>
                </pt>
                <pt idx="64">
                  <v>0.03870964297504623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27117416"/>
        <axId val="727118400"/>
      </lineChart>
      <dateAx>
        <axId val="727117416"/>
        <scaling>
          <orientation val="minMax"/>
        </scaling>
        <delete val="0"/>
        <axPos val="b"/>
        <numFmt formatCode="yyyy\-mm\-dd" sourceLinked="1"/>
        <majorTickMark val="none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7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27118400"/>
        <crosses val="autoZero"/>
        <lblOffset val="100"/>
        <baseTimeUnit val="months"/>
      </dateAx>
      <valAx>
        <axId val="72711840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7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27117416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003311948442821461"/>
          <y val="0.8617699374235136"/>
          <w val="0.9801408151269962"/>
          <h val="0.1056015675379874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7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solidFill>
      <a:schemeClr val="bg1"/>
    </a:solidFill>
    <a:ln w="9525" cap="flat" cmpd="sng" algn="ctr">
      <a:noFill/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9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900"/>
              <a:t>Коэффициент обслуживания НФК кредитной задолженности относительно ВВП</a:t>
            </a:r>
          </a:p>
        </rich>
      </tx>
      <layout>
        <manualLayout>
          <xMode val="edge"/>
          <yMode val="edge"/>
          <wMode val="factor"/>
          <hMode val="factor"/>
          <x val="0.1427748774848401"/>
          <y val="0.1217088979530395"/>
        </manualLayout>
      </layout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Deviation_SD!$C$5</f>
              <strCache>
                <ptCount val="1"/>
                <pt idx="0">
                  <v>dsr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Deviation_SD!$C$22:$C$86</f>
              <numCache>
                <formatCode>0.00</formatCode>
                <ptCount val="65"/>
                <pt idx="0">
                  <v>1.083567710851006</v>
                </pt>
                <pt idx="1">
                  <v>1.499509816819408</v>
                </pt>
                <pt idx="2">
                  <v>1.555977492571843</v>
                </pt>
                <pt idx="3">
                  <v>1.834577647575415</v>
                </pt>
                <pt idx="4">
                  <v>1.662429898573406</v>
                </pt>
                <pt idx="5">
                  <v>1.339118158419505</v>
                </pt>
                <pt idx="6">
                  <v>1.553017316404333</v>
                </pt>
                <pt idx="7">
                  <v>1.611016186235561</v>
                </pt>
                <pt idx="8">
                  <v>1.388038798084619</v>
                </pt>
                <pt idx="9">
                  <v>1.193050927792437</v>
                </pt>
                <pt idx="10">
                  <v>0.7214390105717348</v>
                </pt>
                <pt idx="11">
                  <v>0.6171682573995537</v>
                </pt>
                <pt idx="12">
                  <v>0.647655438743885</v>
                </pt>
                <pt idx="13">
                  <v>0.655864732034051</v>
                </pt>
                <pt idx="14">
                  <v>0.5265201083697791</v>
                </pt>
                <pt idx="15">
                  <v>0.4401293350832053</v>
                </pt>
                <pt idx="16">
                  <v>0.5933415421841042</v>
                </pt>
                <pt idx="17">
                  <v>0.6871919853984214</v>
                </pt>
                <pt idx="18">
                  <v>0.9354487136773795</v>
                </pt>
                <pt idx="19">
                  <v>1.004918465276297</v>
                </pt>
                <pt idx="20">
                  <v>1.335517007447221</v>
                </pt>
                <pt idx="21">
                  <v>1.176072094448144</v>
                </pt>
                <pt idx="22">
                  <v>1.440572301200263</v>
                </pt>
                <pt idx="23">
                  <v>1.826798498233712</v>
                </pt>
                <pt idx="24">
                  <v>1.841254381371815</v>
                </pt>
                <pt idx="25">
                  <v>2.199696449686237</v>
                </pt>
                <pt idx="26">
                  <v>2.016571414807666</v>
                </pt>
                <pt idx="27">
                  <v>2.070460463993422</v>
                </pt>
                <pt idx="28">
                  <v>2.032003627662871</v>
                </pt>
                <pt idx="29">
                  <v>1.86867530117237</v>
                </pt>
                <pt idx="30">
                  <v>1.80894672754138</v>
                </pt>
                <pt idx="31">
                  <v>1.773438823899615</v>
                </pt>
                <pt idx="32">
                  <v>1.847796220208236</v>
                </pt>
                <pt idx="33">
                  <v>2.017162589927729</v>
                </pt>
                <pt idx="34">
                  <v>2.127256298350585</v>
                </pt>
                <pt idx="35">
                  <v>2.137776652319536</v>
                </pt>
                <pt idx="36">
                  <v>2.277513441452264</v>
                </pt>
                <pt idx="37">
                  <v>2.043110025476269</v>
                </pt>
                <pt idx="38">
                  <v>1.934155804674158</v>
                </pt>
                <pt idx="39">
                  <v>1.648465856267164</v>
                </pt>
                <pt idx="40">
                  <v>1.687187637934724</v>
                </pt>
                <pt idx="41">
                  <v>1.786698495002647</v>
                </pt>
                <pt idx="42">
                  <v>1.51784917568247</v>
                </pt>
                <pt idx="43">
                  <v>1.344840319128313</v>
                </pt>
                <pt idx="44">
                  <v>1.211052233579969</v>
                </pt>
                <pt idx="45">
                  <v>0.9377950423645806</v>
                </pt>
                <pt idx="46">
                  <v>1.009203353026008</v>
                </pt>
                <pt idx="47">
                  <v>1.148637892431668</v>
                </pt>
                <pt idx="48">
                  <v>1.079502062492442</v>
                </pt>
                <pt idx="49">
                  <v>1.184575843443046</v>
                </pt>
                <pt idx="50">
                  <v>1.247055382084648</v>
                </pt>
                <pt idx="51">
                  <v>1.192377022333935</v>
                </pt>
                <pt idx="52">
                  <v>1.307625188840435</v>
                </pt>
                <pt idx="53">
                  <v>1.484975708626969</v>
                </pt>
                <pt idx="54">
                  <v>1.394783545327818</v>
                </pt>
                <pt idx="55">
                  <v>1.272833752384301</v>
                </pt>
                <pt idx="56">
                  <v>1.324242402303426</v>
                </pt>
                <pt idx="57">
                  <v>1.242846176612407</v>
                </pt>
                <pt idx="58">
                  <v>1.360181033383343</v>
                </pt>
                <pt idx="59">
                  <v>1.474986937150598</v>
                </pt>
                <pt idx="60">
                  <v>1.234948731645706</v>
                </pt>
                <pt idx="61">
                  <v>1.226185735225393</v>
                </pt>
                <pt idx="62">
                  <v>1.174889389860383</v>
                </pt>
                <pt idx="63">
                  <v>1.219153850780445</v>
                </pt>
                <pt idx="64">
                  <v>1.336037354331139</v>
                </pt>
              </numCache>
            </numRef>
          </val>
          <smooth val="0"/>
        </ser>
        <ser>
          <idx val="1"/>
          <order val="1"/>
          <tx>
            <strRef>
              <f>Deviation_SD!$D$5</f>
              <strCache>
                <ptCount val="1"/>
                <pt idx="0">
                  <v>dsr1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Deviation_SD!$D$22:$D$86</f>
              <numCache>
                <formatCode>0.00</formatCode>
                <ptCount val="65"/>
                <pt idx="0">
                  <v>0.9482684927229466</v>
                </pt>
                <pt idx="1">
                  <v>1.265430768123132</v>
                </pt>
                <pt idx="2">
                  <v>1.11368768488421</v>
                </pt>
                <pt idx="3">
                  <v>1.034704576655624</v>
                </pt>
                <pt idx="4">
                  <v>0.5873844454811291</v>
                </pt>
                <pt idx="5">
                  <v>-0.1627530132857904</v>
                </pt>
                <pt idx="6">
                  <v>-0.003003757152492775</v>
                </pt>
                <pt idx="7">
                  <v>-0.2268528291971204</v>
                </pt>
                <pt idx="8">
                  <v>-0.2784308041257919</v>
                </pt>
                <pt idx="9">
                  <v>-0.1482176951347001</v>
                </pt>
                <pt idx="10">
                  <v>-0.8438211588279846</v>
                </pt>
                <pt idx="11">
                  <v>-1.008479784918791</v>
                </pt>
                <pt idx="12">
                  <v>-0.7512836011640982</v>
                </pt>
                <pt idx="13">
                  <v>-0.5450948816628794</v>
                </pt>
                <pt idx="14">
                  <v>-0.1977885820011313</v>
                </pt>
                <pt idx="15">
                  <v>-0.179645365371895</v>
                </pt>
                <pt idx="16">
                  <v>-0.05511352907366919</v>
                </pt>
                <pt idx="17">
                  <v>0.03178846664398469</v>
                </pt>
                <pt idx="18">
                  <v>0.414949027876677</v>
                </pt>
                <pt idx="19">
                  <v>0.5731041983542583</v>
                </pt>
                <pt idx="20">
                  <v>0.7531020912396098</v>
                </pt>
                <pt idx="21">
                  <v>0.4960776119974113</v>
                </pt>
                <pt idx="22">
                  <v>0.5125602339375023</v>
                </pt>
                <pt idx="23">
                  <v>0.833980103813961</v>
                </pt>
                <pt idx="24">
                  <v>0.5131830567662496</v>
                </pt>
                <pt idx="25">
                  <v>1.038694592659846</v>
                </pt>
                <pt idx="26">
                  <v>0.5844792199592723</v>
                </pt>
                <pt idx="27">
                  <v>0.2472492618765512</v>
                </pt>
                <pt idx="28">
                  <v>0.1935575386249748</v>
                </pt>
                <pt idx="29">
                  <v>-0.3358945840414583</v>
                </pt>
                <pt idx="30">
                  <v>-0.210681427090528</v>
                </pt>
                <pt idx="31">
                  <v>-0.3013945202550757</v>
                </pt>
                <pt idx="32">
                  <v>-0.1869193880273733</v>
                </pt>
                <pt idx="33">
                  <v>0.1506733823982124</v>
                </pt>
                <pt idx="34">
                  <v>0.3229958610299917</v>
                </pt>
                <pt idx="35">
                  <v>0.3697017664191657</v>
                </pt>
                <pt idx="36">
                  <v>0.4360437027459814</v>
                </pt>
                <pt idx="37">
                  <v>0.02632944483954679</v>
                </pt>
                <pt idx="38">
                  <v>-0.1959434020842528</v>
                </pt>
                <pt idx="39">
                  <v>-0.4965146397591002</v>
                </pt>
                <pt idx="40">
                  <v>-0.5990168335518214</v>
                </pt>
                <pt idx="41">
                  <v>-0.2601865311583346</v>
                </pt>
                <pt idx="42">
                  <v>-0.4224356739944273</v>
                </pt>
                <pt idx="43">
                  <v>-0.3080956427089023</v>
                </pt>
                <pt idx="44">
                  <v>-0.4831452742858577</v>
                </pt>
                <pt idx="45">
                  <v>-0.8614013738861654</v>
                </pt>
                <pt idx="46">
                  <v>-0.5161343249295762</v>
                </pt>
                <pt idx="47">
                  <v>-0.1990910030947266</v>
                </pt>
                <pt idx="48">
                  <v>-0.1334869092092969</v>
                </pt>
                <pt idx="49">
                  <v>0.2504140140284619</v>
                </pt>
                <pt idx="50">
                  <v>0.2413537887919017</v>
                </pt>
                <pt idx="51">
                  <v>0.04438307615938243</v>
                </pt>
                <pt idx="52">
                  <v>0.2314816529968216</v>
                </pt>
                <pt idx="53">
                  <v>0.3048224810259735</v>
                </pt>
                <pt idx="54">
                  <v>0.1499030807141762</v>
                </pt>
                <pt idx="55">
                  <v>0.08164124858769022</v>
                </pt>
                <pt idx="56">
                  <v>0.01686185921696704</v>
                </pt>
                <pt idx="57">
                  <v>-0.2456942669836013</v>
                </pt>
                <pt idx="58">
                  <v>-0.03511194498768518</v>
                </pt>
                <pt idx="59">
                  <v>0.2051293707806321</v>
                </pt>
                <pt idx="60">
                  <v>-0.09060829043028235</v>
                </pt>
                <pt idx="61">
                  <v>-0.0169057235610547</v>
                </pt>
                <pt idx="62">
                  <v>-0.1880195866847928</v>
                </pt>
                <pt idx="63">
                  <v>-0.2595995709523231</v>
                </pt>
                <pt idx="64">
                  <v>0.1025768928078777</v>
                </pt>
              </numCache>
            </numRef>
          </val>
          <smooth val="0"/>
        </ser>
        <ser>
          <idx val="2"/>
          <order val="2"/>
          <tx>
            <strRef>
              <f>Deviation_SD!$E$5</f>
              <strCache>
                <ptCount val="1"/>
                <pt idx="0">
                  <v>dsr2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Deviation_SD!$E$22:$E$86</f>
              <numCache>
                <formatCode>0.00</formatCode>
                <ptCount val="65"/>
                <pt idx="0">
                  <v>0.06278384184024789</v>
                </pt>
                <pt idx="1">
                  <v>0.5267072908488275</v>
                </pt>
                <pt idx="2">
                  <v>0.7927617629285134</v>
                </pt>
                <pt idx="3">
                  <v>1.206045015757139</v>
                </pt>
                <pt idx="4">
                  <v>1.052210586353088</v>
                </pt>
                <pt idx="5">
                  <v>0.755541293290397</v>
                </pt>
                <pt idx="6">
                  <v>0.7610270249072606</v>
                </pt>
                <pt idx="7">
                  <v>0.5535301237229924</v>
                </pt>
                <pt idx="8">
                  <v>0.2116912513491508</v>
                </pt>
                <pt idx="9">
                  <v>-0.2130733209994851</v>
                </pt>
                <pt idx="10">
                  <v>-0.5802340614958734</v>
                </pt>
                <pt idx="11">
                  <v>-0.846434778264501</v>
                </pt>
                <pt idx="12">
                  <v>-0.7055476997513557</v>
                </pt>
                <pt idx="13">
                  <v>-0.4750492867296591</v>
                </pt>
                <pt idx="14">
                  <v>-0.7136982379824961</v>
                </pt>
                <pt idx="15">
                  <v>-0.8140888021939746</v>
                </pt>
                <pt idx="16">
                  <v>-0.5525334378178163</v>
                </pt>
                <pt idx="17">
                  <v>-0.3517112691865647</v>
                </pt>
                <pt idx="18">
                  <v>0.1487956779834848</v>
                </pt>
                <pt idx="19">
                  <v>0.2695931737299594</v>
                </pt>
                <pt idx="20">
                  <v>0.4782532146379895</v>
                </pt>
                <pt idx="21">
                  <v>0.3616873723907509</v>
                </pt>
                <pt idx="22">
                  <v>0.6355179871324046</v>
                </pt>
                <pt idx="23">
                  <v>0.9641169315015464</v>
                </pt>
                <pt idx="24">
                  <v>0.8676430754149913</v>
                </pt>
                <pt idx="25">
                  <v>1.051607118513015</v>
                </pt>
                <pt idx="26">
                  <v>0.7516779985373213</v>
                </pt>
                <pt idx="27">
                  <v>0.7408451197220987</v>
                </pt>
                <pt idx="28">
                  <v>0.4842500006191548</v>
                </pt>
                <pt idx="29">
                  <v>0.4815499588221644</v>
                </pt>
                <pt idx="30">
                  <v>0.2561216698298293</v>
                </pt>
                <pt idx="31">
                  <v>-0.03709966793234866</v>
                </pt>
                <pt idx="32">
                  <v>0.004548379493071466</v>
                </pt>
                <pt idx="33">
                  <v>-0.1269112989905039</v>
                </pt>
                <pt idx="34">
                  <v>0.07695647463779558</v>
                </pt>
                <pt idx="35">
                  <v>0.04680328852334106</v>
                </pt>
                <pt idx="36">
                  <v>0.1706969294581864</v>
                </pt>
                <pt idx="37">
                  <v>0.1212801694970264</v>
                </pt>
                <pt idx="38">
                  <v>0.08705478887777943</v>
                </pt>
                <pt idx="39">
                  <v>-0.08689062775485024</v>
                </pt>
                <pt idx="40">
                  <v>-0.1116671933214007</v>
                </pt>
                <pt idx="41">
                  <v>-0.1602360115340177</v>
                </pt>
                <pt idx="42">
                  <v>-0.4237057697360786</v>
                </pt>
                <pt idx="43">
                  <v>-0.551309111609222</v>
                </pt>
                <pt idx="44">
                  <v>-0.7414842232181884</v>
                </pt>
                <pt idx="45">
                  <v>-0.7684982966226532</v>
                </pt>
                <pt idx="46">
                  <v>-0.6430966687409172</v>
                </pt>
                <pt idx="47">
                  <v>-0.3475180782681329</v>
                </pt>
                <pt idx="48">
                  <v>-0.4225088203317706</v>
                </pt>
                <pt idx="49">
                  <v>-0.4186410563066723</v>
                </pt>
                <pt idx="50">
                  <v>-0.1882762581667497</v>
                </pt>
                <pt idx="51">
                  <v>-0.106003976852012</v>
                </pt>
                <pt idx="52">
                  <v>0.06714479831672054</v>
                </pt>
                <pt idx="53">
                  <v>0.3804412465157033</v>
                </pt>
                <pt idx="54">
                  <v>0.2680844153231153</v>
                </pt>
                <pt idx="55">
                  <v>0.08635032391625409</v>
                </pt>
                <pt idx="56">
                  <v>0.1701619331442518</v>
                </pt>
                <pt idx="57">
                  <v>0.04051392812772869</v>
                </pt>
                <pt idx="58">
                  <v>0.07865348037048245</v>
                </pt>
                <pt idx="59">
                  <v>0.1964917163556922</v>
                </pt>
                <pt idx="60">
                  <v>-0.05053015150621108</v>
                </pt>
                <pt idx="61">
                  <v>-0.179930297499674</v>
                </pt>
                <pt idx="62">
                  <v>-0.1528869928445773</v>
                </pt>
                <pt idx="63">
                  <v>-0.03732231406951433</v>
                </pt>
                <pt idx="64">
                  <v>0.00820073977150363</v>
                </pt>
              </numCache>
            </numRef>
          </val>
          <smooth val="0"/>
        </ser>
        <ser>
          <idx val="3"/>
          <order val="3"/>
          <tx>
            <strRef>
              <f>Deviation_SD!$F$5</f>
              <strCache>
                <ptCount val="1"/>
                <pt idx="0">
                  <v>dsr_av2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Deviation_SD!$F$22:$F$86</f>
              <numCache>
                <formatCode>0.00</formatCode>
                <ptCount val="65"/>
                <pt idx="0">
                  <v>0.6783252863792113</v>
                </pt>
                <pt idx="1">
                  <v>1.141324220518744</v>
                </pt>
                <pt idx="2">
                  <v>1.097586292494938</v>
                </pt>
                <pt idx="3">
                  <v>1.253279404192514</v>
                </pt>
                <pt idx="4">
                  <v>0.808219106956142</v>
                </pt>
                <pt idx="5">
                  <v>0.2218442954669531</v>
                </pt>
                <pt idx="6">
                  <v>0.3111641141728684</v>
                </pt>
                <pt idx="7">
                  <v>0.2209769782127291</v>
                </pt>
                <pt idx="8">
                  <v>-0.1480149583653112</v>
                </pt>
                <pt idx="9">
                  <v>-0.4146631588252442</v>
                </pt>
                <pt idx="10">
                  <v>-0.9104429843798516</v>
                </pt>
                <pt idx="11">
                  <v>-0.910389714550117</v>
                </pt>
                <pt idx="12">
                  <v>-0.7013893588846023</v>
                </pt>
                <pt idx="13">
                  <v>-0.5468604273563562</v>
                </pt>
                <pt idx="14">
                  <v>-0.5971334895306347</v>
                </pt>
                <pt idx="15">
                  <v>-0.5491677503301364</v>
                </pt>
                <pt idx="16">
                  <v>-0.2064012617896042</v>
                </pt>
                <pt idx="17">
                  <v>0.01464075907249076</v>
                </pt>
                <pt idx="18">
                  <v>0.3710413727851942</v>
                </pt>
                <pt idx="19">
                  <v>0.4199192102603936</v>
                </pt>
                <pt idx="20">
                  <v>0.7427273697799908</v>
                </pt>
                <pt idx="21">
                  <v>0.4619132045268884</v>
                </pt>
                <pt idx="22">
                  <v>0.6901483466422988</v>
                </pt>
                <pt idx="23">
                  <v>1.001331497397047</v>
                </pt>
                <pt idx="24">
                  <v>0.8195462192407339</v>
                </pt>
                <pt idx="25">
                  <v>1.051189513718323</v>
                </pt>
                <pt idx="26">
                  <v>0.6253381230873023</v>
                </pt>
                <pt idx="27">
                  <v>0.5323717578594551</v>
                </pt>
                <pt idx="28">
                  <v>0.3359731724039082</v>
                </pt>
                <pt idx="29">
                  <v>0.04948209042901872</v>
                </pt>
                <pt idx="30">
                  <v>-0.1179164700559507</v>
                </pt>
                <pt idx="31">
                  <v>-0.2112300016322958</v>
                </pt>
                <pt idx="32">
                  <v>-0.1185198566317689</v>
                </pt>
                <pt idx="33">
                  <v>0.07433067792826972</v>
                </pt>
                <pt idx="34">
                  <v>0.2264045813148577</v>
                </pt>
                <pt idx="35">
                  <v>0.2226113203089537</v>
                </pt>
                <pt idx="36">
                  <v>0.3728680600805657</v>
                </pt>
                <pt idx="37">
                  <v>0.06955406438019923</v>
                </pt>
                <pt idx="38">
                  <v>-0.0800576944150438</v>
                </pt>
                <pt idx="39">
                  <v>-0.4248471213566604</v>
                </pt>
                <pt idx="40">
                  <v>-0.3626683090340704</v>
                </pt>
                <pt idx="41">
                  <v>-0.225838944128759</v>
                </pt>
                <pt idx="42">
                  <v>-0.5004901931462138</v>
                </pt>
                <pt idx="43">
                  <v>-0.6112848534510915</v>
                </pt>
                <pt idx="44">
                  <v>-0.6509548819670115</v>
                </pt>
                <pt idx="45">
                  <v>-0.8110828050797377</v>
                </pt>
                <pt idx="46">
                  <v>-0.5712932459099924</v>
                </pt>
                <pt idx="47">
                  <v>-0.2794651875951984</v>
                </pt>
                <pt idx="48">
                  <v>-0.2870823983323739</v>
                </pt>
                <pt idx="49">
                  <v>-0.07994577675475169</v>
                </pt>
                <pt idx="50">
                  <v>0.07765959965398578</v>
                </pt>
                <pt idx="51">
                  <v>0.05382725114823893</v>
                </pt>
                <pt idx="52">
                  <v>0.2074980198625112</v>
                </pt>
                <pt idx="53">
                  <v>0.3966073731929322</v>
                </pt>
                <pt idx="54">
                  <v>0.2151516377531375</v>
                </pt>
                <pt idx="55">
                  <v>0.02047192357637002</v>
                </pt>
                <pt idx="56">
                  <v>0.06152998773937739</v>
                </pt>
                <pt idx="57">
                  <v>-0.06660568765443071</v>
                </pt>
                <pt idx="58">
                  <v>0.05931290032835659</v>
                </pt>
                <pt idx="59">
                  <v>0.1744923353985176</v>
                </pt>
                <pt idx="60">
                  <v>-0.1405750566139533</v>
                </pt>
                <pt idx="61">
                  <v>-0.1402071322062789</v>
                </pt>
                <pt idx="62">
                  <v>-0.1618866577063804</v>
                </pt>
                <pt idx="63">
                  <v>-0.07979010005928694</v>
                </pt>
                <pt idx="64">
                  <v>0.06162350538439849</v>
                </pt>
              </numCache>
            </numRef>
          </val>
          <smooth val="0"/>
        </ser>
        <ser>
          <idx val="4"/>
          <order val="4"/>
          <tx>
            <strRef>
              <f>Deviation_SD!$G$5</f>
              <strCache>
                <ptCount val="1"/>
                <pt idx="0">
                  <v>dsr_av3</v>
                </pt>
              </strCache>
            </strRef>
          </tx>
          <spPr>
            <a:ln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Deviation_SD!$G$22:$G$86</f>
              <numCache>
                <formatCode>0.00</formatCode>
                <ptCount val="65"/>
                <pt idx="0">
                  <v>0.7829854407589728</v>
                </pt>
                <pt idx="1">
                  <v>1.030005874633834</v>
                </pt>
                <pt idx="2">
                  <v>0.9321319536619251</v>
                </pt>
                <pt idx="3">
                  <v>1.081305415325697</v>
                </pt>
                <pt idx="4">
                  <v>0.8118720566848735</v>
                </pt>
                <pt idx="5">
                  <v>0.4443878034741061</v>
                </pt>
                <pt idx="6">
                  <v>0.6035047834547664</v>
                </pt>
                <pt idx="7">
                  <v>0.5678570061751457</v>
                </pt>
                <pt idx="8">
                  <v>0.2296256761069928</v>
                </pt>
                <pt idx="9">
                  <v>-0.05949140771293503</v>
                </pt>
                <pt idx="10">
                  <v>-0.592670313309371</v>
                </pt>
                <pt idx="11">
                  <v>-0.7149985410551098</v>
                </pt>
                <pt idx="12">
                  <v>-0.6694709451411345</v>
                </pt>
                <pt idx="13">
                  <v>-0.6262973941864702</v>
                </pt>
                <pt idx="14">
                  <v>-0.6835329567335429</v>
                </pt>
                <pt idx="15">
                  <v>-0.6841171870811055</v>
                </pt>
                <pt idx="16">
                  <v>-0.4229389464572183</v>
                </pt>
                <pt idx="17">
                  <v>-0.2455916336540986</v>
                </pt>
                <pt idx="18">
                  <v>0.04774010871040636</v>
                </pt>
                <pt idx="19">
                  <v>0.1649760941763506</v>
                </pt>
                <pt idx="20">
                  <v>0.5344296065727256</v>
                </pt>
                <pt idx="21">
                  <v>0.3841030568008104</v>
                </pt>
                <pt idx="22">
                  <v>0.6418872283506426</v>
                </pt>
                <pt idx="23">
                  <v>0.9582083608791507</v>
                </pt>
                <pt idx="24">
                  <v>0.874501961845444</v>
                </pt>
                <pt idx="25">
                  <v>1.125558707728846</v>
                </pt>
                <pt idx="26">
                  <v>0.823314316362895</v>
                </pt>
                <pt idx="27">
                  <v>0.7551814464465813</v>
                </pt>
                <pt idx="28">
                  <v>0.5861938308449188</v>
                </pt>
                <pt idx="29">
                  <v>0.3116369733917932</v>
                </pt>
                <pt idx="30">
                  <v>0.158288326062216</v>
                </pt>
                <pt idx="31">
                  <v>0.05330041321206216</v>
                </pt>
                <pt idx="32">
                  <v>0.06329907210789346</v>
                </pt>
                <pt idx="33">
                  <v>0.1861020974499915</v>
                </pt>
                <pt idx="34">
                  <v>0.2248817568264725</v>
                </pt>
                <pt idx="35">
                  <v>0.1796065006274572</v>
                </pt>
                <pt idx="36">
                  <v>0.2899480879168208</v>
                </pt>
                <pt idx="37">
                  <v>0.02746878057582832</v>
                </pt>
                <pt idx="38">
                  <v>-0.06550405495255519</v>
                </pt>
                <pt idx="39">
                  <v>-0.335800441953447</v>
                </pt>
                <pt idx="40">
                  <v>-0.2641717306792107</v>
                </pt>
                <pt idx="41">
                  <v>-0.1398475960763768</v>
                </pt>
                <pt idx="42">
                  <v>-0.3938537420595873</v>
                </pt>
                <pt idx="43">
                  <v>-0.5380560893979697</v>
                </pt>
                <pt idx="44">
                  <v>-0.6331288802381049</v>
                </pt>
                <pt idx="45">
                  <v>-0.8465911213801065</v>
                </pt>
                <pt idx="46">
                  <v>-0.6901693168191854</v>
                </pt>
                <pt idx="47">
                  <v>-0.4646761258272734</v>
                </pt>
                <pt idx="48">
                  <v>-0.4517901700754087</v>
                </pt>
                <pt idx="49">
                  <v>-0.2531476211938114</v>
                </pt>
                <pt idx="50">
                  <v>-0.1232216469218409</v>
                </pt>
                <pt idx="51">
                  <v>-0.1207205275538448</v>
                </pt>
                <pt idx="52">
                  <v>0.02784891645383027</v>
                </pt>
                <pt idx="53">
                  <v>0.2304395961250865</v>
                </pt>
                <pt idx="54">
                  <v>0.1673800019724678</v>
                </pt>
                <pt idx="55">
                  <v>0.05910097726860927</v>
                </pt>
                <pt idx="56">
                  <v>0.1147547622385479</v>
                </pt>
                <pt idx="57">
                  <v>0.02670331051390191</v>
                </pt>
                <pt idx="58">
                  <v>0.1158067693641806</v>
                </pt>
                <pt idx="59">
                  <v>0.1987484167329111</v>
                </pt>
                <pt idx="60">
                  <v>-0.06031427779398292</v>
                </pt>
                <pt idx="61">
                  <v>-0.08136712188159582</v>
                </pt>
                <pt idx="62">
                  <v>-0.1344564337619089</v>
                </pt>
                <pt idx="63">
                  <v>-0.08571550931094175</v>
                </pt>
                <pt idx="64">
                  <v>0.02543085229040312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27117416"/>
        <axId val="727118400"/>
      </lineChart>
      <dateAx>
        <axId val="727117416"/>
        <scaling>
          <orientation val="minMax"/>
        </scaling>
        <delete val="0"/>
        <axPos val="b"/>
        <numFmt formatCode="yyyy\-mm\-dd" sourceLinked="1"/>
        <majorTickMark val="none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7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27118400"/>
        <crosses val="autoZero"/>
        <lblOffset val="100"/>
        <baseTimeUnit val="months"/>
      </dateAx>
      <valAx>
        <axId val="727118400"/>
        <scaling>
          <orientation val="minMax"/>
          <min val="-4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7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27117416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7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solidFill>
      <a:schemeClr val="bg1"/>
    </a:solidFill>
    <a:ln w="9525" cap="flat" cmpd="sng" algn="ctr">
      <a:noFill/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defRPr sz="9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900" b="0" i="0" baseline="0"/>
              <a:t>Прирост кредитной задолженности ДХ в реальном выражении</a:t>
            </a:r>
            <a:endParaRPr lang="ru-RU" sz="900"/>
          </a:p>
        </rich>
      </tx>
      <layout>
        <manualLayout>
          <xMode val="edge"/>
          <yMode val="edge"/>
          <wMode val="factor"/>
          <hMode val="factor"/>
          <x val="0.1558050459448606"/>
          <y val="0.04385706492556678"/>
        </manualLayout>
      </layout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Deviation_SD!$AE$5</f>
              <strCache>
                <ptCount val="1"/>
                <pt idx="0">
                  <v>rcgr_h1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Deviation_SD!$AE$22:$AE$86</f>
              <numCache>
                <formatCode>0.00</formatCode>
                <ptCount val="65"/>
                <pt idx="0">
                  <v>0.03642376222579395</v>
                </pt>
                <pt idx="1">
                  <v>0.1180280995551053</v>
                </pt>
                <pt idx="2">
                  <v>0.3024760262183071</v>
                </pt>
                <pt idx="3">
                  <v>0.4766212705785772</v>
                </pt>
                <pt idx="4">
                  <v>0.6199183097538244</v>
                </pt>
                <pt idx="5">
                  <v>0.2595844656827128</v>
                </pt>
                <pt idx="6">
                  <v>-0.3974303438447028</v>
                </pt>
                <pt idx="7">
                  <v>-1.212020734692459</v>
                </pt>
                <pt idx="8">
                  <v>-1.484097269291426</v>
                </pt>
                <pt idx="9">
                  <v>-1.260329712392694</v>
                </pt>
                <pt idx="10">
                  <v>-0.7303559975152244</v>
                </pt>
                <pt idx="11">
                  <v>0.00303955739431193</v>
                </pt>
                <pt idx="12">
                  <v>0.1898081216478743</v>
                </pt>
                <pt idx="13">
                  <v>0.4111249945277177</v>
                </pt>
                <pt idx="14">
                  <v>0.5878235672625337</v>
                </pt>
                <pt idx="15">
                  <v>0.5744673561218889</v>
                </pt>
                <pt idx="16">
                  <v>0.4872662657249343</v>
                </pt>
                <pt idx="17">
                  <v>0.2681448080319626</v>
                </pt>
                <pt idx="18">
                  <v>0.046232210983527</v>
                </pt>
                <pt idx="19">
                  <v>-0.0212279439655444</v>
                </pt>
                <pt idx="20">
                  <v>-0.05674665251991135</v>
                </pt>
                <pt idx="21">
                  <v>-0.05290713443816457</v>
                </pt>
                <pt idx="22">
                  <v>-0.04519788830377495</v>
                </pt>
                <pt idx="23">
                  <v>-0.09250883153347046</v>
                </pt>
                <pt idx="24">
                  <v>-0.2142899909764541</v>
                </pt>
                <pt idx="25">
                  <v>-0.2892406806546645</v>
                </pt>
                <pt idx="26">
                  <v>-0.366143545571863</v>
                </pt>
                <pt idx="27">
                  <v>-0.4047736843070842</v>
                </pt>
                <pt idx="28">
                  <v>-0.2797524815924436</v>
                </pt>
                <pt idx="29">
                  <v>-0.1372510562104495</v>
                </pt>
                <pt idx="30">
                  <v>0.07273908736116334</v>
                </pt>
                <pt idx="31">
                  <v>0.2652467922737402</v>
                </pt>
                <pt idx="32">
                  <v>0.3931625983494753</v>
                </pt>
                <pt idx="33">
                  <v>0.4667242525285792</v>
                </pt>
                <pt idx="34">
                  <v>0.4546491232184004</v>
                </pt>
                <pt idx="35">
                  <v>0.3881384923949466</v>
                </pt>
                <pt idx="36">
                  <v>0.2848842793616917</v>
                </pt>
                <pt idx="37">
                  <v>0.2312591365892119</v>
                </pt>
                <pt idx="38">
                  <v>0.2018224600958745</v>
                </pt>
                <pt idx="39">
                  <v>0.2106428851112147</v>
                </pt>
                <pt idx="40">
                  <v>0.2601600794651541</v>
                </pt>
                <pt idx="41">
                  <v>0.2339963565138451</v>
                </pt>
                <pt idx="42">
                  <v>0.1367933894269501</v>
                </pt>
                <pt idx="43">
                  <v>-0.01198424551007005</v>
                </pt>
                <pt idx="44">
                  <v>-0.2226035118346076</v>
                </pt>
                <pt idx="45">
                  <v>-0.3319030906991445</v>
                </pt>
                <pt idx="46">
                  <v>-0.3584085224483105</v>
                </pt>
                <pt idx="47">
                  <v>-0.3538996345899895</v>
                </pt>
                <pt idx="48">
                  <v>-0.3697519352072244</v>
                </pt>
                <pt idx="49">
                  <v>-0.5386509182417132</v>
                </pt>
                <pt idx="50">
                  <v>-0.5992607329032019</v>
                </pt>
                <pt idx="51">
                  <v>-0.4888242197435119</v>
                </pt>
                <pt idx="52">
                  <v>-0.3249934563692905</v>
                </pt>
                <pt idx="53">
                  <v>-0.003646443682595955</v>
                </pt>
                <pt idx="54">
                  <v>0.2125743659866166</v>
                </pt>
                <pt idx="55">
                  <v>0.2515315680616783</v>
                </pt>
                <pt idx="56">
                  <v>0.3053833280814946</v>
                </pt>
                <pt idx="57">
                  <v>0.3573493070124367</v>
                </pt>
                <pt idx="58">
                  <v>0.3863828888520577</v>
                </pt>
                <pt idx="59">
                  <v>0.4265131771356375</v>
                </pt>
                <pt idx="60">
                  <v>0.4375721893042129</v>
                </pt>
                <pt idx="61">
                  <v>0.3218178974332099</v>
                </pt>
                <pt idx="62">
                  <v>0.1902055047436355</v>
                </pt>
                <pt idx="63">
                  <v>0.08249214192195266</v>
                </pt>
                <pt idx="64">
                  <v>0.02648837674071547</v>
                </pt>
              </numCache>
            </numRef>
          </val>
          <smooth val="0"/>
        </ser>
        <ser>
          <idx val="1"/>
          <order val="1"/>
          <tx>
            <strRef>
              <f>Deviation_SD!$AF$5</f>
              <strCache>
                <ptCount val="1"/>
                <pt idx="0">
                  <v>rcgr_h2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Deviation_SD!$AF$22:$AF$86</f>
              <numCache>
                <formatCode>0.00</formatCode>
                <ptCount val="65"/>
                <pt idx="0">
                  <v>0.1907222768638903</v>
                </pt>
                <pt idx="1">
                  <v>0.2156945635191162</v>
                </pt>
                <pt idx="2">
                  <v>0.2060137939374312</v>
                </pt>
                <pt idx="3">
                  <v>0.2652777744376298</v>
                </pt>
                <pt idx="4">
                  <v>0.4177902087025332</v>
                </pt>
                <pt idx="5">
                  <v>0.2403667830763499</v>
                </pt>
                <pt idx="6">
                  <v>-0.06044254341137287</v>
                </pt>
                <pt idx="7">
                  <v>-0.4681136692413813</v>
                </pt>
                <pt idx="8">
                  <v>-0.5500874060573164</v>
                </pt>
                <pt idx="9">
                  <v>-0.637017773704463</v>
                </pt>
                <pt idx="10">
                  <v>-0.7178849429954903</v>
                </pt>
                <pt idx="11">
                  <v>-0.7695689792631676</v>
                </pt>
                <pt idx="12">
                  <v>-0.8238712040574711</v>
                </pt>
                <pt idx="13">
                  <v>-0.5405556514728519</v>
                </pt>
                <pt idx="14">
                  <v>-0.09072807659966685</v>
                </pt>
                <pt idx="15">
                  <v>0.3676082095383058</v>
                </pt>
                <pt idx="16">
                  <v>0.4309872270635269</v>
                </pt>
                <pt idx="17">
                  <v>0.4323847040930663</v>
                </pt>
                <pt idx="18">
                  <v>0.4036040156979225</v>
                </pt>
                <pt idx="19">
                  <v>0.3521608919113196</v>
                </pt>
                <pt idx="20">
                  <v>0.2740444148414211</v>
                </pt>
                <pt idx="21">
                  <v>0.1370081188002726</v>
                </pt>
                <pt idx="22">
                  <v>0.0006583912668222049</v>
                </pt>
                <pt idx="23">
                  <v>-0.07239839285262545</v>
                </pt>
                <pt idx="24">
                  <v>-0.1725265843630042</v>
                </pt>
                <pt idx="25">
                  <v>-0.2177919307284445</v>
                </pt>
                <pt idx="26">
                  <v>-0.2618366715218565</v>
                </pt>
                <pt idx="27">
                  <v>-0.3165418993338549</v>
                </pt>
                <pt idx="28">
                  <v>-0.3144794712000192</v>
                </pt>
                <pt idx="29">
                  <v>-0.2714804967741197</v>
                </pt>
                <pt idx="30">
                  <v>-0.1867646690092243</v>
                </pt>
                <pt idx="31">
                  <v>-0.08881492110723144</v>
                </pt>
                <pt idx="32">
                  <v>0.07219046038903064</v>
                </pt>
                <pt idx="33">
                  <v>0.20972398590337</v>
                </pt>
                <pt idx="34">
                  <v>0.3357054803766011</v>
                </pt>
                <pt idx="35">
                  <v>0.4159080852786953</v>
                </pt>
                <pt idx="36">
                  <v>0.4316062593620333</v>
                </pt>
                <pt idx="37">
                  <v>0.4442967139541816</v>
                </pt>
                <pt idx="38">
                  <v>0.4178726482867767</v>
                </pt>
                <pt idx="39">
                  <v>0.3811503290059667</v>
                </pt>
                <pt idx="40">
                  <v>0.3469443848686842</v>
                </pt>
                <pt idx="41">
                  <v>0.2961553096501215</v>
                </pt>
                <pt idx="42">
                  <v>0.2155436813846661</v>
                </pt>
                <pt idx="43">
                  <v>0.1264548442692257</v>
                </pt>
                <pt idx="44">
                  <v>0.02390638494526381</v>
                </pt>
                <pt idx="45">
                  <v>-0.06232188466188997</v>
                </pt>
                <pt idx="46">
                  <v>-0.1410676484555892</v>
                </pt>
                <pt idx="47">
                  <v>-0.2329009660569853</v>
                </pt>
                <pt idx="48">
                  <v>-0.3770599454325007</v>
                </pt>
                <pt idx="49">
                  <v>-0.5541454016275864</v>
                </pt>
                <pt idx="50">
                  <v>-0.6095980360584481</v>
                </pt>
                <pt idx="51">
                  <v>-0.5364303006185014</v>
                </pt>
                <pt idx="52">
                  <v>-0.4422355880165012</v>
                </pt>
                <pt idx="53">
                  <v>-0.3451958021429807</v>
                </pt>
                <pt idx="54">
                  <v>-0.246142651573799</v>
                </pt>
                <pt idx="55">
                  <v>-0.151047069359298</v>
                </pt>
                <pt idx="56">
                  <v>-0.01248269757465145</v>
                </pt>
                <pt idx="57">
                  <v>0.2251472203260598</v>
                </pt>
                <pt idx="58">
                  <v>0.3812622825597516</v>
                </pt>
                <pt idx="59">
                  <v>0.4316049019244333</v>
                </pt>
                <pt idx="60">
                  <v>0.472923425019922</v>
                </pt>
                <pt idx="61">
                  <v>0.4323193959415634</v>
                </pt>
                <pt idx="62">
                  <v>0.367023531752637</v>
                </pt>
                <pt idx="63">
                  <v>0.324003972255452</v>
                </pt>
                <pt idx="64">
                  <v>0.2953946867275438</v>
                </pt>
              </numCache>
            </numRef>
          </val>
          <smooth val="0"/>
        </ser>
        <ser>
          <idx val="2"/>
          <order val="2"/>
          <tx>
            <strRef>
              <f>Deviation_SD!$AG$5</f>
              <strCache>
                <ptCount val="1"/>
                <pt idx="0">
                  <v>rcgr_h3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Deviation_SD!$AG$22:$AG$86</f>
              <numCache>
                <formatCode>0.00</formatCode>
                <ptCount val="65"/>
                <pt idx="0">
                  <v>0.0488121049826525</v>
                </pt>
                <pt idx="1">
                  <v>0.1036794514503972</v>
                </pt>
                <pt idx="2">
                  <v>0.1836291496344294</v>
                </pt>
                <pt idx="3">
                  <v>0.3096805936385769</v>
                </pt>
                <pt idx="4">
                  <v>0.4411652636579017</v>
                </pt>
                <pt idx="5">
                  <v>0.287110663179877</v>
                </pt>
                <pt idx="6">
                  <v>-0.03540001439624132</v>
                </pt>
                <pt idx="7">
                  <v>-0.3815461520493141</v>
                </pt>
                <pt idx="8">
                  <v>-0.3971298652204678</v>
                </pt>
                <pt idx="9">
                  <v>-0.423498810778667</v>
                </pt>
                <pt idx="10">
                  <v>-0.3959568907349196</v>
                </pt>
                <pt idx="11">
                  <v>-0.3513623254712827</v>
                </pt>
                <pt idx="12">
                  <v>-0.3235410672497159</v>
                </pt>
                <pt idx="13">
                  <v>-0.2828805086828056</v>
                </pt>
                <pt idx="14">
                  <v>-0.259056475148403</v>
                </pt>
                <pt idx="15">
                  <v>-0.3044189744777058</v>
                </pt>
                <pt idx="16">
                  <v>-0.3871831785134022</v>
                </pt>
                <pt idx="17">
                  <v>-0.2787735364590866</v>
                </pt>
                <pt idx="18">
                  <v>-0.04620169492533961</v>
                </pt>
                <pt idx="19">
                  <v>0.2668844519733244</v>
                </pt>
                <pt idx="20">
                  <v>0.2976129543308093</v>
                </pt>
                <pt idx="21">
                  <v>0.3005083178916354</v>
                </pt>
                <pt idx="22">
                  <v>0.2825147522193071</v>
                </pt>
                <pt idx="23">
                  <v>0.2210434606510682</v>
                </pt>
                <pt idx="24">
                  <v>0.1037398992010887</v>
                </pt>
                <pt idx="25">
                  <v>-0.03550422191903279</v>
                </pt>
                <pt idx="26">
                  <v>-0.1751674612841786</v>
                </pt>
                <pt idx="27">
                  <v>-0.2487643565234326</v>
                </pt>
                <pt idx="28">
                  <v>-0.2642506041904351</v>
                </pt>
                <pt idx="29">
                  <v>-0.229999895821614</v>
                </pt>
                <pt idx="30">
                  <v>-0.1624503291206447</v>
                </pt>
                <pt idx="31">
                  <v>-0.1113231495563915</v>
                </pt>
                <pt idx="32">
                  <v>-0.04839886355570149</v>
                </pt>
                <pt idx="33">
                  <v>0.01930224488447843</v>
                </pt>
                <pt idx="34">
                  <v>0.0773599154556637</v>
                </pt>
                <pt idx="35">
                  <v>0.1192757129939915</v>
                </pt>
                <pt idx="36">
                  <v>0.1910886218079683</v>
                </pt>
                <pt idx="37">
                  <v>0.2690210300284809</v>
                </pt>
                <pt idx="38">
                  <v>0.3498514250386244</v>
                </pt>
                <pt idx="39">
                  <v>0.4145324508087929</v>
                </pt>
                <pt idx="40">
                  <v>0.4501210063825021</v>
                </pt>
                <pt idx="41">
                  <v>0.4471333939948404</v>
                </pt>
                <pt idx="42">
                  <v>0.3805825837541338</v>
                </pt>
                <pt idx="43">
                  <v>0.2815260679705315</v>
                </pt>
                <pt idx="44">
                  <v>0.1546965703428443</v>
                </pt>
                <pt idx="45">
                  <v>0.06397812030111907</v>
                </pt>
                <pt idx="46">
                  <v>-0.009495876989691841</v>
                </pt>
                <pt idx="47">
                  <v>-0.07447955097935549</v>
                </pt>
                <pt idx="48">
                  <v>-0.1593764702185192</v>
                </pt>
                <pt idx="49">
                  <v>-0.3053995378517338</v>
                </pt>
                <pt idx="50">
                  <v>-0.393829387065216</v>
                </pt>
                <pt idx="51">
                  <v>-0.4100609861418476</v>
                </pt>
                <pt idx="52">
                  <v>-0.4401139945178406</v>
                </pt>
                <pt idx="53">
                  <v>-0.4194127793500859</v>
                </pt>
                <pt idx="54">
                  <v>-0.3574721535435769</v>
                </pt>
                <pt idx="55">
                  <v>-0.2836347192128469</v>
                </pt>
                <pt idx="56">
                  <v>-0.1868031808195267</v>
                </pt>
                <pt idx="57">
                  <v>-0.08873202652000051</v>
                </pt>
                <pt idx="58">
                  <v>-0.0001455988476479817</v>
                </pt>
                <pt idx="59">
                  <v>0.09078181812020535</v>
                </pt>
                <pt idx="60">
                  <v>0.2005245240353272</v>
                </pt>
                <pt idx="61">
                  <v>0.3240927626267787</v>
                </pt>
                <pt idx="62">
                  <v>0.3786144760766512</v>
                </pt>
                <pt idx="63">
                  <v>0.3648807189102994</v>
                </pt>
                <pt idx="64">
                  <v>0.3691540094964008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27117416"/>
        <axId val="727118400"/>
      </lineChart>
      <dateAx>
        <axId val="727117416"/>
        <scaling>
          <orientation val="minMax"/>
        </scaling>
        <delete val="0"/>
        <axPos val="b"/>
        <numFmt formatCode="yyyy\-mm\-dd" sourceLinked="1"/>
        <majorTickMark val="none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7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27118400"/>
        <crosses val="autoZero"/>
        <lblOffset val="100"/>
        <baseTimeUnit val="months"/>
      </dateAx>
      <valAx>
        <axId val="727118400"/>
        <scaling>
          <orientation val="minMax"/>
          <max val="2"/>
          <min val="-4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7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27117416"/>
        <crosses val="autoZero"/>
        <crossBetween val="between"/>
        <majorUnit val="1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7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solidFill>
      <a:schemeClr val="bg1"/>
    </a:solidFill>
    <a:ln w="9525" cap="flat" cmpd="sng" algn="ctr">
      <a:noFill/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defRPr sz="9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900" b="0" i="0" baseline="0"/>
              <a:t>Валовой государственный долг относительно ВВП</a:t>
            </a:r>
            <a:endParaRPr lang="ru-RU" sz="900"/>
          </a:p>
        </rich>
      </tx>
      <layout>
        <manualLayout>
          <xMode val="edge"/>
          <yMode val="edge"/>
          <wMode val="factor"/>
          <hMode val="factor"/>
          <x val="0.1123977782787809"/>
          <y val="0.04929514743198329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059010625747742"/>
          <y val="0.2282363227943009"/>
          <w val="0.8455695481382361"/>
          <h val="0.4614546999163306"/>
        </manualLayout>
      </layout>
      <lineChart>
        <grouping val="standard"/>
        <varyColors val="0"/>
        <ser>
          <idx val="0"/>
          <order val="0"/>
          <tx>
            <strRef>
              <f>Deviation_SD!$AR$5</f>
              <strCache>
                <ptCount val="1"/>
                <pt idx="0">
                  <v>ggd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Deviation_SD!$AR$22:$AR$86</f>
              <numCache>
                <formatCode>0.00</formatCode>
                <ptCount val="65"/>
                <pt idx="0">
                  <v>0.1624996215411685</v>
                </pt>
                <pt idx="1">
                  <v>0.1159507608017858</v>
                </pt>
                <pt idx="2">
                  <v>0.05899737311035122</v>
                </pt>
                <pt idx="3">
                  <v>-0.001144518979330556</v>
                </pt>
                <pt idx="4">
                  <v>-0.03742347952029802</v>
                </pt>
                <pt idx="5">
                  <v>0.1041440148771672</v>
                </pt>
                <pt idx="6">
                  <v>0.04880606848135112</v>
                </pt>
                <pt idx="7">
                  <v>0.3753111613198766</v>
                </pt>
                <pt idx="8">
                  <v>0.3347610209852019</v>
                </pt>
                <pt idx="9">
                  <v>0.2068784048267746</v>
                </pt>
                <pt idx="10">
                  <v>0.105908116356283</v>
                </pt>
                <pt idx="11">
                  <v>-0.01942752828221547</v>
                </pt>
                <pt idx="12">
                  <v>-0.06260950299678449</v>
                </pt>
                <pt idx="13">
                  <v>-0.1199272555464937</v>
                </pt>
                <pt idx="14">
                  <v>-0.1941610162439694</v>
                </pt>
                <pt idx="15">
                  <v>-0.2422863735777359</v>
                </pt>
                <pt idx="16">
                  <v>-0.2654596171221937</v>
                </pt>
                <pt idx="17">
                  <v>-0.316398330416348</v>
                </pt>
                <pt idx="18">
                  <v>-0.3012485453143827</v>
                </pt>
                <pt idx="19">
                  <v>-0.3807567281661327</v>
                </pt>
                <pt idx="20">
                  <v>-0.2024800249402481</v>
                </pt>
                <pt idx="21">
                  <v>-0.2948557834244768</v>
                </pt>
                <pt idx="22">
                  <v>0.007866268034747862</v>
                </pt>
                <pt idx="23">
                  <v>0.1860061030092654</v>
                </pt>
                <pt idx="24">
                  <v>0.402912784276226</v>
                </pt>
                <pt idx="25">
                  <v>0.3268567368228459</v>
                </pt>
                <pt idx="26">
                  <v>0.3608053462359542</v>
                </pt>
                <pt idx="27">
                  <v>0.3570994896643436</v>
                </pt>
                <pt idx="28">
                  <v>0.2051884202605008</v>
                </pt>
                <pt idx="29">
                  <v>0.1784594793791477</v>
                </pt>
                <pt idx="30">
                  <v>0.2712069580762048</v>
                </pt>
                <pt idx="31">
                  <v>0.2417924912948071</v>
                </pt>
                <pt idx="32">
                  <v>0.08557024140119555</v>
                </pt>
                <pt idx="33">
                  <v>0.06268299129875984</v>
                </pt>
                <pt idx="34">
                  <v>0.01111577032105036</v>
                </pt>
                <pt idx="35">
                  <v>-0.0239559971050879</v>
                </pt>
                <pt idx="36">
                  <v>-0.1308643626359474</v>
                </pt>
                <pt idx="37">
                  <v>-0.1947703730706686</v>
                </pt>
                <pt idx="38">
                  <v>-0.2488056411308137</v>
                </pt>
                <pt idx="39">
                  <v>-0.2835894785200475</v>
                </pt>
                <pt idx="40">
                  <v>-0.1804019638929503</v>
                </pt>
                <pt idx="41">
                  <v>-0.1381031855614532</v>
                </pt>
                <pt idx="42">
                  <v>0.07139341424138967</v>
                </pt>
                <pt idx="43">
                  <v>0.09303133685136279</v>
                </pt>
                <pt idx="44">
                  <v>0.1996163830489836</v>
                </pt>
                <pt idx="45">
                  <v>0.07826859050734418</v>
                </pt>
                <pt idx="46">
                  <v>0.006134365801868647</v>
                </pt>
                <pt idx="47">
                  <v>-0.06773452546159686</v>
                </pt>
                <pt idx="48">
                  <v>-0.03522647795969996</v>
                </pt>
                <pt idx="49">
                  <v>-0.04951566708390315</v>
                </pt>
                <pt idx="50">
                  <v>0.03707470685881365</v>
                </pt>
                <pt idx="51">
                  <v>0.07593991282841124</v>
                </pt>
                <pt idx="52">
                  <v>0.0857395738470229</v>
                </pt>
                <pt idx="53">
                  <v>0.03002560077562363</v>
                </pt>
                <pt idx="54">
                  <v>0.07715161189209355</v>
                </pt>
                <pt idx="55">
                  <v>0.04306189759894816</v>
                </pt>
                <pt idx="56">
                  <v>0.06338754703250718</v>
                </pt>
                <pt idx="57">
                  <v>0.009565612398727847</v>
                </pt>
                <pt idx="58">
                  <v>-0.01373335044107015</v>
                </pt>
                <pt idx="59">
                  <v>0.02684462892221962</v>
                </pt>
                <pt idx="60">
                  <v>-0.06785041577647881</v>
                </pt>
                <pt idx="61">
                  <v>-0.1164133430160239</v>
                </pt>
                <pt idx="62">
                  <v>-0.1596700219790956</v>
                </pt>
                <pt idx="63">
                  <v>-0.2591750595729412</v>
                </pt>
                <pt idx="64">
                  <v>-0.3135331940648793</v>
                </pt>
              </numCache>
            </numRef>
          </val>
          <smooth val="0"/>
        </ser>
        <ser>
          <idx val="1"/>
          <order val="1"/>
          <tx>
            <strRef>
              <f>Deviation_SD!$AS$5</f>
              <strCache>
                <ptCount val="1"/>
                <pt idx="0">
                  <v>ggd1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Deviation_SD!$AS$22:$AS$86</f>
              <numCache>
                <formatCode>0.00</formatCode>
                <ptCount val="65"/>
                <pt idx="0">
                  <v>0.3023698392646499</v>
                </pt>
                <pt idx="1">
                  <v>0.2282354446854205</v>
                </pt>
                <pt idx="2">
                  <v>-0.001896943001933139</v>
                </pt>
                <pt idx="3">
                  <v>-0.2860764005240338</v>
                </pt>
                <pt idx="4">
                  <v>-0.330041672803829</v>
                </pt>
                <pt idx="5">
                  <v>-0.01949108509542811</v>
                </pt>
                <pt idx="6">
                  <v>-0.01682424497194285</v>
                </pt>
                <pt idx="7">
                  <v>0.6214692639459121</v>
                </pt>
                <pt idx="8">
                  <v>0.6144182162356845</v>
                </pt>
                <pt idx="9">
                  <v>0.169598359236258</v>
                </pt>
                <pt idx="10">
                  <v>0.09426652198323296</v>
                </pt>
                <pt idx="11">
                  <v>-0.6516516437818316</v>
                </pt>
                <pt idx="12">
                  <v>-0.6559963894198851</v>
                </pt>
                <pt idx="13">
                  <v>-0.5395048709163031</v>
                </pt>
                <pt idx="14">
                  <v>-0.4953670584057857</v>
                </pt>
                <pt idx="15">
                  <v>-0.3679049880176152</v>
                </pt>
                <pt idx="16">
                  <v>-0.3348737121370189</v>
                </pt>
                <pt idx="17">
                  <v>-0.3243429191690901</v>
                </pt>
                <pt idx="18">
                  <v>-0.1767847089364701</v>
                </pt>
                <pt idx="19">
                  <v>-0.2285928300404014</v>
                </pt>
                <pt idx="20">
                  <v>0.1039694254734555</v>
                </pt>
                <pt idx="21">
                  <v>0.03556336515341634</v>
                </pt>
                <pt idx="22">
                  <v>0.5103000580949575</v>
                </pt>
                <pt idx="23">
                  <v>0.9356365116938248</v>
                </pt>
                <pt idx="24">
                  <v>0.9994085445672647</v>
                </pt>
                <pt idx="25">
                  <v>1.026349826988851</v>
                </pt>
                <pt idx="26">
                  <v>0.5826470435327746</v>
                </pt>
                <pt idx="27">
                  <v>0.2824483375733212</v>
                </pt>
                <pt idx="28">
                  <v>-0.3264119029134093</v>
                </pt>
                <pt idx="29">
                  <v>-0.2449805891674345</v>
                </pt>
                <pt idx="30">
                  <v>-0.1479128812616748</v>
                </pt>
                <pt idx="31">
                  <v>-0.1903537631510118</v>
                </pt>
                <pt idx="32">
                  <v>-0.1974708457345051</v>
                </pt>
                <pt idx="33">
                  <v>-0.1911288170027723</v>
                </pt>
                <pt idx="34">
                  <v>-0.4293697438289238</v>
                </pt>
                <pt idx="35">
                  <v>-0.4387090595879882</v>
                </pt>
                <pt idx="36">
                  <v>-0.3572995736350202</v>
                </pt>
                <pt idx="37">
                  <v>-0.4250151112818907</v>
                </pt>
                <pt idx="38">
                  <v>-0.4290894697893411</v>
                </pt>
                <pt idx="39">
                  <v>-0.4286141424733588</v>
                </pt>
                <pt idx="40">
                  <v>-0.08177880744518679</v>
                </pt>
                <pt idx="41">
                  <v>0.0935486357470995</v>
                </pt>
                <pt idx="42">
                  <v>0.5285984026065941</v>
                </pt>
                <pt idx="43">
                  <v>0.6217418760411584</v>
                </pt>
                <pt idx="44">
                  <v>0.6273506676064446</v>
                </pt>
                <pt idx="45">
                  <v>0.3571958545167114</v>
                </pt>
                <pt idx="46">
                  <v>-0.1077324501181266</v>
                </pt>
                <pt idx="47">
                  <v>-0.2653992152272893</v>
                </pt>
                <pt idx="48">
                  <v>-0.3876887177210859</v>
                </pt>
                <pt idx="49">
                  <v>-0.2109517604993741</v>
                </pt>
                <pt idx="50">
                  <v>0.051077648682608</v>
                </pt>
                <pt idx="51">
                  <v>0.2371839557340895</v>
                </pt>
                <pt idx="52">
                  <v>0.1996959724953988</v>
                </pt>
                <pt idx="53">
                  <v>0.1313101535636169</v>
                </pt>
                <pt idx="54">
                  <v>0.06616068232113519</v>
                </pt>
                <pt idx="55">
                  <v>-0.05427644472894393</v>
                </pt>
                <pt idx="56">
                  <v>-0.0368996893368051</v>
                </pt>
                <pt idx="57">
                  <v>-0.03377623072874143</v>
                </pt>
                <pt idx="58">
                  <v>-0.150036813364195</v>
                </pt>
                <pt idx="59">
                  <v>-0.02677216616768582</v>
                </pt>
                <pt idx="60">
                  <v>-0.2166532859428162</v>
                </pt>
                <pt idx="61">
                  <v>-0.2079714898498916</v>
                </pt>
                <pt idx="62">
                  <v>-0.240918547892194</v>
                </pt>
                <pt idx="63">
                  <v>-0.4721736304838033</v>
                </pt>
                <pt idx="64">
                  <v>-0.4055837204149116</v>
                </pt>
              </numCache>
            </numRef>
          </val>
          <smooth val="0"/>
        </ser>
        <ser>
          <idx val="2"/>
          <order val="2"/>
          <tx>
            <strRef>
              <f>Deviation_SD!$AT$5</f>
              <strCache>
                <ptCount val="1"/>
                <pt idx="0">
                  <v>ggd2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Deviation_SD!$AT$22:$AT$86</f>
              <numCache>
                <formatCode>0.00</formatCode>
                <ptCount val="65"/>
                <pt idx="0">
                  <v>0.2444403443413656</v>
                </pt>
                <pt idx="1">
                  <v>0.2898357582830907</v>
                </pt>
                <pt idx="2">
                  <v>0.3455560510054142</v>
                </pt>
                <pt idx="3">
                  <v>0.2826433359962013</v>
                </pt>
                <pt idx="4">
                  <v>-0.01819001739279886</v>
                </pt>
                <pt idx="5">
                  <v>0.1372176341771705</v>
                </pt>
                <pt idx="6">
                  <v>-0.0123063307090407</v>
                </pt>
                <pt idx="7">
                  <v>0.2204697426510171</v>
                </pt>
                <pt idx="8">
                  <v>0.1869342797182404</v>
                </pt>
                <pt idx="9">
                  <v>0.0986726782503019</v>
                </pt>
                <pt idx="10">
                  <v>0.0509065062052664</v>
                </pt>
                <pt idx="11">
                  <v>-0.01984031934111318</v>
                </pt>
                <pt idx="12">
                  <v>-0.02733131840760025</v>
                </pt>
                <pt idx="13">
                  <v>-0.243157211524958</v>
                </pt>
                <pt idx="14">
                  <v>-0.2636625333647354</v>
                </pt>
                <pt idx="15">
                  <v>-0.6702032533954596</v>
                </pt>
                <pt idx="16">
                  <v>-0.6513462274122661</v>
                </pt>
                <pt idx="17">
                  <v>-0.5678483973292348</v>
                </pt>
                <pt idx="18">
                  <v>-0.4418374489440816</v>
                </pt>
                <pt idx="19">
                  <v>-0.3921064959385345</v>
                </pt>
                <pt idx="20">
                  <v>-0.151784412281003</v>
                </pt>
                <pt idx="21">
                  <v>-0.1898285887992391</v>
                </pt>
                <pt idx="22">
                  <v>0.2192355628826994</v>
                </pt>
                <pt idx="23">
                  <v>0.4647735701551886</v>
                </pt>
                <pt idx="24">
                  <v>0.7253030211191157</v>
                </pt>
                <pt idx="25">
                  <v>0.6980462428469604</v>
                </pt>
                <pt idx="26">
                  <v>0.7184463132834888</v>
                </pt>
                <pt idx="27">
                  <v>0.8007053295801064</v>
                </pt>
                <pt idx="28">
                  <v>0.4423928251681025</v>
                </pt>
                <pt idx="29">
                  <v>0.5136313069405394</v>
                </pt>
                <pt idx="30">
                  <v>0.2857715214916606</v>
                </pt>
                <pt idx="31">
                  <v>0.06053816087583759</v>
                </pt>
                <pt idx="32">
                  <v>-0.3443731437673128</v>
                </pt>
                <pt idx="33">
                  <v>-0.2866755349683491</v>
                </pt>
                <pt idx="34">
                  <v>-0.3794754321606881</v>
                </pt>
                <pt idx="35">
                  <v>-0.4135130283500922</v>
                </pt>
                <pt idx="36">
                  <v>-0.3646770844821071</v>
                </pt>
                <pt idx="37">
                  <v>-0.4050208222052624</v>
                </pt>
                <pt idx="38">
                  <v>-0.5643062287367304</v>
                </pt>
                <pt idx="39">
                  <v>-0.570132951556559</v>
                </pt>
                <pt idx="40">
                  <v>-0.288627183932095</v>
                </pt>
                <pt idx="41">
                  <v>-0.2178887404252026</v>
                </pt>
                <pt idx="42">
                  <v>0.06541197265161013</v>
                </pt>
                <pt idx="43">
                  <v>0.1269520802680547</v>
                </pt>
                <pt idx="44">
                  <v>0.3586304323240499</v>
                </pt>
                <pt idx="45">
                  <v>0.2962958745035236</v>
                </pt>
                <pt idx="46">
                  <v>0.2766552850559398</v>
                </pt>
                <pt idx="47">
                  <v>0.2342410447368142</v>
                </pt>
                <pt idx="48">
                  <v>0.1575412424563214</v>
                </pt>
                <pt idx="49">
                  <v>0.09613322550538883</v>
                </pt>
                <pt idx="50">
                  <v>-0.03724190599941811</v>
                </pt>
                <pt idx="51">
                  <v>-0.01854723721855926</v>
                </pt>
                <pt idx="52">
                  <v>-0.123576607257833</v>
                </pt>
                <pt idx="53">
                  <v>-0.05235223077288201</v>
                </pt>
                <pt idx="54">
                  <v>0.07706635257983234</v>
                </pt>
                <pt idx="55">
                  <v>0.1202338400072588</v>
                </pt>
                <pt idx="56">
                  <v>0.1070137697216607</v>
                </pt>
                <pt idx="57">
                  <v>0.06411370429221379</v>
                </pt>
                <pt idx="58">
                  <v>-0.0551357856483839</v>
                </pt>
                <pt idx="59">
                  <v>-0.05327712165457118</v>
                </pt>
                <pt idx="60">
                  <v>-0.1666724766829111</v>
                </pt>
                <pt idx="61">
                  <v>-0.1589123191193236</v>
                </pt>
                <pt idx="62">
                  <v>-0.2569936253408335</v>
                </pt>
                <pt idx="63">
                  <v>-0.3279808945910472</v>
                </pt>
                <pt idx="64">
                  <v>-0.4090260933401804</v>
                </pt>
              </numCache>
            </numRef>
          </val>
          <smooth val="0"/>
        </ser>
        <ser>
          <idx val="3"/>
          <order val="3"/>
          <tx>
            <strRef>
              <f>Deviation_SD!$AU$5</f>
              <strCache>
                <ptCount val="1"/>
                <pt idx="0">
                  <v>ggd_av2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Deviation_SD!$AU$22:$AU$86</f>
              <numCache>
                <formatCode>0.00000</formatCode>
                <ptCount val="65"/>
                <pt idx="0">
                  <v>0.4039930965165811</v>
                </pt>
                <pt idx="1">
                  <v>0.2731711981342891</v>
                </pt>
                <pt idx="2">
                  <v>0.1149723402004294</v>
                </pt>
                <pt idx="3">
                  <v>-0.06004969468853862</v>
                </pt>
                <pt idx="4">
                  <v>-0.1805933735381469</v>
                </pt>
                <pt idx="5">
                  <v>0.07098407254000709</v>
                </pt>
                <pt idx="6">
                  <v>-0.0536006346428091</v>
                </pt>
                <pt idx="7">
                  <v>0.5206465249551823</v>
                </pt>
                <pt idx="8">
                  <v>0.4051645960326499</v>
                </pt>
                <pt idx="9">
                  <v>0.1435135358230318</v>
                </pt>
                <pt idx="10">
                  <v>-0.05320593727405686</v>
                </pt>
                <pt idx="11">
                  <v>-0.2829580915865419</v>
                </pt>
                <pt idx="12">
                  <v>-0.3545748470875084</v>
                </pt>
                <pt idx="13">
                  <v>-0.4494346629874218</v>
                </pt>
                <pt idx="14">
                  <v>-0.5303820775263697</v>
                </pt>
                <pt idx="15">
                  <v>-0.5614731146028845</v>
                </pt>
                <pt idx="16">
                  <v>-0.4668638053502987</v>
                </pt>
                <pt idx="17">
                  <v>-0.4246801880980257</v>
                </pt>
                <pt idx="18">
                  <v>-0.2836073015803054</v>
                </pt>
                <pt idx="19">
                  <v>-0.3337144811015245</v>
                </pt>
                <pt idx="20">
                  <v>0.05757116987124404</v>
                </pt>
                <pt idx="21">
                  <v>-0.07357709619598443</v>
                </pt>
                <pt idx="22">
                  <v>0.4948307584600042</v>
                </pt>
                <pt idx="23">
                  <v>0.762560351293243</v>
                </pt>
                <pt idx="24">
                  <v>1.048648644105648</v>
                </pt>
                <pt idx="25">
                  <v>0.7691579134228853</v>
                </pt>
                <pt idx="26">
                  <v>0.6878017379145449</v>
                </pt>
                <pt idx="27">
                  <v>0.5363913369704555</v>
                </pt>
                <pt idx="28">
                  <v>0.1088561120866009</v>
                </pt>
                <pt idx="29">
                  <v>-0.02718763339849528</v>
                </pt>
                <pt idx="30">
                  <v>0.03162191700340193</v>
                </pt>
                <pt idx="31">
                  <v>-0.07753188943235255</v>
                </pt>
                <pt idx="32">
                  <v>-0.3633144753833626</v>
                </pt>
                <pt idx="33">
                  <v>-0.3339289063929016</v>
                </pt>
                <pt idx="34">
                  <v>-0.3664051705759496</v>
                </pt>
                <pt idx="35">
                  <v>-0.3512760904908416</v>
                </pt>
                <pt idx="36">
                  <v>-0.4550789915152503</v>
                </pt>
                <pt idx="37">
                  <v>-0.4934285103352153</v>
                </pt>
                <pt idx="38">
                  <v>-0.5063548101680526</v>
                </pt>
                <pt idx="39">
                  <v>-0.4534385189408622</v>
                </pt>
                <pt idx="40">
                  <v>-0.1577360780614162</v>
                </pt>
                <pt idx="41">
                  <v>-0.02544366849852387</v>
                </pt>
                <pt idx="42">
                  <v>0.3853710246144694</v>
                </pt>
                <pt idx="43">
                  <v>0.4100681067196732</v>
                </pt>
                <pt idx="44">
                  <v>0.5711082363452078</v>
                </pt>
                <pt idx="45">
                  <v>0.286267187290854</v>
                </pt>
                <pt idx="46">
                  <v>0.1001810581116256</v>
                </pt>
                <pt idx="47">
                  <v>-0.08498097518455792</v>
                </pt>
                <pt idx="48">
                  <v>-0.07530371645974436</v>
                </pt>
                <pt idx="49">
                  <v>-0.1321047734224637</v>
                </pt>
                <pt idx="50">
                  <v>0.0001379557900694241</v>
                </pt>
                <pt idx="51">
                  <v>0.07570962610826384</v>
                </pt>
                <pt idx="52">
                  <v>0.09661170597214952</v>
                </pt>
                <pt idx="53">
                  <v>0.02397441723883554</v>
                </pt>
                <pt idx="54">
                  <v>0.11706010041814</v>
                </pt>
                <pt idx="55">
                  <v>0.04181795470671309</v>
                </pt>
                <pt idx="56">
                  <v>0.05315867837854905</v>
                </pt>
                <pt idx="57">
                  <v>-0.06267869112470419</v>
                </pt>
                <pt idx="58">
                  <v>-0.1164117006259582</v>
                </pt>
                <pt idx="59">
                  <v>-0.03423122907218946</v>
                </pt>
                <pt idx="60">
                  <v>-0.1893112716667034</v>
                </pt>
                <pt idx="61">
                  <v>-0.2407328389660961</v>
                </pt>
                <pt idx="62">
                  <formatCode>0.00</formatCode>
                  <v>-0.2844276157983172</v>
                </pt>
                <pt idx="63">
                  <formatCode>0.00</formatCode>
                  <v>-0.4068382439305482</v>
                </pt>
                <pt idx="64">
                  <formatCode>0.00</formatCode>
                  <v>-0.4358699846205402</v>
                </pt>
              </numCache>
            </numRef>
          </val>
          <smooth val="0"/>
        </ser>
        <ser>
          <idx val="4"/>
          <order val="4"/>
          <tx>
            <strRef>
              <f>Deviation_SD!$AV$5</f>
              <strCache>
                <ptCount val="1"/>
                <pt idx="0">
                  <v>ggd_av3</v>
                </pt>
              </strCache>
            </strRef>
          </tx>
          <spPr>
            <a:ln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Deviation_SD!$AV$22:$AV$86</f>
              <numCache>
                <formatCode>0.00000</formatCode>
                <ptCount val="65"/>
                <pt idx="0">
                  <v>0.3661592492540153</v>
                </pt>
                <pt idx="1">
                  <v>0.2713197895974194</v>
                </pt>
                <pt idx="2">
                  <v>0.1584581577240265</v>
                </pt>
                <pt idx="3">
                  <v>0.04288530669649421</v>
                </pt>
                <pt idx="4">
                  <v>-0.02846714608089336</v>
                </pt>
                <pt idx="5">
                  <v>0.1702060490593383</v>
                </pt>
                <pt idx="6">
                  <v>0.06106390265009903</v>
                </pt>
                <pt idx="7">
                  <v>0.4896168086287161</v>
                </pt>
                <pt idx="8">
                  <v>0.3562345854408775</v>
                </pt>
                <pt idx="9">
                  <v>0.1318547317314369</v>
                </pt>
                <pt idx="10">
                  <v>-0.03919805225523479</v>
                </pt>
                <pt idx="11">
                  <v>-0.2231869453712123</v>
                </pt>
                <pt idx="12">
                  <v>-0.2619615932000784</v>
                </pt>
                <pt idx="13">
                  <v>-0.3168931724952067</v>
                </pt>
                <pt idx="14">
                  <v>-0.394645229729799</v>
                </pt>
                <pt idx="15">
                  <v>-0.4331511342996546</v>
                </pt>
                <pt idx="16">
                  <v>-0.4375362528379645</v>
                </pt>
                <pt idx="17">
                  <v>-0.4830326105985976</v>
                </pt>
                <pt idx="18">
                  <v>-0.4115236515995446</v>
                </pt>
                <pt idx="19">
                  <v>-0.4832348850716998</v>
                </pt>
                <pt idx="20">
                  <v>-0.1394983151876477</v>
                </pt>
                <pt idx="21">
                  <v>-0.207318482901264</v>
                </pt>
                <pt idx="22">
                  <v>0.2835117280882532</v>
                </pt>
                <pt idx="23">
                  <v>0.548933354323796</v>
                </pt>
                <pt idx="24">
                  <v>0.8335549518688756</v>
                </pt>
                <pt idx="25">
                  <v>0.6699375303074545</v>
                </pt>
                <pt idx="26">
                  <v>0.6652599351606131</v>
                </pt>
                <pt idx="27">
                  <v>0.5940956312397269</v>
                </pt>
                <pt idx="28">
                  <v>0.3065212455689903</v>
                </pt>
                <pt idx="29">
                  <v>0.2125678670858004</v>
                </pt>
                <pt idx="30">
                  <v>0.2859492764546576</v>
                </pt>
                <pt idx="31">
                  <v>0.1760835900298832</v>
                </pt>
                <pt idx="32">
                  <v>-0.1203825277402773</v>
                </pt>
                <pt idx="33">
                  <v>-0.1871851831057992</v>
                </pt>
                <pt idx="34">
                  <v>-0.3030955860882242</v>
                </pt>
                <pt idx="35">
                  <v>-0.3534454337297347</v>
                </pt>
                <pt idx="36">
                  <v>-0.4808232098377871</v>
                </pt>
                <pt idx="37">
                  <v>-0.5084959290786917</v>
                </pt>
                <pt idx="38">
                  <v>-0.5235489906702379</v>
                </pt>
                <pt idx="39">
                  <v>-0.5007306813958914</v>
                </pt>
                <pt idx="40">
                  <v>-0.2776655781798841</v>
                </pt>
                <pt idx="41">
                  <v>-0.1716289692985247</v>
                </pt>
                <pt idx="42">
                  <v>0.1644067418868027</v>
                </pt>
                <pt idx="43">
                  <v>0.2189542318398869</v>
                </pt>
                <pt idx="44">
                  <v>0.3884585371352334</v>
                </pt>
                <pt idx="45">
                  <v>0.2020441926628729</v>
                </pt>
                <pt idx="46">
                  <v>0.09742976525780202</v>
                </pt>
                <pt idx="47">
                  <v>-0.00721422249170508</v>
                </pt>
                <pt idx="48">
                  <v>0.04429483991025917</v>
                </pt>
                <pt idx="49">
                  <v>0.01258412262678365</v>
                </pt>
                <pt idx="50">
                  <v>0.1186983802899412</v>
                </pt>
                <pt idx="51">
                  <v>0.140127347255955</v>
                </pt>
                <pt idx="52">
                  <v>0.1114053355762129</v>
                </pt>
                <pt idx="53">
                  <v>0.0004379271164897353</v>
                </pt>
                <pt idx="54">
                  <v>0.04761473836402295</v>
                </pt>
                <pt idx="55">
                  <v>-0.001633882014100977</v>
                </pt>
                <pt idx="56">
                  <v>0.03325482388672743</v>
                </pt>
                <pt idx="57">
                  <v>-0.02724827748619891</v>
                </pt>
                <pt idx="58">
                  <v>-0.05228420792740974</v>
                </pt>
                <pt idx="59">
                  <v>0.007882811538072737</v>
                </pt>
                <pt idx="60">
                  <v>-0.1382503023475291</v>
                </pt>
                <pt idx="61">
                  <v>-0.2035611299389115</v>
                </pt>
                <pt idx="62">
                  <formatCode>0.00</formatCode>
                  <v>-0.2572436188279887</v>
                </pt>
                <pt idx="63">
                  <formatCode>0.00</formatCode>
                  <v>-0.375643586850349</v>
                </pt>
                <pt idx="64">
                  <formatCode>0.00</formatCode>
                  <v>-0.4132990792604248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27117416"/>
        <axId val="727118400"/>
      </lineChart>
      <dateAx>
        <axId val="727117416"/>
        <scaling>
          <orientation val="minMax"/>
        </scaling>
        <delete val="0"/>
        <axPos val="b"/>
        <numFmt formatCode="yyyy\-mm\-dd" sourceLinked="1"/>
        <majorTickMark val="none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7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27118400"/>
        <crosses val="autoZero"/>
        <lblOffset val="100"/>
        <baseTimeUnit val="months"/>
      </dateAx>
      <valAx>
        <axId val="727118400"/>
        <scaling>
          <orientation val="minMax"/>
          <max val="2"/>
          <min val="-4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7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27117416"/>
        <crosses val="autoZero"/>
        <crossBetween val="between"/>
        <majorUnit val="1"/>
      </valAx>
    </plotArea>
    <legend>
      <legendPos val="b"/>
      <layout>
        <manualLayout>
          <xMode val="edge"/>
          <yMode val="edge"/>
          <wMode val="factor"/>
          <hMode val="factor"/>
          <x val="0"/>
          <y val="0.878084184942763"/>
          <w val="0.9813104533068766"/>
          <h val="0.08384923751232133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7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solidFill>
      <a:schemeClr val="bg1"/>
    </a:solidFill>
    <a:ln w="9525" cap="flat" cmpd="sng" algn="ctr">
      <a:noFill/>
      <a:prstDash val="solid"/>
      <a:round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defRPr sz="9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900" b="0" i="0" baseline="0"/>
              <a:t>Леверидж (активы к собственному капиталу)</a:t>
            </a:r>
            <a:endParaRPr lang="ru-RU" sz="900"/>
          </a:p>
        </rich>
      </tx>
      <layout>
        <manualLayout>
          <xMode val="edge"/>
          <yMode val="edge"/>
          <wMode val="factor"/>
          <hMode val="factor"/>
          <x val="0.1266918843396028"/>
          <y val="0.0656093949512328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059010625747742"/>
          <y val="0.2282363227943009"/>
          <w val="0.8455695481382361"/>
          <h val="0.4614546999163306"/>
        </manualLayout>
      </layout>
      <lineChart>
        <grouping val="standard"/>
        <varyColors val="0"/>
        <ser>
          <idx val="0"/>
          <order val="0"/>
          <tx>
            <strRef>
              <f>Deviation_SD!$BG$5</f>
              <strCache>
                <ptCount val="1"/>
                <pt idx="0">
                  <v>lvr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Deviation_SD!$BG$22:$BG$86</f>
              <numCache>
                <formatCode>0.00000</formatCode>
                <ptCount val="65"/>
                <pt idx="0">
                  <v>-0.2009654643798365</v>
                </pt>
                <pt idx="1">
                  <v>-0.04441293791411609</v>
                </pt>
                <pt idx="2">
                  <v>0.2443068539741296</v>
                </pt>
                <pt idx="3">
                  <v>0.3926596188430354</v>
                </pt>
                <pt idx="4">
                  <v>0.5979200251233515</v>
                </pt>
                <pt idx="5">
                  <v>1.236021000802002</v>
                </pt>
                <pt idx="6">
                  <v>1.860940348205925</v>
                </pt>
                <pt idx="7">
                  <v>0.9003132777876839</v>
                </pt>
                <pt idx="8">
                  <v>0.1131144966285839</v>
                </pt>
                <pt idx="9">
                  <v>-0.04885827549497439</v>
                </pt>
                <pt idx="10">
                  <v>-0.01054177653051753</v>
                </pt>
                <pt idx="11">
                  <v>0.09695884373357086</v>
                </pt>
                <pt idx="12">
                  <v>0.1087732284686975</v>
                </pt>
                <pt idx="13">
                  <v>0.07414381964099352</v>
                </pt>
                <pt idx="14">
                  <v>0.1591026869528228</v>
                </pt>
                <pt idx="15">
                  <v>0.2508037077529344</v>
                </pt>
                <pt idx="16">
                  <v>0.2497624558292607</v>
                </pt>
                <pt idx="17">
                  <v>0.2986961543458969</v>
                </pt>
                <pt idx="18">
                  <v>0.3548661126809742</v>
                </pt>
                <pt idx="19">
                  <v>0.4065892080570611</v>
                </pt>
                <pt idx="20">
                  <v>0.6651486390387373</v>
                </pt>
                <pt idx="21">
                  <v>0.9724143430231571</v>
                </pt>
                <pt idx="22">
                  <v>0.8614973096068039</v>
                </pt>
                <pt idx="23">
                  <v>0.7142726723624572</v>
                </pt>
                <pt idx="24">
                  <v>0.8031092108500885</v>
                </pt>
                <pt idx="25">
                  <v>0.784770072379642</v>
                </pt>
                <pt idx="26">
                  <v>0.6063855333739155</v>
                </pt>
                <pt idx="27">
                  <v>0.5044224652419784</v>
                </pt>
                <pt idx="28">
                  <v>0.3459681517632327</v>
                </pt>
                <pt idx="29">
                  <v>0.1462659527812991</v>
                </pt>
                <pt idx="30">
                  <v>0.1110256648066342</v>
                </pt>
                <pt idx="31">
                  <v>0.1474042029673407</v>
                </pt>
                <pt idx="32">
                  <v>0.1382380325008703</v>
                </pt>
                <pt idx="33">
                  <v>0.07410230608997968</v>
                </pt>
                <pt idx="34">
                  <v>0.1134690384198079</v>
                </pt>
                <pt idx="35">
                  <v>0.1846996300256884</v>
                </pt>
                <pt idx="36">
                  <v>0.1822625881254843</v>
                </pt>
                <pt idx="37">
                  <v>0.1272404204241811</v>
                </pt>
                <pt idx="38">
                  <v>0.06653799439085147</v>
                </pt>
                <pt idx="39">
                  <v>0.06301132265201473</v>
                </pt>
                <pt idx="40">
                  <v>0.3416684335143924</v>
                </pt>
                <pt idx="41">
                  <v>0.4766784317049552</v>
                </pt>
                <pt idx="42">
                  <v>0.3972114467462599</v>
                </pt>
                <pt idx="43">
                  <v>0.3632580885056763</v>
                </pt>
                <pt idx="44">
                  <v>0.1677920422123518</v>
                </pt>
                <pt idx="45">
                  <v>-0.01965962148103443</v>
                </pt>
                <pt idx="46">
                  <v>-0.08375892834852218</v>
                </pt>
                <pt idx="47">
                  <v>0.01061728326816213</v>
                </pt>
                <pt idx="48">
                  <v>0.2036747236993497</v>
                </pt>
                <pt idx="49">
                  <v>-0.1141791398339344</v>
                </pt>
                <pt idx="50">
                  <v>-0.5555207321923065</v>
                </pt>
                <pt idx="51">
                  <v>-0.6268055665091791</v>
                </pt>
                <pt idx="52">
                  <v>-0.5963101643730484</v>
                </pt>
                <pt idx="53">
                  <v>-0.5652470002203915</v>
                </pt>
                <pt idx="54">
                  <v>-0.5218207141273793</v>
                </pt>
                <pt idx="55">
                  <v>-0.4623713921878058</v>
                </pt>
                <pt idx="56">
                  <v>-0.4893211593900125</v>
                </pt>
                <pt idx="57">
                  <v>-0.5349812764540679</v>
                </pt>
                <pt idx="58">
                  <v>-0.578030697574905</v>
                </pt>
                <pt idx="59">
                  <v>-0.5588210391461131</v>
                </pt>
                <pt idx="60">
                  <v>-0.5307468443072404</v>
                </pt>
                <pt idx="61">
                  <v>-0.5423457208986526</v>
                </pt>
                <pt idx="62">
                  <formatCode>0.00</formatCode>
                  <v>-0.5729724298570975</v>
                </pt>
                <pt idx="63">
                  <formatCode>0.00</formatCode>
                  <v>-0.593334462706839</v>
                </pt>
                <pt idx="64">
                  <formatCode>0.00</formatCode>
                  <v>-0.573807073846607</v>
                </pt>
              </numCache>
            </numRef>
          </val>
          <smooth val="0"/>
        </ser>
        <ser>
          <idx val="1"/>
          <order val="1"/>
          <tx>
            <strRef>
              <f>Deviation_SD!$BH$5</f>
              <strCache>
                <ptCount val="1"/>
                <pt idx="0">
                  <v>lvr1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Deviation_SD!$BH$22:$BH$86</f>
              <numCache>
                <formatCode>0.00000</formatCode>
                <ptCount val="65"/>
                <pt idx="0">
                  <v>0.2844579872764245</v>
                </pt>
                <pt idx="1">
                  <v>0.3414355741806735</v>
                </pt>
                <pt idx="2">
                  <v>0.4979987513007332</v>
                </pt>
                <pt idx="3">
                  <v>0.5761114345065511</v>
                </pt>
                <pt idx="4">
                  <v>0.7846675583431187</v>
                </pt>
                <pt idx="5">
                  <v>1.257645789682389</v>
                </pt>
                <pt idx="6">
                  <v>1.587861931806317</v>
                </pt>
                <pt idx="7">
                  <v>0.4986188412256273</v>
                </pt>
                <pt idx="8">
                  <v>-0.4761773437039208</v>
                </pt>
                <pt idx="9">
                  <v>-1.262012012666051</v>
                </pt>
                <pt idx="10">
                  <v>-1.838174968246029</v>
                </pt>
                <pt idx="11">
                  <v>-0.789056968158693</v>
                </pt>
                <pt idx="12">
                  <v>-0.004264005707813332</v>
                </pt>
                <pt idx="13">
                  <v>0.1208130012743745</v>
                </pt>
                <pt idx="14">
                  <v>0.1666252656944394</v>
                </pt>
                <pt idx="15">
                  <v>0.1511068549871581</v>
                </pt>
                <pt idx="16">
                  <v>0.1384800127669042</v>
                </pt>
                <pt idx="17">
                  <v>0.2205559301154889</v>
                </pt>
                <pt idx="18">
                  <v>0.1922793833375541</v>
                </pt>
                <pt idx="19">
                  <v>0.1530129533644665</v>
                </pt>
                <pt idx="20">
                  <v>0.4079934689402651</v>
                </pt>
                <pt idx="21">
                  <v>0.6617278859946357</v>
                </pt>
                <pt idx="22">
                  <v>0.4976145761759467</v>
                </pt>
                <pt idx="23">
                  <v>0.3022075577179498</v>
                </pt>
                <pt idx="24">
                  <v>0.1355052588302161</v>
                </pt>
                <pt idx="25">
                  <v>-0.1843047265440847</v>
                </pt>
                <pt idx="26">
                  <v>-0.2505714989087154</v>
                </pt>
                <pt idx="27">
                  <v>-0.2061154593525343</v>
                </pt>
                <pt idx="28">
                  <v>-0.4490052246100272</v>
                </pt>
                <pt idx="29">
                  <v>-0.6271405290247859</v>
                </pt>
                <pt idx="30">
                  <v>-0.4865438459917173</v>
                </pt>
                <pt idx="31">
                  <v>-0.3506643340300966</v>
                </pt>
                <pt idx="32">
                  <v>-0.2040331031388351</v>
                </pt>
                <pt idx="33">
                  <v>-0.070879335266969</v>
                </pt>
                <pt idx="34">
                  <v>0.002399888384956484</v>
                </pt>
                <pt idx="35">
                  <v>0.03663167258856661</v>
                </pt>
                <pt idx="36">
                  <v>0.04324104145462621</v>
                </pt>
                <pt idx="37">
                  <v>0.05219240426497807</v>
                </pt>
                <pt idx="38">
                  <v>-0.04609580248052269</v>
                </pt>
                <pt idx="39">
                  <v>-0.1195225952660471</v>
                </pt>
                <pt idx="40">
                  <v>0.1565688664150358</v>
                </pt>
                <pt idx="41">
                  <v>0.3432189903392482</v>
                </pt>
                <pt idx="42">
                  <v>0.3247883881705834</v>
                </pt>
                <pt idx="43">
                  <v>0.2949032117347908</v>
                </pt>
                <pt idx="44">
                  <v>-0.1707818770138525</v>
                </pt>
                <pt idx="45">
                  <v>-0.4875046216553835</v>
                </pt>
                <pt idx="46">
                  <v>-0.4724104453263956</v>
                </pt>
                <pt idx="47">
                  <v>-0.3463647835060187</v>
                </pt>
                <pt idx="48">
                  <v>0.03524406994388665</v>
                </pt>
                <pt idx="49">
                  <v>-0.09283733483238039</v>
                </pt>
                <pt idx="50">
                  <v>-0.4633657609325877</v>
                </pt>
                <pt idx="51">
                  <v>-0.626078502787605</v>
                </pt>
                <pt idx="52">
                  <v>-0.7857473906874068</v>
                </pt>
                <pt idx="53">
                  <v>-0.4430401118896323</v>
                </pt>
                <pt idx="54">
                  <v>0.03310025183655538</v>
                </pt>
                <pt idx="55">
                  <v>0.1615077051320054</v>
                </pt>
                <pt idx="56">
                  <v>0.105084899416318</v>
                </pt>
                <pt idx="57">
                  <v>0.02972707838763873</v>
                </pt>
                <pt idx="58">
                  <v>-0.05520960268499286</v>
                </pt>
                <pt idx="59">
                  <v>-0.09473311253768717</v>
                </pt>
                <pt idx="60">
                  <v>-0.0406884233895737</v>
                </pt>
                <pt idx="61">
                  <v>-0.007233377895597337</v>
                </pt>
                <pt idx="62">
                  <formatCode>0.00</formatCode>
                  <v>0.004968244675524221</v>
                </pt>
                <pt idx="63">
                  <formatCode>0.00</formatCode>
                  <v>-0.033899180985623</v>
                </pt>
                <pt idx="64">
                  <formatCode>0.00</formatCode>
                  <v>-0.04229387768121957</v>
                </pt>
              </numCache>
            </numRef>
          </val>
          <smooth val="0"/>
        </ser>
        <ser>
          <idx val="2"/>
          <order val="2"/>
          <tx>
            <strRef>
              <f>Deviation_SD!$BI$5</f>
              <strCache>
                <ptCount val="1"/>
                <pt idx="0">
                  <v>lvr2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Deviation_SD!$BI$22:$BI$86</f>
              <numCache>
                <formatCode>0.00000</formatCode>
                <ptCount val="65"/>
                <pt idx="0">
                  <v>-0.1157071789915553</v>
                </pt>
                <pt idx="1">
                  <v>-0.1611840194783063</v>
                </pt>
                <pt idx="2">
                  <v>-0.04767587834940638</v>
                </pt>
                <pt idx="3">
                  <v>0.4423501934406569</v>
                </pt>
                <pt idx="4">
                  <v>0.8918657405341623</v>
                </pt>
                <pt idx="5">
                  <v>1.333955484086451</v>
                </pt>
                <pt idx="6">
                  <v>1.740027343292355</v>
                </pt>
                <pt idx="7">
                  <v>0.8965412127393493</v>
                </pt>
                <pt idx="8">
                  <v>0.2573428862999396</v>
                </pt>
                <pt idx="9">
                  <v>-0.003642308156059003</v>
                </pt>
                <pt idx="10">
                  <v>-0.2088114183823858</v>
                </pt>
                <pt idx="11">
                  <v>-0.2422838142983557</v>
                </pt>
                <pt idx="12">
                  <v>-0.4007847175964961</v>
                </pt>
                <pt idx="13">
                  <v>-0.9519895072770834</v>
                </pt>
                <pt idx="14">
                  <v>-1.394408654263271</v>
                </pt>
                <pt idx="15">
                  <v>-0.5321787066437327</v>
                </pt>
                <pt idx="16">
                  <v>0.1119631450373103</v>
                </pt>
                <pt idx="17">
                  <v>0.2847703490359952</v>
                </pt>
                <pt idx="18">
                  <v>0.2993986645455957</v>
                </pt>
                <pt idx="19">
                  <v>0.2536970884270219</v>
                </pt>
                <pt idx="20">
                  <v>0.4558687971136412</v>
                </pt>
                <pt idx="21">
                  <v>0.7360021582501592</v>
                </pt>
                <pt idx="22">
                  <v>0.5755103220688644</v>
                </pt>
                <pt idx="23">
                  <v>0.3797454657091655</v>
                </pt>
                <pt idx="24">
                  <v>0.4533872540118777</v>
                </pt>
                <pt idx="25">
                  <v>0.3982669401139241</v>
                </pt>
                <pt idx="26">
                  <v>0.206083614738716</v>
                </pt>
                <pt idx="27">
                  <v>0.08016013724420941</v>
                </pt>
                <pt idx="28">
                  <v>-0.2615220263730782</v>
                </pt>
                <pt idx="29">
                  <v>-0.6769085508488989</v>
                </pt>
                <pt idx="30">
                  <v>-0.6149024552189146</v>
                </pt>
                <pt idx="31">
                  <v>-0.4644663339812922</v>
                </pt>
                <pt idx="32">
                  <v>-0.5447653123258077</v>
                </pt>
                <pt idx="33">
                  <v>-0.5822889610343828</v>
                </pt>
                <pt idx="34">
                  <v>-0.403873437544584</v>
                </pt>
                <pt idx="35">
                  <v>-0.2619664016971595</v>
                </pt>
                <pt idx="36">
                  <v>-0.1341329198928649</v>
                </pt>
                <pt idx="37">
                  <v>-0.01558865899770788</v>
                </pt>
                <pt idx="38">
                  <v>-0.0364511810075366</v>
                </pt>
                <pt idx="39">
                  <v>-0.0691477015400199</v>
                </pt>
                <pt idx="40">
                  <v>0.1666816513536512</v>
                </pt>
                <pt idx="41">
                  <v>0.3298526330319664</v>
                </pt>
                <pt idx="42">
                  <v>0.2324856704960796</v>
                </pt>
                <pt idx="43">
                  <v>0.1463027088101175</v>
                </pt>
                <pt idx="44">
                  <v>-0.01185650953236551</v>
                </pt>
                <pt idx="45">
                  <v>-0.1203632369925591</v>
                </pt>
                <pt idx="46">
                  <v>-0.1231464872052518</v>
                </pt>
                <pt idx="47">
                  <v>-0.04292930143222939</v>
                </pt>
                <pt idx="48">
                  <v>-0.1130657921028184</v>
                </pt>
                <pt idx="49">
                  <v>-0.4841219171187886</v>
                </pt>
                <pt idx="50">
                  <v>-0.7806255706721383</v>
                </pt>
                <pt idx="51">
                  <v>-0.8112132903485674</v>
                </pt>
                <pt idx="52">
                  <v>-0.6260707198240125</v>
                </pt>
                <pt idx="53">
                  <v>-0.4470295727330412</v>
                </pt>
                <pt idx="54">
                  <v>-0.3589279748000688</v>
                </pt>
                <pt idx="55">
                  <v>-0.3875454853541607</v>
                </pt>
                <pt idx="56">
                  <v>-0.5678094208099153</v>
                </pt>
                <pt idx="57">
                  <v>-0.3447862004672861</v>
                </pt>
                <pt idx="58">
                  <v>-0.01844364550820331</v>
                </pt>
                <pt idx="59">
                  <v>0.05570344073902747</v>
                </pt>
                <pt idx="60">
                  <v>0.05371961320604413</v>
                </pt>
                <pt idx="61">
                  <v>0.01876427041602759</v>
                </pt>
                <pt idx="62">
                  <formatCode>0.00</formatCode>
                  <v>-0.04191139773074152</v>
                </pt>
                <pt idx="63">
                  <formatCode>0.00</formatCode>
                  <v>-0.1073052048843287</v>
                </pt>
                <pt idx="64">
                  <formatCode>0.00</formatCode>
                  <v>-0.06922392949917273</v>
                </pt>
              </numCache>
            </numRef>
          </val>
          <smooth val="0"/>
        </ser>
        <ser>
          <idx val="3"/>
          <order val="3"/>
          <tx>
            <strRef>
              <f>Deviation_SD!$BJ$5</f>
              <strCache>
                <ptCount val="1"/>
                <pt idx="0">
                  <v>lvr_av2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Deviation_SD!$BJ$22:$BJ$86</f>
              <numCache>
                <formatCode>0.00000</formatCode>
                <ptCount val="65"/>
                <pt idx="0">
                  <v>-0.0786137082061856</v>
                </pt>
                <pt idx="1">
                  <v>0.133569556769654</v>
                </pt>
                <pt idx="2">
                  <v>0.5151844613762151</v>
                </pt>
                <pt idx="3">
                  <v>0.7047388409964177</v>
                </pt>
                <pt idx="4">
                  <v>0.8725513726309305</v>
                </pt>
                <pt idx="5">
                  <v>1.48404014074589</v>
                </pt>
                <pt idx="6">
                  <v>1.997325017591879</v>
                </pt>
                <pt idx="7">
                  <v>0.5039410558903539</v>
                </pt>
                <pt idx="8">
                  <v>-0.6214698681462965</v>
                </pt>
                <pt idx="9">
                  <v>-0.8665736091683164</v>
                </pt>
                <pt idx="10">
                  <v>-0.8192268799145603</v>
                </pt>
                <pt idx="11">
                  <v>-0.6494888757756737</v>
                </pt>
                <pt idx="12">
                  <v>-0.5900779715021739</v>
                </pt>
                <pt idx="13">
                  <v>-0.5577836977768025</v>
                </pt>
                <pt idx="14">
                  <v>-0.2774054450394017</v>
                </pt>
                <pt idx="15">
                  <v>0.09339455660373149</v>
                </pt>
                <pt idx="16">
                  <v>0.1910150321718789</v>
                </pt>
                <pt idx="17">
                  <v>0.2298119782398036</v>
                </pt>
                <pt idx="18">
                  <v>0.2453119666028466</v>
                </pt>
                <pt idx="19">
                  <v>0.2526774126660712</v>
                </pt>
                <pt idx="20">
                  <v>0.5204640135658084</v>
                </pt>
                <pt idx="21">
                  <v>0.8100081196911791</v>
                </pt>
                <pt idx="22">
                  <v>0.5381470117936764</v>
                </pt>
                <pt idx="23">
                  <v>0.2518852172693031</v>
                </pt>
                <pt idx="24">
                  <v>0.2895253138207518</v>
                </pt>
                <pt idx="25">
                  <v>0.1829402297580132</v>
                </pt>
                <pt idx="26">
                  <v>-0.1083395434982869</v>
                </pt>
                <pt idx="27">
                  <v>-0.2708258709541131</v>
                </pt>
                <pt idx="28">
                  <v>-0.4787202300739319</v>
                </pt>
                <pt idx="29">
                  <v>-0.6733640505589589</v>
                </pt>
                <pt idx="30">
                  <v>-0.5905048748563078</v>
                </pt>
                <pt idx="31">
                  <v>-0.4319350644265063</v>
                </pt>
                <pt idx="32">
                  <v>-0.3567930517761144</v>
                </pt>
                <pt idx="33">
                  <v>-0.3336835193377584</v>
                </pt>
                <pt idx="34">
                  <v>-0.1775342509407953</v>
                </pt>
                <pt idx="35">
                  <v>-0.01572738152070004</v>
                </pt>
                <pt idx="36">
                  <v>0.02998251907929918</v>
                </pt>
                <pt idx="37">
                  <v>-0.01211069217693282</v>
                </pt>
                <pt idx="38">
                  <v>-0.08315025626388485</v>
                </pt>
                <pt idx="39">
                  <v>-0.08067247207246185</v>
                </pt>
                <pt idx="40">
                  <v>0.2715839106166614</v>
                </pt>
                <pt idx="41">
                  <v>0.4050550244825965</v>
                </pt>
                <pt idx="42">
                  <v>0.2469705830657832</v>
                </pt>
                <pt idx="43">
                  <v>0.1624148415803606</v>
                </pt>
                <pt idx="44">
                  <v>-0.1028507420988382</v>
                </pt>
                <pt idx="45">
                  <v>-0.3289657855716893</v>
                </pt>
                <pt idx="46">
                  <v>-0.3846737169138397</v>
                </pt>
                <pt idx="47">
                  <v>-0.246839530348339</v>
                </pt>
                <pt idx="48">
                  <v>-0.003716362918736005</v>
                </pt>
                <pt idx="49">
                  <v>-0.3698561583565799</v>
                </pt>
                <pt idx="50">
                  <v>-0.8174562258669839</v>
                </pt>
                <pt idx="51">
                  <v>-0.7592271499208036</v>
                </pt>
                <pt idx="52">
                  <v>-0.5713448488619581</v>
                </pt>
                <pt idx="53">
                  <v>-0.4171739509734836</v>
                </pt>
                <pt idx="54">
                  <v>-0.2812138188242325</v>
                </pt>
                <pt idx="55">
                  <v>-0.14210837191887</v>
                </pt>
                <pt idx="56">
                  <v>-0.102920305910722</v>
                </pt>
                <pt idx="57">
                  <v>-0.05302525123555563</v>
                </pt>
                <pt idx="58">
                  <v>-0.04139221499646499</v>
                </pt>
                <pt idx="59">
                  <v>-0.01456746468803156</v>
                </pt>
                <pt idx="60">
                  <v>0.009276477321170701</v>
                </pt>
                <pt idx="61">
                  <v>-0.01483318925183846</v>
                </pt>
                <pt idx="62">
                  <formatCode>0.00</formatCode>
                  <v>-0.05562361174411182</v>
                </pt>
                <pt idx="63">
                  <formatCode>0.00</formatCode>
                  <v>-0.07263687386064939</v>
                </pt>
                <pt idx="64">
                  <formatCode>0.00</formatCode>
                  <v>-0.02891298884288862</v>
                </pt>
              </numCache>
            </numRef>
          </val>
          <smooth val="0"/>
        </ser>
        <ser>
          <idx val="4"/>
          <order val="4"/>
          <tx>
            <strRef>
              <f>Deviation_SD!$BK$5</f>
              <strCache>
                <ptCount val="1"/>
                <pt idx="0">
                  <v>lvr_av3</v>
                </pt>
              </strCache>
            </strRef>
          </tx>
          <spPr>
            <a:ln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Deviation_SD!$BK$22:$BK$86</f>
              <numCache>
                <formatCode>0.00000</formatCode>
                <ptCount val="65"/>
                <pt idx="0">
                  <v>0.01246418945419933</v>
                </pt>
                <pt idx="1">
                  <v>0.1604901135788327</v>
                </pt>
                <pt idx="2">
                  <v>0.4624639219566525</v>
                </pt>
                <pt idx="3">
                  <v>0.5883815414949001</v>
                </pt>
                <pt idx="4">
                  <v>0.7720538715515036</v>
                </pt>
                <pt idx="5">
                  <v>1.458293667853996</v>
                </pt>
                <pt idx="6">
                  <v>2.087255691410782</v>
                </pt>
                <pt idx="7">
                  <v>0.8042985933979863</v>
                </pt>
                <pt idx="8">
                  <v>-0.2245316671999152</v>
                </pt>
                <pt idx="9">
                  <v>-0.4742770316157441</v>
                </pt>
                <pt idx="10">
                  <v>-0.4628434288076557</v>
                </pt>
                <pt idx="11">
                  <v>-0.3610935364788282</v>
                </pt>
                <pt idx="12">
                  <v>-0.3757091423308615</v>
                </pt>
                <pt idx="13">
                  <v>-0.4468172005908873</v>
                </pt>
                <pt idx="14">
                  <v>-0.3584875131623949</v>
                </pt>
                <pt idx="15">
                  <v>-0.2422489115172872</v>
                </pt>
                <pt idx="16">
                  <v>-0.2295662862444166</v>
                </pt>
                <pt idx="17">
                  <v>-0.1378627945001089</v>
                </pt>
                <pt idx="18">
                  <v>0.02011641002948548</v>
                </pt>
                <pt idx="19">
                  <v>0.2286244932480234</v>
                </pt>
                <pt idx="20">
                  <v>0.5812215305330191</v>
                </pt>
                <pt idx="21">
                  <v>0.8885940898973501</v>
                </pt>
                <pt idx="22">
                  <v>0.6579753268667635</v>
                </pt>
                <pt idx="23">
                  <v>0.39927206400363</v>
                </pt>
                <pt idx="24">
                  <v>0.4432653177729229</v>
                </pt>
                <pt idx="25">
                  <v>0.3536163959902429</v>
                </pt>
                <pt idx="26">
                  <v>0.07407890840692075</v>
                </pt>
                <pt idx="27">
                  <v>-0.08973129478703587</v>
                </pt>
                <pt idx="28">
                  <v>-0.3010158047602862</v>
                </pt>
                <pt idx="29">
                  <v>-0.5453950692211904</v>
                </pt>
                <pt idx="30">
                  <v>-0.5719104814825636</v>
                </pt>
                <pt idx="31">
                  <v>-0.5052053005784035</v>
                </pt>
                <pt idx="32">
                  <v>-0.4905785222491605</v>
                </pt>
                <pt idx="33">
                  <v>-0.5143747630488402</v>
                </pt>
                <pt idx="34">
                  <v>-0.3799891896133549</v>
                </pt>
                <pt idx="35">
                  <v>-0.222850093044538</v>
                </pt>
                <pt idx="36">
                  <v>-0.1737975588663458</v>
                </pt>
                <pt idx="37">
                  <v>-0.177662261371429</v>
                </pt>
                <pt idx="38">
                  <v>-0.1846132904090812</v>
                </pt>
                <pt idx="39">
                  <v>-0.1358353741070447</v>
                </pt>
                <pt idx="40">
                  <v>0.2352775445887922</v>
                </pt>
                <pt idx="41">
                  <v>0.394536704096673</v>
                </pt>
                <pt idx="42">
                  <v>0.2686509142862052</v>
                </pt>
                <pt idx="43">
                  <v>0.2006473639224748</v>
                </pt>
                <pt idx="44">
                  <v>-0.05047850471688494</v>
                </pt>
                <pt idx="45">
                  <v>-0.2739105896754388</v>
                </pt>
                <pt idx="46">
                  <v>-0.3401301604499491</v>
                </pt>
                <pt idx="47">
                  <v>-0.2097613436066459</v>
                </pt>
                <pt idx="48">
                  <v>0.03443552095583502</v>
                </pt>
                <pt idx="49">
                  <v>-0.3416149233039063</v>
                </pt>
                <pt idx="50">
                  <v>-0.8371789811146645</v>
                </pt>
                <pt idx="51">
                  <v>-0.8600576766307605</v>
                </pt>
                <pt idx="52">
                  <v>-0.7565501140855607</v>
                </pt>
                <pt idx="53">
                  <v>-0.6280446517617413</v>
                </pt>
                <pt idx="54">
                  <v>-0.4748031126608123</v>
                </pt>
                <pt idx="55">
                  <v>-0.3147592036877672</v>
                </pt>
                <pt idx="56">
                  <v>-0.2655200261229545</v>
                </pt>
                <pt idx="57">
                  <v>-0.2548147916161471</v>
                </pt>
                <pt idx="58">
                  <v>-0.2549394403465701</v>
                </pt>
                <pt idx="59">
                  <v>-0.1838807875542672</v>
                </pt>
                <pt idx="60">
                  <v>-0.09502373847150604</v>
                </pt>
                <pt idx="61">
                  <v>-0.03666650862434588</v>
                </pt>
                <pt idx="62">
                  <formatCode>0.00</formatCode>
                  <v>-0.03072072827967557</v>
                </pt>
                <pt idx="63">
                  <formatCode>0.00</formatCode>
                  <v>-0.05296543525118361</v>
                </pt>
                <pt idx="64">
                  <formatCode>0.00</formatCode>
                  <v>-0.03327322968631072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27117416"/>
        <axId val="727118400"/>
      </lineChart>
      <dateAx>
        <axId val="727117416"/>
        <scaling>
          <orientation val="minMax"/>
        </scaling>
        <delete val="0"/>
        <axPos val="b"/>
        <numFmt formatCode="yyyy\-mm\-dd" sourceLinked="1"/>
        <majorTickMark val="none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7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27118400"/>
        <crosses val="autoZero"/>
        <lblOffset val="100"/>
        <baseTimeUnit val="months"/>
      </dateAx>
      <valAx>
        <axId val="727118400"/>
        <scaling>
          <orientation val="minMax"/>
          <max val="2"/>
          <min val="-4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7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27117416"/>
        <crosses val="autoZero"/>
        <crossBetween val="between"/>
        <majorUnit val="1"/>
      </valAx>
    </plotArea>
    <legend>
      <legendPos val="b"/>
      <layout>
        <manualLayout>
          <xMode val="edge"/>
          <yMode val="edge"/>
          <wMode val="factor"/>
          <hMode val="factor"/>
          <x val="0"/>
          <y val="0.878084184942763"/>
          <w val="0.9813104533068766"/>
          <h val="0.08384923751232133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7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solidFill>
      <a:schemeClr val="bg1"/>
    </a:solidFill>
    <a:ln w="9525" cap="flat" cmpd="sng" algn="ctr">
      <a:noFill/>
      <a:prstDash val="solid"/>
      <a:round/>
    </a:ln>
  </spPr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defRPr sz="9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900" b="0" i="0" baseline="0"/>
              <a:t>Внешний долг относительно ВВП</a:t>
            </a:r>
            <a:endParaRPr lang="ru-RU" sz="900"/>
          </a:p>
        </rich>
      </tx>
      <layout>
        <manualLayout>
          <xMode val="edge"/>
          <yMode val="edge"/>
          <wMode val="factor"/>
          <hMode val="factor"/>
          <x val="0.206103584677502"/>
          <y val="0.07104747745764933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014892646566868"/>
          <y val="0.2282363227943009"/>
          <w val="0.8455695481382361"/>
          <h val="0.4614546999163306"/>
        </manualLayout>
      </layout>
      <lineChart>
        <grouping val="standard"/>
        <varyColors val="0"/>
        <ser>
          <idx val="0"/>
          <order val="0"/>
          <tx>
            <strRef>
              <f>Deviation_SD!$BQ$5</f>
              <strCache>
                <ptCount val="1"/>
                <pt idx="0">
                  <v>gd_gdp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Deviation_SD!$BQ$22:$BQ$86</f>
              <numCache>
                <formatCode>0.00000</formatCode>
                <ptCount val="65"/>
                <pt idx="0">
                  <v>0.2555468396050302</v>
                </pt>
                <pt idx="1">
                  <v>0.1733357449512568</v>
                </pt>
                <pt idx="2">
                  <v>0.1610782417484255</v>
                </pt>
                <pt idx="3">
                  <v>0.2013712072311187</v>
                </pt>
                <pt idx="4">
                  <v>0.2171136673896984</v>
                </pt>
                <pt idx="5">
                  <v>0.1862441181332305</v>
                </pt>
                <pt idx="6">
                  <v>0.1675413087383278</v>
                </pt>
                <pt idx="7">
                  <v>0.2178922699429257</v>
                </pt>
                <pt idx="8">
                  <v>0.2972787536354275</v>
                </pt>
                <pt idx="9">
                  <v>0.2319946831960064</v>
                </pt>
                <pt idx="10">
                  <v>0.1278682476629771</v>
                </pt>
                <pt idx="11">
                  <v>-0.04471959360531844</v>
                </pt>
                <pt idx="12">
                  <v>-0.1493720519946633</v>
                </pt>
                <pt idx="13">
                  <v>-0.2086729253497472</v>
                </pt>
                <pt idx="14">
                  <v>-0.2505511404785236</v>
                </pt>
                <pt idx="15">
                  <v>-0.2117714686115695</v>
                </pt>
                <pt idx="16">
                  <v>-0.2321112206693113</v>
                </pt>
                <pt idx="17">
                  <v>-0.2499483838784911</v>
                </pt>
                <pt idx="18">
                  <v>-0.2904263397410043</v>
                </pt>
                <pt idx="19">
                  <v>-0.4110954874596018</v>
                </pt>
                <pt idx="20">
                  <v>-0.4166425548958512</v>
                </pt>
                <pt idx="21">
                  <v>-0.3931139431520884</v>
                </pt>
                <pt idx="22">
                  <v>-0.197744207177901</v>
                </pt>
                <pt idx="23">
                  <v>0.1383978404856817</v>
                </pt>
                <pt idx="24">
                  <v>0.2888654819197269</v>
                </pt>
                <pt idx="25">
                  <v>0.4369591479870306</v>
                </pt>
                <pt idx="26">
                  <v>0.5041721771319337</v>
                </pt>
                <pt idx="27">
                  <v>0.4819226281369628</v>
                </pt>
                <pt idx="28">
                  <v>0.3013542294827762</v>
                </pt>
                <pt idx="29">
                  <v>0.232435461658388</v>
                </pt>
                <pt idx="30">
                  <v>0.2295767855810468</v>
                </pt>
                <pt idx="31">
                  <v>0.1576427449327361</v>
                </pt>
                <pt idx="32">
                  <v>0.06780182880057244</v>
                </pt>
                <pt idx="33">
                  <v>-0.01698573943086661</v>
                </pt>
                <pt idx="34">
                  <v>-0.1001455499201902</v>
                </pt>
                <pt idx="35">
                  <v>-0.1201647428681562</v>
                </pt>
                <pt idx="36">
                  <v>-0.120899366987433</v>
                </pt>
                <pt idx="37">
                  <v>-0.1054971009604397</v>
                </pt>
                <pt idx="38">
                  <v>-0.1340127162904377</v>
                </pt>
                <pt idx="39">
                  <v>-0.1626722335733</v>
                </pt>
                <pt idx="40">
                  <v>-0.181631053940406</v>
                </pt>
                <pt idx="41">
                  <v>-0.08765138350772769</v>
                </pt>
                <pt idx="42">
                  <v>0.05388066161148224</v>
                </pt>
                <pt idx="43">
                  <v>0.1837661148236264</v>
                </pt>
                <pt idx="44">
                  <v>0.2534299631301689</v>
                </pt>
                <pt idx="45">
                  <v>0.1946796238757435</v>
                </pt>
                <pt idx="46">
                  <v>0.1612167789546894</v>
                </pt>
                <pt idx="47">
                  <v>0.04489586718073903</v>
                </pt>
                <pt idx="48">
                  <v>-0.01572131798260666</v>
                </pt>
                <pt idx="49">
                  <v>0.07523801810946204</v>
                </pt>
                <pt idx="50">
                  <v>0.09852971456731602</v>
                </pt>
                <pt idx="51">
                  <v>-0.007993569678613479</v>
                </pt>
                <pt idx="52">
                  <v>-0.111769498835489</v>
                </pt>
                <pt idx="53">
                  <v>-0.1684360153605217</v>
                </pt>
                <pt idx="54">
                  <v>-0.1070107522161828</v>
                </pt>
                <pt idx="55">
                  <v>-0.006588265405536969</v>
                </pt>
                <pt idx="56">
                  <v>0.02326240231718591</v>
                </pt>
                <pt idx="57">
                  <v>0.01451553810742167</v>
                </pt>
                <pt idx="58">
                  <v>-0.03920369216386888</v>
                </pt>
                <pt idx="59">
                  <v>-0.1017238124303853</v>
                </pt>
                <pt idx="60">
                  <v>-0.09006400499539595</v>
                </pt>
                <pt idx="61">
                  <v>-0.07458696274695026</v>
                </pt>
                <pt idx="62">
                  <formatCode>0.00</formatCode>
                  <v>-0.1477007749758888</v>
                </pt>
                <pt idx="63">
                  <formatCode>0.00</formatCode>
                  <v>-0.2384981332277237</v>
                </pt>
                <pt idx="64">
                  <formatCode>0.00</formatCode>
                  <v>-0.2965601069484657</v>
                </pt>
              </numCache>
            </numRef>
          </val>
          <smooth val="0"/>
        </ser>
        <ser>
          <idx val="1"/>
          <order val="1"/>
          <tx>
            <strRef>
              <f>Deviation_SD!$BR$5</f>
              <strCache>
                <ptCount val="1"/>
                <pt idx="0">
                  <v>gd_gdp1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Deviation_SD!$BR$22:$BR$86</f>
              <numCache>
                <formatCode>0.00000</formatCode>
                <ptCount val="65"/>
                <pt idx="0">
                  <v>0.7024193023447295</v>
                </pt>
                <pt idx="1">
                  <v>0.4457786840659634</v>
                </pt>
                <pt idx="2">
                  <v>0.20006891953412</v>
                </pt>
                <pt idx="3">
                  <v>-0.05007234174518674</v>
                </pt>
                <pt idx="4">
                  <v>-0.05624826526300444</v>
                </pt>
                <pt idx="5">
                  <v>0.01889184673035828</v>
                </pt>
                <pt idx="6">
                  <v>0.009458920133466666</v>
                </pt>
                <pt idx="7">
                  <v>0.02417914172251801</v>
                </pt>
                <pt idx="8">
                  <v>0.1173243522735449</v>
                </pt>
                <pt idx="9">
                  <v>0.06695752058053607</v>
                </pt>
                <pt idx="10">
                  <v>-0.05806288512066937</v>
                </pt>
                <pt idx="11">
                  <v>-0.3843414662550532</v>
                </pt>
                <pt idx="12">
                  <v>-0.6536887679803287</v>
                </pt>
                <pt idx="13">
                  <v>-0.6449321539065525</v>
                </pt>
                <pt idx="14">
                  <v>-0.5538297490925249</v>
                </pt>
                <pt idx="15">
                  <v>-0.2444861466388528</v>
                </pt>
                <pt idx="16">
                  <v>-0.121091610163668</v>
                </pt>
                <pt idx="17">
                  <v>-0.06040804873376467</v>
                </pt>
                <pt idx="18">
                  <v>-0.05835872128807622</v>
                </pt>
                <pt idx="19">
                  <v>-0.2917175356391657</v>
                </pt>
                <pt idx="20">
                  <v>-0.2700679345112695</v>
                </pt>
                <pt idx="21">
                  <v>-0.2095277045940867</v>
                </pt>
                <pt idx="22">
                  <v>0.1356434787204667</v>
                </pt>
                <pt idx="23">
                  <v>0.8042023254637202</v>
                </pt>
                <pt idx="24">
                  <v>1.032535201040564</v>
                </pt>
                <pt idx="25">
                  <v>1.214840428900366</v>
                </pt>
                <pt idx="26">
                  <v>1.027278694454438</v>
                </pt>
                <pt idx="27">
                  <v>0.5027603048732563</v>
                </pt>
                <pt idx="28">
                  <v>0.01827771024971143</v>
                </pt>
                <pt idx="29">
                  <v>-0.2993274272736665</v>
                </pt>
                <pt idx="30">
                  <v>-0.4018797703560715</v>
                </pt>
                <pt idx="31">
                  <v>-0.4745947273811318</v>
                </pt>
                <pt idx="32">
                  <v>-0.341811946013229</v>
                </pt>
                <pt idx="33">
                  <v>-0.3650364794891673</v>
                </pt>
                <pt idx="34">
                  <v>-0.4825599429185929</v>
                </pt>
                <pt idx="35">
                  <v>-0.4065807833483981</v>
                </pt>
                <pt idx="36">
                  <v>-0.2761706698750123</v>
                </pt>
                <pt idx="37">
                  <v>-0.129539412313175</v>
                </pt>
                <pt idx="38">
                  <v>-0.04956575915791984</v>
                </pt>
                <pt idx="39">
                  <v>-0.06221117006557741</v>
                </pt>
                <pt idx="40">
                  <v>-0.08888290611197171</v>
                </pt>
                <pt idx="41">
                  <v>0.02611781935315614</v>
                </pt>
                <pt idx="42">
                  <v>0.2749884007017534</v>
                </pt>
                <pt idx="43">
                  <v>0.507024400919316</v>
                </pt>
                <pt idx="44">
                  <v>0.6367267150541398</v>
                </pt>
                <pt idx="45">
                  <v>0.4132011093516156</v>
                </pt>
                <pt idx="46">
                  <v>0.1570900878750057</v>
                </pt>
                <pt idx="47">
                  <v>-0.2032413687528038</v>
                </pt>
                <pt idx="48">
                  <v>-0.3939121280722575</v>
                </pt>
                <pt idx="49">
                  <v>-0.17480688523288</v>
                </pt>
                <pt idx="50">
                  <v>-0.09174466802959896</v>
                </pt>
                <pt idx="51">
                  <v>-0.07740550421932191</v>
                </pt>
                <pt idx="52">
                  <v>-0.1405698058014263</v>
                </pt>
                <pt idx="53">
                  <v>-0.3566253026300596</v>
                </pt>
                <pt idx="54">
                  <v>-0.3008155203308452</v>
                </pt>
                <pt idx="55">
                  <v>0.002056710986133698</v>
                </pt>
                <pt idx="56">
                  <v>0.1976238170622185</v>
                </pt>
                <pt idx="57">
                  <v>0.2677558712064487</v>
                </pt>
                <pt idx="58">
                  <v>0.09923795723022667</v>
                </pt>
                <pt idx="59">
                  <v>-0.1392341349033896</v>
                </pt>
                <pt idx="60">
                  <v>-0.165857082629222</v>
                </pt>
                <pt idx="61">
                  <v>-0.1304045649829151</v>
                </pt>
                <pt idx="62">
                  <formatCode>0.00</formatCode>
                  <v>-0.1587892006436603</v>
                </pt>
                <pt idx="63">
                  <formatCode>0.00</formatCode>
                  <v>-0.2001739079530611</v>
                </pt>
                <pt idx="64">
                  <formatCode>0.00</formatCode>
                  <v>-0.3022141251665721</v>
                </pt>
              </numCache>
            </numRef>
          </val>
          <smooth val="0"/>
        </ser>
        <ser>
          <idx val="2"/>
          <order val="2"/>
          <tx>
            <strRef>
              <f>Deviation_SD!$BS$5</f>
              <strCache>
                <ptCount val="1"/>
                <pt idx="0">
                  <v>gd_gdp2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Deviation_SD!$BS$22:$BS$86</f>
              <numCache>
                <formatCode>0.00000</formatCode>
                <ptCount val="65"/>
                <pt idx="0">
                  <v>0.208112201635645</v>
                </pt>
                <pt idx="1">
                  <v>0.201554086260373</v>
                </pt>
                <pt idx="2">
                  <v>0.3174470879748911</v>
                </pt>
                <pt idx="3">
                  <v>0.4332229530768466</v>
                </pt>
                <pt idx="4">
                  <v>0.4137945470253093</v>
                </pt>
                <pt idx="5">
                  <v>0.2975653824957113</v>
                </pt>
                <pt idx="6">
                  <v>0.1341772882548355</v>
                </pt>
                <pt idx="7">
                  <v>-0.01658146892934914</v>
                </pt>
                <pt idx="8">
                  <v>0.03911186095982288</v>
                </pt>
                <pt idx="9">
                  <v>0.05497615649759924</v>
                </pt>
                <pt idx="10">
                  <v>-0.03112497237007831</v>
                </pt>
                <pt idx="11">
                  <v>-0.2306404920415424</v>
                </pt>
                <pt idx="12">
                  <v>-0.3434766612880741</v>
                </pt>
                <pt idx="13">
                  <v>-0.3701229827158129</v>
                </pt>
                <pt idx="14">
                  <v>-0.3918433678889087</v>
                </pt>
                <pt idx="15">
                  <v>-0.4026881774361091</v>
                </pt>
                <pt idx="16">
                  <v>-0.4961533049610282</v>
                </pt>
                <pt idx="17">
                  <v>-0.451685254988264</v>
                </pt>
                <pt idx="18">
                  <v>-0.3920328152424123</v>
                </pt>
                <pt idx="19">
                  <v>-0.3433737309298084</v>
                </pt>
                <pt idx="20">
                  <v>-0.2504904697282504</v>
                </pt>
                <pt idx="21">
                  <v>-0.172861264842031</v>
                </pt>
                <pt idx="22">
                  <v>0.04949155774317414</v>
                </pt>
                <pt idx="23">
                  <v>0.3281846435280439</v>
                </pt>
                <pt idx="24">
                  <v>0.4882682433431497</v>
                </pt>
                <pt idx="25">
                  <v>0.6437814440768314</v>
                </pt>
                <pt idx="26">
                  <v>0.7447112703284727</v>
                </pt>
                <pt idx="27">
                  <v>0.8369517953663652</v>
                </pt>
                <pt idx="28">
                  <v>0.6729188213069223</v>
                </pt>
                <pt idx="29">
                  <v>0.5862755618308348</v>
                </pt>
                <pt idx="30">
                  <v>0.4004925161550829</v>
                </pt>
                <pt idx="31">
                  <v>0.01803665238958374</v>
                </pt>
                <pt idx="32">
                  <v>-0.2071846227270818</v>
                </pt>
                <pt idx="33">
                  <v>-0.4254448839125578</v>
                </pt>
                <pt idx="34">
                  <v>-0.5663768716383942</v>
                </pt>
                <pt idx="35">
                  <v>-0.5642865439448737</v>
                </pt>
                <pt idx="36">
                  <v>-0.3957432660025714</v>
                </pt>
                <pt idx="37">
                  <v>-0.3167161562088165</v>
                </pt>
                <pt idx="38">
                  <v>-0.34076227688216</v>
                </pt>
                <pt idx="39">
                  <v>-0.3002046561667723</v>
                </pt>
                <pt idx="40">
                  <v>-0.2337727481530533</v>
                </pt>
                <pt idx="41">
                  <v>-0.06622904580310729</v>
                </pt>
                <pt idx="42">
                  <v>0.1443559901232184</v>
                </pt>
                <pt idx="43">
                  <v>0.2848491789468858</v>
                </pt>
                <pt idx="44">
                  <v>0.350827826925912</v>
                </pt>
                <pt idx="45">
                  <v>0.2813307416625104</v>
                </pt>
                <pt idx="46">
                  <v>0.2766941137867612</v>
                </pt>
                <pt idx="47">
                  <v>0.1945363610802296</v>
                </pt>
                <pt idx="48">
                  <v>0.1554934317159712</v>
                </pt>
                <pt idx="49">
                  <v>0.1526627229041</v>
                </pt>
                <pt idx="50">
                  <v>0.0418458532700977</v>
                </pt>
                <pt idx="51">
                  <v>-0.1797204439865394</v>
                </pt>
                <pt idx="52">
                  <v>-0.3422711589168615</v>
                </pt>
                <pt idx="53">
                  <v>-0.3403181647456007</v>
                </pt>
                <pt idx="54">
                  <v>-0.2513874129307895</v>
                </pt>
                <pt idx="55">
                  <v>-0.04825180637257102</v>
                </pt>
                <pt idx="56">
                  <v>0.03653620696504616</v>
                </pt>
                <pt idx="57">
                  <v>-0.05691014299620935</v>
                </pt>
                <pt idx="58">
                  <v>-0.1290860958274993</v>
                </pt>
                <pt idx="59">
                  <v>-0.08784558071234096</v>
                </pt>
                <pt idx="60">
                  <v>0.02034275869828655</v>
                </pt>
                <pt idx="61">
                  <v>0.08795693133939295</v>
                </pt>
                <pt idx="62">
                  <formatCode>0.00</formatCode>
                  <v>-0.03813538270663636</v>
                </pt>
                <pt idx="63">
                  <formatCode>0.00</formatCode>
                  <v>-0.2173498799711273</v>
                </pt>
                <pt idx="64">
                  <formatCode>0.00</formatCode>
                  <v>-0.2997431056027872</v>
                </pt>
              </numCache>
            </numRef>
          </val>
          <smooth val="0"/>
        </ser>
        <ser>
          <idx val="3"/>
          <order val="3"/>
          <tx>
            <strRef>
              <f>Deviation_SD!$BT$5</f>
              <strCache>
                <ptCount val="1"/>
                <pt idx="0">
                  <v>gd_gdp_av2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Deviation_SD!$BT$22:$BT$86</f>
              <numCache>
                <formatCode>0.00000</formatCode>
                <ptCount val="65"/>
                <pt idx="0">
                  <v>0.4975050535234011</v>
                </pt>
                <pt idx="1">
                  <v>0.3283093055921028</v>
                </pt>
                <pt idx="2">
                  <v>0.268089512285095</v>
                </pt>
                <pt idx="3">
                  <v>0.2649414076003402</v>
                </pt>
                <pt idx="4">
                  <v>0.2002619306046801</v>
                </pt>
                <pt idx="5">
                  <v>0.06785235482175352</v>
                </pt>
                <pt idx="6">
                  <v>-0.02198641567225922</v>
                </pt>
                <pt idx="7">
                  <v>0.0279490455258451</v>
                </pt>
                <pt idx="8">
                  <v>0.1534952622370647</v>
                </pt>
                <pt idx="9">
                  <v>0.04502352201603146</v>
                </pt>
                <pt idx="10">
                  <v>-0.1264663265292311</v>
                </pt>
                <pt idx="11">
                  <v>-0.3856218613429919</v>
                </pt>
                <pt idx="12">
                  <v>-0.4993102793837738</v>
                </pt>
                <pt idx="13">
                  <v>-0.5200661566044397</v>
                </pt>
                <pt idx="14">
                  <v>-0.5085476027112857</v>
                </pt>
                <pt idx="15">
                  <v>-0.3684721128419916</v>
                </pt>
                <pt idx="16">
                  <v>-0.3171319760651684</v>
                </pt>
                <pt idx="17">
                  <v>-0.24276159716379</v>
                </pt>
                <pt idx="18">
                  <v>-0.2123513976850718</v>
                </pt>
                <pt idx="19">
                  <v>-0.317564033566384</v>
                </pt>
                <pt idx="20">
                  <v>-0.2556357480500528</v>
                </pt>
                <pt idx="21">
                  <v>-0.168032166495009</v>
                </pt>
                <pt idx="22">
                  <v>0.1680350239200334</v>
                </pt>
                <pt idx="23">
                  <v>0.675065117485528</v>
                </pt>
                <pt idx="24">
                  <v>0.8392276811934616</v>
                </pt>
                <pt idx="25">
                  <v>0.9668872560981177</v>
                </pt>
                <pt idx="26">
                  <v>0.9381918430265477</v>
                </pt>
                <pt idx="27">
                  <v>0.7511382530439403</v>
                </pt>
                <pt idx="28">
                  <v>0.3015677503440728</v>
                </pt>
                <pt idx="29">
                  <v>0.05744154994189939</v>
                </pt>
                <pt idx="30">
                  <v>-0.06726511442853711</v>
                </pt>
                <pt idx="31">
                  <v>-0.260126590906334</v>
                </pt>
                <pt idx="32">
                  <v>-0.4020565499579898</v>
                </pt>
                <pt idx="33">
                  <v>-0.4899942941116477</v>
                </pt>
                <pt idx="34">
                  <v>-0.5306388703372074</v>
                </pt>
                <pt idx="35">
                  <v>-0.445215325236429</v>
                </pt>
                <pt idx="36">
                  <v>-0.3305496092363759</v>
                </pt>
                <pt idx="37">
                  <v>-0.225642166877863</v>
                </pt>
                <pt idx="38">
                  <v>-0.2045234944696223</v>
                </pt>
                <pt idx="39">
                  <v>-0.1786917770531917</v>
                </pt>
                <pt idx="40">
                  <v>-0.1462573656900927</v>
                </pt>
                <pt idx="41">
                  <v>0.04631118715141152</v>
                </pt>
                <pt idx="42">
                  <v>0.2776622640145364</v>
                </pt>
                <pt idx="43">
                  <v>0.4478802706654977</v>
                </pt>
                <pt idx="44">
                  <v>0.4966113763640497</v>
                </pt>
                <pt idx="45">
                  <v>0.3342258461069301</v>
                </pt>
                <pt idx="46">
                  <v>0.2250088481221957</v>
                </pt>
                <pt idx="47">
                  <v>-0.01074160458013804</v>
                </pt>
                <pt idx="48">
                  <v>-0.1439272238251901</v>
                </pt>
                <pt idx="49">
                  <v>-0.03588619853359065</v>
                </pt>
                <pt idx="50">
                  <v>-0.0313773160262126</v>
                </pt>
                <pt idx="51">
                  <v>-0.2038605009583262</v>
                </pt>
                <pt idx="52">
                  <v>-0.3266494877563846</v>
                </pt>
                <pt idx="53">
                  <v>-0.3435995377848409</v>
                </pt>
                <pt idx="54">
                  <v>-0.179255050331158</v>
                </pt>
                <pt idx="55">
                  <v>0.02684104805533011</v>
                </pt>
                <pt idx="56">
                  <v>0.08267075456683062</v>
                </pt>
                <pt idx="57">
                  <v>0.06171536660409737</v>
                </pt>
                <pt idx="58">
                  <v>-0.009258314712614782</v>
                </pt>
                <pt idx="59">
                  <v>-0.07896192382129559</v>
                </pt>
                <pt idx="60">
                  <v>-0.04299561473130746</v>
                </pt>
                <pt idx="61">
                  <v>-0.02335722283712918</v>
                </pt>
                <pt idx="62">
                  <formatCode>0.00</formatCode>
                  <v>-0.1538991468105074</v>
                </pt>
                <pt idx="63">
                  <formatCode>0.00</formatCode>
                  <v>-0.285773741852137</v>
                </pt>
                <pt idx="64">
                  <formatCode>0.00</formatCode>
                  <v>-0.3305056557084498</v>
                </pt>
              </numCache>
            </numRef>
          </val>
          <smooth val="0"/>
        </ser>
        <ser>
          <idx val="4"/>
          <order val="4"/>
          <tx>
            <strRef>
              <f>Deviation_SD!$BU$5</f>
              <strCache>
                <ptCount val="1"/>
                <pt idx="0">
                  <v>gd_gdp_av3</v>
                </pt>
              </strCache>
            </strRef>
          </tx>
          <spPr>
            <a:ln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Deviation_SD!$BU$22:$BU$86</f>
              <numCache>
                <formatCode>0.00000</formatCode>
                <ptCount val="65"/>
                <pt idx="0">
                  <v>0.406497354999952</v>
                </pt>
                <pt idx="1">
                  <v>0.2652678931914096</v>
                </pt>
                <pt idx="2">
                  <v>0.2230559460680891</v>
                </pt>
                <pt idx="3">
                  <v>0.2459300756038899</v>
                </pt>
                <pt idx="4">
                  <v>0.2411394738349073</v>
                </pt>
                <pt idx="5">
                  <v>0.1844423786877039</v>
                </pt>
                <pt idx="6">
                  <v>0.1381479432960092</v>
                </pt>
                <pt idx="7">
                  <v>0.1646554107092227</v>
                </pt>
                <pt idx="8">
                  <v>0.2131473803202982</v>
                </pt>
                <pt idx="9">
                  <v>0.07959614601502928</v>
                </pt>
                <pt idx="10">
                  <v>-0.08544021625418431</v>
                </pt>
                <pt idx="11">
                  <v>-0.3079642029911615</v>
                </pt>
                <pt idx="12">
                  <v>-0.4077908941952293</v>
                </pt>
                <pt idx="13">
                  <v>-0.4391750145988413</v>
                </pt>
                <pt idx="14">
                  <v>-0.4515089858800214</v>
                </pt>
                <pt idx="15">
                  <v>-0.361766006926366</v>
                </pt>
                <pt idx="16">
                  <v>-0.3444653148044843</v>
                </pt>
                <pt idx="17">
                  <v>-0.3203991711141061</v>
                </pt>
                <pt idx="18">
                  <v>-0.325468962855943</v>
                </pt>
                <pt idx="19">
                  <v>-0.4267832148927002</v>
                </pt>
                <pt idx="20">
                  <v>-0.369229795837126</v>
                </pt>
                <pt idx="21">
                  <v>-0.2672808318995094</v>
                </pt>
                <pt idx="22">
                  <v>0.03659633866741166</v>
                </pt>
                <pt idx="23">
                  <v>0.4826905111352898</v>
                </pt>
                <pt idx="24">
                  <v>0.6487223072145852</v>
                </pt>
                <pt idx="25">
                  <v>0.785732174410762</v>
                </pt>
                <pt idx="26">
                  <v>0.8021997498291535</v>
                </pt>
                <pt idx="27">
                  <v>0.6976461234767805</v>
                </pt>
                <pt idx="28">
                  <v>0.4049261834846363</v>
                </pt>
                <pt idx="29">
                  <v>0.2657055319019091</v>
                </pt>
                <pt idx="30">
                  <v>0.2128322295386394</v>
                </pt>
                <pt idx="31">
                  <v>0.07128651581774598</v>
                </pt>
                <pt idx="32">
                  <v>-0.0972355063801498</v>
                </pt>
                <pt idx="33">
                  <v>-0.2509262550367558</v>
                </pt>
                <pt idx="34">
                  <v>-0.3915340333024476</v>
                </pt>
                <pt idx="35">
                  <v>-0.4261044797865892</v>
                </pt>
                <pt idx="36">
                  <v>-0.4005475582540191</v>
                </pt>
                <pt idx="37">
                  <v>-0.3397022370814417</v>
                </pt>
                <pt idx="38">
                  <v>-0.3192084824294247</v>
                </pt>
                <pt idx="39">
                  <v>-0.2890954079826522</v>
                </pt>
                <pt idx="40">
                  <v>-0.2464141854709413</v>
                </pt>
                <pt idx="41">
                  <v>-0.08158508136348486</v>
                </pt>
                <pt idx="42">
                  <v>0.1249675316530745</v>
                </pt>
                <pt idx="43">
                  <v>0.3024427502403979</v>
                </pt>
                <pt idx="44">
                  <v>0.3853149423383737</v>
                </pt>
                <pt idx="45">
                  <v>0.294175473887113</v>
                </pt>
                <pt idx="46">
                  <v>0.2314239821364244</v>
                </pt>
                <pt idx="47">
                  <v>0.06183934816502297</v>
                </pt>
                <pt idx="48">
                  <v>-0.02948785984306067</v>
                </pt>
                <pt idx="49">
                  <v>0.07144488712364198</v>
                </pt>
                <pt idx="50">
                  <v>0.081551653168093</v>
                </pt>
                <pt idx="51">
                  <v>-0.0730525692649501</v>
                </pt>
                <pt idx="52">
                  <v>-0.2163152165100119</v>
                </pt>
                <pt idx="53">
                  <v>-0.2930492700568267</v>
                </pt>
                <pt idx="54">
                  <v>-0.2093538254669799</v>
                </pt>
                <pt idx="55">
                  <v>-0.06957336165269058</v>
                </pt>
                <pt idx="56">
                  <v>-0.01343830994529906</v>
                </pt>
                <pt idx="57">
                  <v>-0.0006259117163402707</v>
                </pt>
                <pt idx="58">
                  <v>-0.04815534737301985</v>
                </pt>
                <pt idx="59">
                  <v>-0.1044191910066114</v>
                </pt>
                <pt idx="60">
                  <v>-0.07509747624169628</v>
                </pt>
                <pt idx="61">
                  <v>-0.04848448641381076</v>
                </pt>
                <pt idx="62">
                  <formatCode>0.00</formatCode>
                  <v>-0.1229346110322247</v>
                </pt>
                <pt idx="63">
                  <formatCode>0.00</formatCode>
                  <v>-0.2092343868726053</v>
                </pt>
                <pt idx="64">
                  <formatCode>0.00</formatCode>
                  <v>-0.2569451988232682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27117416"/>
        <axId val="727118400"/>
      </lineChart>
      <dateAx>
        <axId val="727117416"/>
        <scaling>
          <orientation val="minMax"/>
        </scaling>
        <delete val="0"/>
        <axPos val="b"/>
        <numFmt formatCode="yyyy\-mm\-dd" sourceLinked="1"/>
        <majorTickMark val="none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7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27118400"/>
        <crosses val="autoZero"/>
        <lblOffset val="100"/>
        <baseTimeUnit val="months"/>
      </dateAx>
      <valAx>
        <axId val="727118400"/>
        <scaling>
          <orientation val="minMax"/>
          <max val="2"/>
          <min val="-4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7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27117416"/>
        <crosses val="autoZero"/>
        <crossBetween val="between"/>
        <majorUnit val="1"/>
      </valAx>
    </plotArea>
    <legend>
      <legendPos val="b"/>
      <layout>
        <manualLayout>
          <xMode val="edge"/>
          <yMode val="edge"/>
          <wMode val="factor"/>
          <hMode val="factor"/>
          <x val="0"/>
          <y val="0.878084184942763"/>
          <w val="0.9813104533068766"/>
          <h val="0.08384923751232133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7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solidFill>
      <a:schemeClr val="bg1"/>
    </a:solidFill>
    <a:ln w="9525" cap="flat" cmpd="sng" algn="ctr">
      <a:noFill/>
      <a:prstDash val="solid"/>
      <a:round/>
    </a:ln>
  </spPr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defRPr sz="9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900" b="0" i="0" baseline="0"/>
              <a:t>Цены на жилую недвижимость</a:t>
            </a:r>
            <a:endParaRPr lang="ru-RU" sz="900"/>
          </a:p>
        </rich>
      </tx>
      <layout>
        <manualLayout>
          <xMode val="edge"/>
          <yMode val="edge"/>
          <wMode val="factor"/>
          <hMode val="factor"/>
          <x val="0.1531624511189025"/>
          <y val="0.07104747745764933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014892646566868"/>
          <y val="0.2282363227943009"/>
          <w val="0.8455695481382361"/>
          <h val="0.4614546999163306"/>
        </manualLayout>
      </layout>
      <lineChart>
        <grouping val="standard"/>
        <varyColors val="0"/>
        <ser>
          <idx val="0"/>
          <order val="0"/>
          <tx>
            <strRef>
              <f>Deviation_SD!$CA$5</f>
              <strCache>
                <ptCount val="1"/>
                <pt idx="0">
                  <v>pest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Deviation_SD!$CA$22:$CA$86</f>
              <numCache>
                <formatCode>0.00</formatCode>
                <ptCount val="65"/>
                <pt idx="0">
                  <v>-0.2588233958364748</v>
                </pt>
                <pt idx="1">
                  <v>-0.2986782324490175</v>
                </pt>
                <pt idx="2">
                  <v>-0.3325800815635225</v>
                </pt>
                <pt idx="3">
                  <v>-0.390831179750963</v>
                </pt>
                <pt idx="4">
                  <v>-0.5343119250452466</v>
                </pt>
                <pt idx="5">
                  <v>-0.4912864368147394</v>
                </pt>
                <pt idx="6">
                  <v>-0.438237445178585</v>
                </pt>
                <pt idx="7">
                  <v>-0.1911062309421222</v>
                </pt>
                <pt idx="8">
                  <v>-0.009005104156785768</v>
                </pt>
                <pt idx="9">
                  <v>-0.03998728547086355</v>
                </pt>
                <pt idx="10">
                  <v>-0.06253944563250749</v>
                </pt>
                <pt idx="11">
                  <v>-0.2432776152487363</v>
                </pt>
                <pt idx="12">
                  <v>-0.3409257021245767</v>
                </pt>
                <pt idx="13">
                  <v>-0.2868306617052642</v>
                </pt>
                <pt idx="14">
                  <v>-0.09441380890779204</v>
                </pt>
                <pt idx="15">
                  <v>0.08918782969988713</v>
                </pt>
                <pt idx="16">
                  <v>0.2145515353508939</v>
                </pt>
                <pt idx="17">
                  <v>0.2362493173540246</v>
                </pt>
                <pt idx="18">
                  <v>0.1437303020245799</v>
                </pt>
                <pt idx="19">
                  <v>0.04763860400754992</v>
                </pt>
                <pt idx="20">
                  <v>0.2250380679489707</v>
                </pt>
                <pt idx="21">
                  <v>0.2787349111886843</v>
                </pt>
                <pt idx="22">
                  <v>0.408724678813771</v>
                </pt>
                <pt idx="23">
                  <v>0.5023335918853776</v>
                </pt>
                <pt idx="24">
                  <v>0.4076300319167509</v>
                </pt>
                <pt idx="25">
                  <v>0.325887896757919</v>
                </pt>
                <pt idx="26">
                  <v>0.1894583243113405</v>
                </pt>
                <pt idx="27">
                  <v>0.05756590544633599</v>
                </pt>
                <pt idx="28">
                  <v>-0.1591122230031846</v>
                </pt>
                <pt idx="29">
                  <v>-0.2922766727874749</v>
                </pt>
                <pt idx="30">
                  <v>-0.4064489682892153</v>
                </pt>
                <pt idx="31">
                  <v>-0.4451157130893031</v>
                </pt>
                <pt idx="32">
                  <v>-0.4095664160286878</v>
                </pt>
                <pt idx="33">
                  <v>-0.2745144864214183</v>
                </pt>
                <pt idx="34">
                  <v>-0.1482301068408811</v>
                </pt>
                <pt idx="35">
                  <v>-0.03837435858764829</v>
                </pt>
                <pt idx="36">
                  <v>0.0385996019940751</v>
                </pt>
                <pt idx="37">
                  <v>0.05192026712428682</v>
                </pt>
                <pt idx="38">
                  <v>0.03482738882440373</v>
                </pt>
                <pt idx="39">
                  <v>0.003559985762298942</v>
                </pt>
                <pt idx="40">
                  <v>0.08751496763756141</v>
                </pt>
                <pt idx="41">
                  <v>0.2465006633349325</v>
                </pt>
                <pt idx="42">
                  <v>0.4136813532057792</v>
                </pt>
                <pt idx="43">
                  <v>0.5318313905154868</v>
                </pt>
                <pt idx="44">
                  <v>0.4978917770899073</v>
                </pt>
                <pt idx="45">
                  <v>0.333974773685063</v>
                </pt>
                <pt idx="46">
                  <v>0.1269002744598495</v>
                </pt>
                <pt idx="47">
                  <v>-0.09305317759398803</v>
                </pt>
                <pt idx="48">
                  <v>-0.1557174305378562</v>
                </pt>
                <pt idx="49">
                  <v>-0.2580106822077062</v>
                </pt>
                <pt idx="50">
                  <v>-0.3971362308558299</v>
                </pt>
                <pt idx="51">
                  <v>-0.5492586229932613</v>
                </pt>
                <pt idx="52">
                  <v>-0.6666226528124802</v>
                </pt>
                <pt idx="53">
                  <v>-0.5917598247538227</v>
                </pt>
                <pt idx="54">
                  <v>-0.3426180720431288</v>
                </pt>
                <pt idx="55">
                  <v>-0.06021145845017247</v>
                </pt>
                <pt idx="56">
                  <v>0.03761086367223122</v>
                </pt>
                <pt idx="57">
                  <v>0.1194460874856578</v>
                </pt>
                <pt idx="58">
                  <v>0.1167584597079714</v>
                </pt>
                <pt idx="59">
                  <v>0.1694375811782023</v>
                </pt>
                <pt idx="60">
                  <v>0.2573085450461779</v>
                </pt>
                <pt idx="61">
                  <v>0.2760459707673607</v>
                </pt>
                <pt idx="62">
                  <v>0.3193552596766819</v>
                </pt>
                <pt idx="63">
                  <v>0.3406396803087635</v>
                </pt>
                <pt idx="64">
                  <v>0.402485636242323</v>
                </pt>
              </numCache>
            </numRef>
          </val>
          <smooth val="0"/>
        </ser>
        <ser>
          <idx val="1"/>
          <order val="1"/>
          <tx>
            <strRef>
              <f>Deviation_SD!$CB$5</f>
              <strCache>
                <ptCount val="1"/>
                <pt idx="0">
                  <v>pest1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Deviation_SD!$CB$22:$CB$86</f>
              <numCache>
                <formatCode>0.00</formatCode>
                <ptCount val="65"/>
                <pt idx="0">
                  <v>-0.7504599111740611</v>
                </pt>
                <pt idx="1">
                  <v>-0.6663923313431068</v>
                </pt>
                <pt idx="2">
                  <v>-0.5356288274439169</v>
                </pt>
                <pt idx="3">
                  <v>-0.4072175377365976</v>
                </pt>
                <pt idx="4">
                  <v>-0.3248320999117844</v>
                </pt>
                <pt idx="5">
                  <v>-0.2271068333191545</v>
                </pt>
                <pt idx="6">
                  <v>-0.124581968595195</v>
                </pt>
                <pt idx="7">
                  <v>0.2354982790487947</v>
                </pt>
                <pt idx="8">
                  <v>0.6193960896203772</v>
                </pt>
                <pt idx="9">
                  <v>0.5321326860340637</v>
                </pt>
                <pt idx="10">
                  <v>0.4429903868437478</v>
                </pt>
                <pt idx="11">
                  <v>-0.06151595628426103</v>
                </pt>
                <pt idx="12">
                  <v>-0.3913718845264343</v>
                </pt>
                <pt idx="13">
                  <v>-0.2910562283004192</v>
                </pt>
                <pt idx="14">
                  <v>-0.03758347538388928</v>
                </pt>
                <pt idx="15">
                  <v>0.392014320672225</v>
                </pt>
                <pt idx="16">
                  <v>0.654970419351343</v>
                </pt>
                <pt idx="17">
                  <v>0.6167703915210083</v>
                </pt>
                <pt idx="18">
                  <v>0.28079881168905</v>
                </pt>
                <pt idx="19">
                  <v>-0.04899123121428615</v>
                </pt>
                <pt idx="20">
                  <v>0.01236480667420194</v>
                </pt>
                <pt idx="21">
                  <v>0.05009531504251197</v>
                </pt>
                <pt idx="22">
                  <v>0.3124583086071619</v>
                </pt>
                <pt idx="23">
                  <v>0.5361367609603369</v>
                </pt>
                <pt idx="24">
                  <v>0.2152965542812965</v>
                </pt>
                <pt idx="25">
                  <v>0.05559869720730597</v>
                </pt>
                <pt idx="26">
                  <v>-0.2585398040985235</v>
                </pt>
                <pt idx="27">
                  <v>-0.5244313510034149</v>
                </pt>
                <pt idx="28">
                  <v>-0.6682531476106217</v>
                </pt>
                <pt idx="29">
                  <v>-0.7288858661128635</v>
                </pt>
                <pt idx="30">
                  <v>-0.7026420220258709</v>
                </pt>
                <pt idx="31">
                  <v>-0.59271841991012</v>
                </pt>
                <pt idx="32">
                  <v>-0.2953137892377812</v>
                </pt>
                <pt idx="33">
                  <v>0.02094362445101377</v>
                </pt>
                <pt idx="34">
                  <v>0.3044692105402614</v>
                </pt>
                <pt idx="35">
                  <v>0.4795940095335524</v>
                </pt>
                <pt idx="36">
                  <v>0.5284383678752506</v>
                </pt>
                <pt idx="37">
                  <v>0.3849034541764175</v>
                </pt>
                <pt idx="38">
                  <v>0.21584546874721</v>
                </pt>
                <pt idx="39">
                  <v>0.04944532962130861</v>
                </pt>
                <pt idx="40">
                  <v>0.05767674242394726</v>
                </pt>
                <pt idx="41">
                  <v>0.2294322703174042</v>
                </pt>
                <pt idx="42">
                  <v>0.44671162593723</v>
                </pt>
                <pt idx="43">
                  <v>0.6228916689278339</v>
                </pt>
                <pt idx="44">
                  <v>0.483880621644624</v>
                </pt>
                <pt idx="45">
                  <v>0.1031418586993686</v>
                </pt>
                <pt idx="46">
                  <v>-0.3381472916188518</v>
                </pt>
                <pt idx="47">
                  <v>-0.7368095036278046</v>
                </pt>
                <pt idx="48">
                  <v>-0.7706790988546305</v>
                </pt>
                <pt idx="49">
                  <v>-0.6980177334685204</v>
                </pt>
                <pt idx="50">
                  <v>-0.6178982440431315</v>
                </pt>
                <pt idx="51">
                  <v>-0.5379177610256679</v>
                </pt>
                <pt idx="52">
                  <v>-0.6024149777996594</v>
                </pt>
                <pt idx="53">
                  <v>-0.3935279451684716</v>
                </pt>
                <pt idx="54">
                  <v>0.0642830685593931</v>
                </pt>
                <pt idx="55">
                  <v>0.576641858267895</v>
                </pt>
                <pt idx="56">
                  <v>0.8303708783991909</v>
                </pt>
                <pt idx="57">
                  <v>0.8385921207171287</v>
                </pt>
                <pt idx="58">
                  <v>0.541656830095527</v>
                </pt>
                <pt idx="59">
                  <v>0.2707821628706648</v>
                </pt>
                <pt idx="60">
                  <v>0.2590483872102247</v>
                </pt>
                <pt idx="61">
                  <v>0.184648954635009</v>
                </pt>
                <pt idx="62">
                  <v>0.2388845160205258</v>
                </pt>
                <pt idx="63">
                  <v>0.2018666168410286</v>
                </pt>
                <pt idx="64">
                  <v>0.1711801922489151</v>
                </pt>
              </numCache>
            </numRef>
          </val>
          <smooth val="0"/>
        </ser>
        <ser>
          <idx val="2"/>
          <order val="2"/>
          <tx>
            <strRef>
              <f>Deviation_SD!$CC$5</f>
              <strCache>
                <ptCount val="1"/>
                <pt idx="0">
                  <v>pest2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Deviation_SD!$CC$22:$CC$86</f>
              <numCache>
                <formatCode>0.00</formatCode>
                <ptCount val="65"/>
                <pt idx="0">
                  <v>-0.9510621607863858</v>
                </pt>
                <pt idx="1">
                  <v>-0.8510992555630734</v>
                </pt>
                <pt idx="2">
                  <v>-0.706007043044749</v>
                </pt>
                <pt idx="3">
                  <v>-0.6097314079177312</v>
                </pt>
                <pt idx="4">
                  <v>-0.7168316166907884</v>
                </pt>
                <pt idx="5">
                  <v>-0.5956414109967609</v>
                </pt>
                <pt idx="6">
                  <v>-0.4401222806477695</v>
                </pt>
                <pt idx="7">
                  <v>-0.1144747589985529</v>
                </pt>
                <pt idx="8">
                  <v>0.1963678505790015</v>
                </pt>
                <pt idx="9">
                  <v>0.2033421367218348</v>
                </pt>
                <pt idx="10">
                  <v>0.2122634771466231</v>
                </pt>
                <pt idx="11">
                  <v>0.1159834058257154</v>
                </pt>
                <pt idx="12">
                  <v>0.1520098335121673</v>
                </pt>
                <pt idx="13">
                  <v>0.1607109744717526</v>
                </pt>
                <pt idx="14">
                  <v>0.2702600677428348</v>
                </pt>
                <pt idx="15">
                  <v>0.2203231070401505</v>
                </pt>
                <pt idx="16">
                  <v>0.175725069960347</v>
                </pt>
                <pt idx="17">
                  <v>0.2171337718437325</v>
                </pt>
                <pt idx="18">
                  <v>0.1621368343949349</v>
                </pt>
                <pt idx="19">
                  <v>0.2286725775355665</v>
                </pt>
                <pt idx="20">
                  <v>0.4448717036998557</v>
                </pt>
                <pt idx="21">
                  <v>0.4445587037039837</v>
                </pt>
                <pt idx="22">
                  <v>0.3954883476031928</v>
                </pt>
                <pt idx="23">
                  <v>0.3247502204530689</v>
                </pt>
                <pt idx="24">
                  <v>0.1517679474498825</v>
                </pt>
                <pt idx="25">
                  <v>0.07045975315957625</v>
                </pt>
                <pt idx="26">
                  <v>0.03594417921644097</v>
                </pt>
                <pt idx="27">
                  <v>0.007803283068173927</v>
                </pt>
                <pt idx="28">
                  <v>-0.3019585412516287</v>
                </pt>
                <pt idx="29">
                  <v>-0.448839501091768</v>
                </pt>
                <pt idx="30">
                  <v>-0.640761314369653</v>
                </pt>
                <pt idx="31">
                  <v>-0.7447356328454681</v>
                </pt>
                <pt idx="32">
                  <v>-0.6423513222546283</v>
                </pt>
                <pt idx="33">
                  <v>-0.4719419249676268</v>
                </pt>
                <pt idx="34">
                  <v>-0.2654375343971186</v>
                </pt>
                <pt idx="35">
                  <v>-0.07541314651407124</v>
                </pt>
                <pt idx="36">
                  <v>0.1554099415528111</v>
                </pt>
                <pt idx="37">
                  <v>0.2705535003537837</v>
                </pt>
                <pt idx="38">
                  <v>0.3468620699273573</v>
                </pt>
                <pt idx="39">
                  <v>0.3526782686653193</v>
                </pt>
                <pt idx="40">
                  <v>0.3907272050300126</v>
                </pt>
                <pt idx="41">
                  <v>0.4095401677309177</v>
                </pt>
                <pt idx="42">
                  <v>0.4416864148864974</v>
                </pt>
                <pt idx="43">
                  <v>0.4482060804528173</v>
                </pt>
                <pt idx="44">
                  <v>0.3610232725751029</v>
                </pt>
                <pt idx="45">
                  <v>0.221706892746171</v>
                </pt>
                <pt idx="46">
                  <v>0.07237322186167475</v>
                </pt>
                <pt idx="47">
                  <v>-0.07594207413057288</v>
                </pt>
                <pt idx="48">
                  <v>-0.1911910569067664</v>
                </pt>
                <pt idx="49">
                  <v>-0.3965674725049869</v>
                </pt>
                <pt idx="50">
                  <v>-0.6373372627092622</v>
                </pt>
                <pt idx="51">
                  <v>-0.8497829394627812</v>
                </pt>
                <pt idx="52">
                  <v>-0.9153580950003548</v>
                </pt>
                <pt idx="53">
                  <v>-0.7276669457620771</v>
                </pt>
                <pt idx="54">
                  <v>-0.3690614802074266</v>
                </pt>
                <pt idx="55">
                  <v>0.02581499438743714</v>
                </pt>
                <pt idx="56">
                  <v>0.1519642990706842</v>
                </pt>
                <pt idx="57">
                  <v>0.2966971475660174</v>
                </pt>
                <pt idx="58">
                  <v>0.4039431825887361</v>
                </pt>
                <pt idx="59">
                  <v>0.5649259222915088</v>
                </pt>
                <pt idx="60">
                  <v>0.7262493958569395</v>
                </pt>
                <pt idx="61">
                  <v>0.6821324316995562</v>
                </pt>
                <pt idx="62">
                  <v>0.520339321097872</v>
                </pt>
                <pt idx="63">
                  <v>0.3150861211602667</v>
                </pt>
                <pt idx="64">
                  <v>0.2868071602697468</v>
                </pt>
              </numCache>
            </numRef>
          </val>
          <smooth val="0"/>
        </ser>
        <ser>
          <idx val="3"/>
          <order val="3"/>
          <tx>
            <strRef>
              <f>Deviation_SD!$CD$5</f>
              <strCache>
                <ptCount val="1"/>
                <pt idx="0">
                  <v>pest_av2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Deviation_SD!$CD$22:$CD$86</f>
              <numCache>
                <formatCode>0.00</formatCode>
                <ptCount val="65"/>
                <pt idx="0">
                  <v>-0.8904369793604092</v>
                </pt>
                <pt idx="1">
                  <v>-0.7455535587897191</v>
                </pt>
                <pt idx="2">
                  <v>-0.613603899368511</v>
                </pt>
                <pt idx="3">
                  <v>-0.5433374706627258</v>
                </pt>
                <pt idx="4">
                  <v>-0.6038449781435842</v>
                </pt>
                <pt idx="5">
                  <v>-0.3996072765968131</v>
                </pt>
                <pt idx="6">
                  <v>-0.2073995240818985</v>
                </pt>
                <pt idx="7">
                  <v>0.2050859258669674</v>
                </pt>
                <pt idx="8">
                  <v>0.4656267298684115</v>
                </pt>
                <pt idx="9">
                  <v>0.384709770617833</v>
                </pt>
                <pt idx="10">
                  <v>0.313315287018725</v>
                </pt>
                <pt idx="11">
                  <v>0.03432010961893783</v>
                </pt>
                <pt idx="12">
                  <v>-0.1166831833446546</v>
                </pt>
                <pt idx="13">
                  <v>-0.07776341553534999</v>
                </pt>
                <pt idx="14">
                  <v>0.1392741941271345</v>
                </pt>
                <pt idx="15">
                  <v>0.3221859167478658</v>
                </pt>
                <pt idx="16">
                  <v>0.4396757818407259</v>
                </pt>
                <pt idx="17">
                  <v>0.4315504608555722</v>
                </pt>
                <pt idx="18">
                  <v>0.2662961032319892</v>
                </pt>
                <pt idx="19">
                  <v>0.1077705851499511</v>
                </pt>
                <pt idx="20">
                  <v>0.2912172311478332</v>
                </pt>
                <pt idx="21">
                  <v>0.2690417779878525</v>
                </pt>
                <pt idx="22">
                  <v>0.3461666289094971</v>
                </pt>
                <pt idx="23">
                  <v>0.3861202586365456</v>
                </pt>
                <pt idx="24">
                  <v>0.1957644032176699</v>
                </pt>
                <pt idx="25">
                  <v>0.05804837813176578</v>
                </pt>
                <pt idx="26">
                  <v>-0.133982300498024</v>
                </pt>
                <pt idx="27">
                  <v>-0.3129720177497924</v>
                </pt>
                <pt idx="28">
                  <v>-0.5964231836565516</v>
                </pt>
                <pt idx="29">
                  <v>-0.7071736598053309</v>
                </pt>
                <pt idx="30">
                  <v>-0.7628389784865907</v>
                </pt>
                <pt idx="31">
                  <v>-0.6805946454641637</v>
                </pt>
                <pt idx="32">
                  <v>-0.4803095270120122</v>
                </pt>
                <pt idx="33">
                  <v>-0.1717773432257031</v>
                </pt>
                <pt idx="34">
                  <v>0.09010224642754075</v>
                </pt>
                <pt idx="35">
                  <v>0.2878982358966978</v>
                </pt>
                <pt idx="36">
                  <v>0.4036185336865968</v>
                </pt>
                <pt idx="37">
                  <v>0.388799049188686</v>
                </pt>
                <pt idx="38">
                  <v>0.3106031550417902</v>
                </pt>
                <pt idx="39">
                  <v>0.1981860896732126</v>
                </pt>
                <pt idx="40">
                  <v>0.2344377692469336</v>
                </pt>
                <pt idx="41">
                  <v>0.3604129637356835</v>
                </pt>
                <pt idx="42">
                  <v>0.4931561483347965</v>
                </pt>
                <pt idx="43">
                  <v>0.5554749730054558</v>
                </pt>
                <pt idx="44">
                  <v>0.4186195225129356</v>
                </pt>
                <pt idx="45">
                  <v>0.1307335800213501</v>
                </pt>
                <pt idx="46">
                  <v>-0.1844710607512102</v>
                </pt>
                <pt idx="47">
                  <v>-0.4855385257032462</v>
                </pt>
                <pt idx="48">
                  <v>-0.5513387249831844</v>
                </pt>
                <pt idx="49">
                  <v>-0.6448462862704776</v>
                </pt>
                <pt idx="50">
                  <v>-0.7437809994629931</v>
                </pt>
                <pt idx="51">
                  <v>-0.8098186923823619</v>
                </pt>
                <pt idx="52">
                  <v>-0.7867020478545563</v>
                </pt>
                <pt idx="53">
                  <v>-0.4999885638864597</v>
                </pt>
                <pt idx="54">
                  <v>-0.02541053411957031</v>
                </pt>
                <pt idx="55">
                  <v>0.4182596184425748</v>
                </pt>
                <pt idx="56">
                  <v>0.5401591237447286</v>
                </pt>
                <pt idx="57">
                  <v>0.615170459229063</v>
                </pt>
                <pt idx="58">
                  <v>0.5503040238089485</v>
                </pt>
                <pt idx="59">
                  <v>0.5352706988982778</v>
                </pt>
                <pt idx="60">
                  <v>0.5327134075985872</v>
                </pt>
                <pt idx="61">
                  <v>0.4068637957544732</v>
                </pt>
                <pt idx="62">
                  <v>0.3221006560422589</v>
                </pt>
                <pt idx="63">
                  <v>0.2421556216373053</v>
                </pt>
                <pt idx="64">
                  <v>0.2574254804307643</v>
                </pt>
              </numCache>
            </numRef>
          </val>
          <smooth val="0"/>
        </ser>
        <ser>
          <idx val="4"/>
          <order val="4"/>
          <tx>
            <strRef>
              <f>Deviation_SD!$CE$5</f>
              <strCache>
                <ptCount val="1"/>
                <pt idx="0">
                  <v>pest_av3</v>
                </pt>
              </strCache>
            </strRef>
          </tx>
          <spPr>
            <a:ln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Deviation_SD!$CE$22:$CE$86</f>
              <numCache>
                <formatCode>0.00</formatCode>
                <ptCount val="65"/>
                <pt idx="0">
                  <v>-0.7064245222992075</v>
                </pt>
                <pt idx="1">
                  <v>-0.7685988707787422</v>
                </pt>
                <pt idx="2">
                  <v>-0.7747212086882609</v>
                </pt>
                <pt idx="3">
                  <v>-0.7627185737450247</v>
                </pt>
                <pt idx="4">
                  <v>-0.8092089510597968</v>
                </pt>
                <pt idx="5">
                  <v>-0.619464203007335</v>
                </pt>
                <pt idx="6">
                  <v>-0.4382288422492305</v>
                </pt>
                <pt idx="7">
                  <v>-0.06196713035675151</v>
                </pt>
                <pt idx="8">
                  <v>0.1997665725117788</v>
                </pt>
                <pt idx="9">
                  <v>0.2011748670279808</v>
                </pt>
                <pt idx="10">
                  <v>0.2045728379097712</v>
                </pt>
                <pt idx="11">
                  <v>0.01644871130730459</v>
                </pt>
                <pt idx="12">
                  <v>-0.07587434381127121</v>
                </pt>
                <pt idx="13">
                  <v>-0.006559608898864592</v>
                </pt>
                <pt idx="14">
                  <v>0.2111884063932686</v>
                </pt>
                <pt idx="15">
                  <v>0.3974564373092975</v>
                </pt>
                <pt idx="16">
                  <v>0.4945544665109003</v>
                </pt>
                <pt idx="17">
                  <v>0.4482503380434987</v>
                </pt>
                <pt idx="18">
                  <v>0.2740481144939265</v>
                </pt>
                <pt idx="19">
                  <v>0.109580459623939</v>
                </pt>
                <pt idx="20">
                  <v>0.2887387753151289</v>
                </pt>
                <pt idx="21">
                  <v>0.3276330377441939</v>
                </pt>
                <pt idx="22">
                  <v>0.4452825132127486</v>
                </pt>
                <pt idx="23">
                  <v>0.5070898590310444</v>
                </pt>
                <pt idx="24">
                  <v>0.3286893734842435</v>
                </pt>
                <pt idx="25">
                  <v>0.1647531858708684</v>
                </pt>
                <pt idx="26">
                  <v>-0.04851302623698536</v>
                </pt>
                <pt idx="27">
                  <v>-0.2254468433028384</v>
                </pt>
                <pt idx="28">
                  <v>-0.4689172490748247</v>
                </pt>
                <pt idx="29">
                  <v>-0.5849699460577188</v>
                </pt>
                <pt idx="30">
                  <v>-0.6647399356644119</v>
                </pt>
                <pt idx="31">
                  <v>-0.6565710643154102</v>
                </pt>
                <pt idx="32">
                  <v>-0.5694259781034269</v>
                </pt>
                <pt idx="33">
                  <v>-0.3556522386035416</v>
                </pt>
                <pt idx="34">
                  <v>-0.1595631194104256</v>
                </pt>
                <pt idx="35">
                  <v>0.01818993291924433</v>
                </pt>
                <pt idx="36">
                  <v>0.1570004422760911</v>
                </pt>
                <pt idx="37">
                  <v>0.2071329937735561</v>
                </pt>
                <pt idx="38">
                  <v>0.2136595999026427</v>
                </pt>
                <pt idx="39">
                  <v>0.1927509510451829</v>
                </pt>
                <pt idx="40">
                  <v>0.2933676198713021</v>
                </pt>
                <pt idx="41">
                  <v>0.4508334017578459</v>
                </pt>
                <pt idx="42">
                  <v>0.5899278521752386</v>
                </pt>
                <pt idx="43">
                  <v>0.646581192017856</v>
                </pt>
                <pt idx="44">
                  <v>0.5153703078351701</v>
                </pt>
                <pt idx="45">
                  <v>0.242899125720404</v>
                </pt>
                <pt idx="46">
                  <v>-0.05032364865429746</v>
                </pt>
                <pt idx="47">
                  <v>-0.3265968297515581</v>
                </pt>
                <pt idx="48">
                  <v>-0.3926933789475823</v>
                </pt>
                <pt idx="49">
                  <v>-0.4906309213412732</v>
                </pt>
                <pt idx="50">
                  <v>-0.6195055247064033</v>
                </pt>
                <pt idx="51">
                  <v>-0.7515963114869304</v>
                </pt>
                <pt idx="52">
                  <v>-0.8326941421465355</v>
                </pt>
                <pt idx="53">
                  <v>-0.6760539460464505</v>
                </pt>
                <pt idx="54">
                  <v>-0.31320026570103</v>
                </pt>
                <pt idx="55">
                  <v>0.07972253954318814</v>
                </pt>
                <pt idx="56">
                  <v>0.2471137733481394</v>
                </pt>
                <pt idx="57">
                  <v>0.3838301865928333</v>
                </pt>
                <pt idx="58">
                  <v>0.4011082954255665</v>
                </pt>
                <pt idx="59">
                  <v>0.4619912877928908</v>
                </pt>
                <pt idx="60">
                  <v>0.5370615026304886</v>
                </pt>
                <pt idx="61">
                  <v>0.519224158040265</v>
                </pt>
                <pt idx="62">
                  <v>0.5178643733271112</v>
                </pt>
                <pt idx="63">
                  <v>0.4741586022397156</v>
                </pt>
                <pt idx="64">
                  <v>0.4601536334076441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27117416"/>
        <axId val="727118400"/>
      </lineChart>
      <dateAx>
        <axId val="727117416"/>
        <scaling>
          <orientation val="minMax"/>
        </scaling>
        <delete val="0"/>
        <axPos val="b"/>
        <numFmt formatCode="yyyy\-mm\-dd" sourceLinked="1"/>
        <majorTickMark val="none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7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27118400"/>
        <crosses val="autoZero"/>
        <lblOffset val="100"/>
        <baseTimeUnit val="months"/>
      </dateAx>
      <valAx>
        <axId val="727118400"/>
        <scaling>
          <orientation val="minMax"/>
          <max val="2"/>
          <min val="-4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7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27117416"/>
        <crosses val="autoZero"/>
        <crossBetween val="between"/>
        <majorUnit val="1"/>
      </valAx>
    </plotArea>
    <legend>
      <legendPos val="b"/>
      <layout>
        <manualLayout>
          <xMode val="edge"/>
          <yMode val="edge"/>
          <wMode val="factor"/>
          <hMode val="factor"/>
          <x val="0"/>
          <y val="0.878084184942763"/>
          <w val="0.9813104533068766"/>
          <h val="0.08384923751232133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7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solidFill>
      <a:schemeClr val="bg1"/>
    </a:solidFill>
    <a:ln w="9525" cap="flat" cmpd="sng" algn="ctr">
      <a:noFill/>
      <a:prstDash val="solid"/>
      <a:round/>
    </a:ln>
  </spPr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defRPr sz="9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900" b="0" i="0" baseline="0"/>
              <a:t>Цены на коммерческую недвижимость</a:t>
            </a:r>
            <a:endParaRPr lang="ru-RU" sz="900"/>
          </a:p>
        </rich>
      </tx>
      <layout>
        <manualLayout>
          <xMode val="edge"/>
          <yMode val="edge"/>
          <wMode val="factor"/>
          <hMode val="factor"/>
          <x val="0.1531624511189025"/>
          <y val="0.07104747745764933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014892646566868"/>
          <y val="0.2282363227943009"/>
          <w val="0.8455695481382361"/>
          <h val="0.4614546999163306"/>
        </manualLayout>
      </layout>
      <lineChart>
        <grouping val="standard"/>
        <varyColors val="0"/>
        <ser>
          <idx val="0"/>
          <order val="0"/>
          <tx>
            <strRef>
              <f>Deviation_SD!$BV$5</f>
              <strCache>
                <ptCount val="1"/>
                <pt idx="0">
                  <v>cest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Deviation_SD!$BV$22:$BV$86</f>
              <numCache>
                <formatCode>0.00</formatCode>
                <ptCount val="65"/>
                <pt idx="0">
                  <v>-0.1823872258783426</v>
                </pt>
                <pt idx="1">
                  <v>-0.4285581723134049</v>
                </pt>
                <pt idx="2">
                  <v>-0.307199103440122</v>
                </pt>
                <pt idx="3">
                  <v>0.09891746338605234</v>
                </pt>
                <pt idx="4">
                  <v>0.03284220583538961</v>
                </pt>
                <pt idx="5">
                  <v>0.05207569914912348</v>
                </pt>
                <pt idx="6">
                  <v>-0.2256104475980593</v>
                </pt>
                <pt idx="7">
                  <v>-0.5576436920630966</v>
                </pt>
                <pt idx="8">
                  <v>-0.6063976904740906</v>
                </pt>
                <pt idx="9">
                  <v>-0.619923515131881</v>
                </pt>
                <pt idx="10">
                  <v>-0.07161928278606294</v>
                </pt>
                <pt idx="11">
                  <v>-0.08612011856637895</v>
                </pt>
                <pt idx="12">
                  <v>0.06959357948259184</v>
                </pt>
                <pt idx="13">
                  <v>-0.003634744191072756</v>
                </pt>
                <pt idx="14">
                  <v>-0.3068906317763118</v>
                </pt>
                <pt idx="15">
                  <v>-0.3249052649563551</v>
                </pt>
                <pt idx="16">
                  <v>-0.4795463165526923</v>
                </pt>
                <pt idx="17">
                  <v>-0.1446861431246217</v>
                </pt>
                <pt idx="18">
                  <v>0.1988168974490094</v>
                </pt>
                <pt idx="19">
                  <v>0.2672567372260845</v>
                </pt>
                <pt idx="20">
                  <v>0.3147715165427983</v>
                </pt>
                <pt idx="21">
                  <v>0.2929780720224073</v>
                </pt>
                <pt idx="22">
                  <v>0.2119815987004334</v>
                </pt>
                <pt idx="23">
                  <v>0.212835069073227</v>
                </pt>
                <pt idx="24">
                  <v>0.3043732751633999</v>
                </pt>
                <pt idx="25">
                  <v>0.2977422084271132</v>
                </pt>
                <pt idx="26">
                  <v>0.2725512880226072</v>
                </pt>
                <pt idx="27">
                  <v>0.234190055858768</v>
                </pt>
                <pt idx="28">
                  <v>0.1075892901073536</v>
                </pt>
                <pt idx="29">
                  <v>-0.08569513577351644</v>
                </pt>
                <pt idx="30">
                  <v>-0.1696173065553128</v>
                </pt>
                <pt idx="31">
                  <v>-0.2551220120016851</v>
                </pt>
                <pt idx="32">
                  <v>-0.3283968705287179</v>
                </pt>
                <pt idx="33">
                  <v>-0.1953657324678026</v>
                </pt>
                <pt idx="34">
                  <v>-0.05341131683058684</v>
                </pt>
                <pt idx="35">
                  <v>-0.004740275468815586</v>
                </pt>
                <pt idx="36">
                  <v>0.2081476496305446</v>
                </pt>
                <pt idx="37">
                  <v>0.3044044858188505</v>
                </pt>
                <pt idx="38">
                  <v>0.1852497403454438</v>
                </pt>
                <pt idx="39">
                  <v>0.323404533461833</v>
                </pt>
                <pt idx="40">
                  <v>0.2497727388158623</v>
                </pt>
                <pt idx="41">
                  <v>0.1021571745154514</v>
                </pt>
                <pt idx="42">
                  <v>-0.0325119743896998</v>
                </pt>
                <pt idx="43">
                  <v>-0.439730736433713</v>
                </pt>
                <pt idx="44">
                  <v>-0.2628108290156801</v>
                </pt>
                <pt idx="45">
                  <v>-0.1603071921717234</v>
                </pt>
                <pt idx="46">
                  <v>-0.03345654832060917</v>
                </pt>
                <pt idx="47">
                  <v>0.01153388497140371</v>
                </pt>
                <pt idx="48">
                  <v>-0.2063117888761541</v>
                </pt>
                <pt idx="49">
                  <v>-0.3182878296225978</v>
                </pt>
                <pt idx="50">
                  <v>-0.0473594977920364</v>
                </pt>
                <pt idx="51">
                  <v>0.03603802547251479</v>
                </pt>
                <pt idx="52">
                  <v>-0.09379440064588705</v>
                </pt>
                <pt idx="53">
                  <v>0.0440354414074392</v>
                </pt>
                <pt idx="54">
                  <v>-0.2334741919709692</v>
                </pt>
                <pt idx="55">
                  <v>-0.1218769734813304</v>
                </pt>
                <pt idx="56">
                  <v>0.02958563307222086</v>
                </pt>
                <pt idx="57">
                  <v>-0.09943154984386869</v>
                </pt>
                <pt idx="58">
                  <v>0.0007657523201051728</v>
                </pt>
                <pt idx="59">
                  <v>0.04705480839459585</v>
                </pt>
                <pt idx="60">
                  <v>-0.05792749324780821</v>
                </pt>
                <pt idx="61">
                  <v>0.1050303700308202</v>
                </pt>
                <pt idx="62">
                  <v>0.2223272587694747</v>
                </pt>
                <pt idx="63">
                  <v>0.1074343281185135</v>
                </pt>
                <pt idx="64">
                  <v>0.4289046981088249</v>
                </pt>
              </numCache>
            </numRef>
          </val>
          <smooth val="0"/>
        </ser>
        <ser>
          <idx val="1"/>
          <order val="1"/>
          <tx>
            <strRef>
              <f>Deviation_SD!$BW$5</f>
              <strCache>
                <ptCount val="1"/>
                <pt idx="0">
                  <v>cest1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Deviation_SD!$BW$22:$BW$86</f>
              <numCache>
                <formatCode>0.00</formatCode>
                <ptCount val="65"/>
                <pt idx="0">
                  <v>-0.9861605270294339</v>
                </pt>
                <pt idx="1">
                  <v>-1.383549835804547</v>
                </pt>
                <pt idx="2">
                  <v>-1.080588329441935</v>
                </pt>
                <pt idx="3">
                  <v>-0.3451938470819131</v>
                </pt>
                <pt idx="4">
                  <v>0.2146992340040571</v>
                </pt>
                <pt idx="5">
                  <v>0.4794498745722673</v>
                </pt>
                <pt idx="6">
                  <v>0.08138766976818571</v>
                </pt>
                <pt idx="7">
                  <v>-0.6549437780388709</v>
                </pt>
                <pt idx="8">
                  <v>-0.6376651882119047</v>
                </pt>
                <pt idx="9">
                  <v>-0.6703438066470286</v>
                </pt>
                <pt idx="10">
                  <v>0.1536118218836458</v>
                </pt>
                <pt idx="11">
                  <v>0.470362018979126</v>
                </pt>
                <pt idx="12">
                  <v>0.6743260282644213</v>
                </pt>
                <pt idx="13">
                  <v>0.6147706008083614</v>
                </pt>
                <pt idx="14">
                  <v>-0.2346917798793073</v>
                </pt>
                <pt idx="15">
                  <v>-0.2381969213655809</v>
                </pt>
                <pt idx="16">
                  <v>-0.5477871409178691</v>
                </pt>
                <pt idx="17">
                  <v>-0.1407039319163034</v>
                </pt>
                <pt idx="18">
                  <v>0.504461765708567</v>
                </pt>
                <pt idx="19">
                  <v>0.5907032661033921</v>
                </pt>
                <pt idx="20">
                  <v>0.7923611049077703</v>
                </pt>
                <pt idx="21">
                  <v>0.4365860700131129</v>
                </pt>
                <pt idx="22">
                  <v>0.01313227123292469</v>
                </pt>
                <pt idx="23">
                  <v>-0.05428760542927188</v>
                </pt>
                <pt idx="24">
                  <v>-0.01037262627778292</v>
                </pt>
                <pt idx="25">
                  <v>0.004752400397273094</v>
                </pt>
                <pt idx="26">
                  <v>0.06042048151960402</v>
                </pt>
                <pt idx="27">
                  <v>0.0213023807595265</v>
                </pt>
                <pt idx="28">
                  <v>-0.1962992259905844</v>
                </pt>
                <pt idx="29">
                  <v>-0.3824927819254782</v>
                </pt>
                <pt idx="30">
                  <v>-0.4410793533237439</v>
                </pt>
                <pt idx="31">
                  <v>-0.4881066930395919</v>
                </pt>
                <pt idx="32">
                  <v>-0.4349121492335476</v>
                </pt>
                <pt idx="33">
                  <v>-0.1094004333680021</v>
                </pt>
                <pt idx="34">
                  <v>0.1159197270648658</v>
                </pt>
                <pt idx="35">
                  <v>0.2497649443860094</v>
                </pt>
                <pt idx="36">
                  <v>0.5352227925801759</v>
                </pt>
                <pt idx="37">
                  <v>0.4985390807838054</v>
                </pt>
                <pt idx="38">
                  <v>0.2380731378338858</v>
                </pt>
                <pt idx="39">
                  <v>0.3273364546793202</v>
                </pt>
                <pt idx="40">
                  <v>0.0415225496451844</v>
                </pt>
                <pt idx="41">
                  <v>-0.2017490938412835</v>
                </pt>
                <pt idx="42">
                  <v>-0.2172252789815007</v>
                </pt>
                <pt idx="43">
                  <v>-0.7612553570553308</v>
                </pt>
                <pt idx="44">
                  <v>-0.5113208658324828</v>
                </pt>
                <pt idx="45">
                  <v>-0.2618178101034361</v>
                </pt>
                <pt idx="46">
                  <v>-0.0009422470607838521</v>
                </pt>
                <pt idx="47">
                  <v>0.4501529729338956</v>
                </pt>
                <pt idx="48">
                  <v>0.05635986000304421</v>
                </pt>
                <pt idx="49">
                  <v>-0.1575914668273099</v>
                </pt>
                <pt idx="50">
                  <v>-0.0138687008470231</v>
                </pt>
                <pt idx="51">
                  <v>0.02444377682748244</v>
                </pt>
                <pt idx="52">
                  <v>0.1122402120975081</v>
                </pt>
                <pt idx="53">
                  <v>0.3614307213125912</v>
                </pt>
                <pt idx="54">
                  <v>-0.1856562179203429</v>
                </pt>
                <pt idx="55">
                  <v>-0.1575259900246202</v>
                </pt>
                <pt idx="56">
                  <v>0.1230760984673566</v>
                </pt>
                <pt idx="57">
                  <v>-0.1431135736468021</v>
                </pt>
                <pt idx="58">
                  <v>0.2336629159497891</v>
                </pt>
                <pt idx="59">
                  <v>0.1685156341254593</v>
                </pt>
                <pt idx="60">
                  <v>-0.08729754586352767</v>
                </pt>
                <pt idx="61">
                  <v>0.2039582469301006</v>
                </pt>
                <pt idx="62">
                  <v>0.2210157102618488</v>
                </pt>
                <pt idx="63">
                  <v>0.06023078038648595</v>
                </pt>
                <pt idx="64">
                  <v>0.4856329254811523</v>
                </pt>
              </numCache>
            </numRef>
          </val>
          <smooth val="0"/>
        </ser>
        <ser>
          <idx val="2"/>
          <order val="2"/>
          <tx>
            <strRef>
              <f>Deviation_SD!$BX$5</f>
              <strCache>
                <ptCount val="1"/>
                <pt idx="0">
                  <v>cest2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Deviation_SD!$BX$22:$BX$86</f>
              <numCache>
                <formatCode>0.00</formatCode>
                <ptCount val="65"/>
                <pt idx="0">
                  <v>0.03120365813809198</v>
                </pt>
                <pt idx="1">
                  <v>-0.2228200715251188</v>
                </pt>
                <pt idx="2">
                  <v>-0.3101429166022432</v>
                </pt>
                <pt idx="3">
                  <v>-0.20936718651468</v>
                </pt>
                <pt idx="4">
                  <v>-0.7404954978648678</v>
                </pt>
                <pt idx="5">
                  <v>-0.8678101636011467</v>
                </pt>
                <pt idx="6">
                  <v>-0.9590936015083759</v>
                </pt>
                <pt idx="7">
                  <v>-0.9599929579653455</v>
                </pt>
                <pt idx="8">
                  <v>-0.4059884632873295</v>
                </pt>
                <pt idx="9">
                  <v>-0.1832316132371824</v>
                </pt>
                <pt idx="10">
                  <v>0.2255668134512481</v>
                </pt>
                <pt idx="11">
                  <v>-0.1771728054374633</v>
                </pt>
                <pt idx="12">
                  <v>0.03518930535111071</v>
                </pt>
                <pt idx="13">
                  <v>-0.05334254498248277</v>
                </pt>
                <pt idx="14">
                  <v>-0.07782547796715569</v>
                </pt>
                <pt idx="15">
                  <v>0.2228461895605858</v>
                </pt>
                <pt idx="16">
                  <v>0.1214597248521574</v>
                </pt>
                <pt idx="17">
                  <v>0.4550380390773755</v>
                </pt>
                <pt idx="18">
                  <v>0.258941649790672</v>
                </pt>
                <pt idx="19">
                  <v>0.338357042157608</v>
                </pt>
                <pt idx="20">
                  <v>0.2347569746749807</v>
                </pt>
                <pt idx="21">
                  <v>0.2840056826442897</v>
                </pt>
                <pt idx="22">
                  <v>0.4968182558762143</v>
                </pt>
                <pt idx="23">
                  <v>0.514884395762327</v>
                </pt>
                <pt idx="24">
                  <v>0.7506001312610965</v>
                </pt>
                <pt idx="25">
                  <v>0.4236235224347255</v>
                </pt>
                <pt idx="26">
                  <v>0.0706004082916752</v>
                </pt>
                <pt idx="27">
                  <v>-0.0316612260198052</v>
                </pt>
                <pt idx="28">
                  <v>-0.1983762212358786</v>
                </pt>
                <pt idx="29">
                  <v>-0.362578206336779</v>
                </pt>
                <pt idx="30">
                  <v>-0.3653795509141809</v>
                </pt>
                <pt idx="31">
                  <v>-0.4480671872359561</v>
                </pt>
                <pt idx="32">
                  <v>-0.6058750915701308</v>
                </pt>
                <pt idx="33">
                  <v>-0.4721490431835765</v>
                </pt>
                <pt idx="34">
                  <v>-0.31210799752231</v>
                </pt>
                <pt idx="35">
                  <v>-0.2287749151212597</v>
                </pt>
                <pt idx="36">
                  <v>0.0962842600888122</v>
                </pt>
                <pt idx="37">
                  <v>0.373518955599951</v>
                </pt>
                <pt idx="38">
                  <v>0.3397838946732345</v>
                </pt>
                <pt idx="39">
                  <v>0.5539370434821489</v>
                </pt>
                <pt idx="40">
                  <v>0.5535952784585958</v>
                </pt>
                <pt idx="41">
                  <v>0.2848770912153607</v>
                </pt>
                <pt idx="42">
                  <v>0.02001104366464377</v>
                </pt>
                <pt idx="43">
                  <v>-0.4165017695026878</v>
                </pt>
                <pt idx="44">
                  <v>-0.4509410143922111</v>
                </pt>
                <pt idx="45">
                  <v>-0.4449597256967355</v>
                </pt>
                <pt idx="46">
                  <v>-0.2094104685162913</v>
                </pt>
                <pt idx="47">
                  <v>-0.298615001037222</v>
                </pt>
                <pt idx="48">
                  <v>-0.4366992609565561</v>
                </pt>
                <pt idx="49">
                  <v>-0.4025745479880621</v>
                </pt>
                <pt idx="50">
                  <v>-0.01421644915175461</v>
                </pt>
                <pt idx="51">
                  <v>0.4555468429548796</v>
                </pt>
                <pt idx="52">
                  <v>0.1618326096965235</v>
                </pt>
                <pt idx="53">
                  <v>0.1956573215002723</v>
                </pt>
                <pt idx="54">
                  <v>-0.1915161595206928</v>
                </pt>
                <pt idx="55">
                  <v>-0.1277404072107236</v>
                </pt>
                <pt idx="56">
                  <v>0.2258709155246257</v>
                </pt>
                <pt idx="57">
                  <v>0.209554084456054</v>
                </pt>
                <pt idx="58">
                  <v>0.04607975031223479</v>
                </pt>
                <pt idx="59">
                  <v>0.01054852920474509</v>
                </pt>
                <pt idx="60">
                  <v>0.03434243216449381</v>
                </pt>
                <pt idx="61">
                  <v>0.05840242024152894</v>
                </pt>
                <pt idx="62">
                  <v>0.4364282158146148</v>
                </pt>
                <pt idx="63">
                  <v>0.2195647294688763</v>
                </pt>
                <pt idx="64">
                  <v>0.3823465388527813</v>
                </pt>
              </numCache>
            </numRef>
          </val>
          <smooth val="0"/>
        </ser>
        <ser>
          <idx val="3"/>
          <order val="3"/>
          <tx>
            <strRef>
              <f>Deviation_SD!$BY$5</f>
              <strCache>
                <ptCount val="1"/>
                <pt idx="0">
                  <v>cest_av2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Deviation_SD!$BY$22:$BY$86</f>
              <numCache>
                <formatCode>0.00</formatCode>
                <ptCount val="65"/>
                <pt idx="0">
                  <v>-0.7391438871457781</v>
                </pt>
                <pt idx="1">
                  <v>-1.077895048615779</v>
                </pt>
                <pt idx="2">
                  <v>-0.8742365763541839</v>
                </pt>
                <pt idx="3">
                  <v>-0.2696756209927034</v>
                </pt>
                <pt idx="4">
                  <v>-0.3221207525065759</v>
                </pt>
                <pt idx="5">
                  <v>-0.1652233699368371</v>
                </pt>
                <pt idx="6">
                  <v>-0.3877610903299488</v>
                </pt>
                <pt idx="7">
                  <v>-0.6677356827112781</v>
                </pt>
                <pt idx="8">
                  <v>-0.564081749943513</v>
                </pt>
                <pt idx="9">
                  <v>-0.51064455806413</v>
                </pt>
                <pt idx="10">
                  <v>0.263965127326805</v>
                </pt>
                <pt idx="11">
                  <v>0.2044731527988337</v>
                </pt>
                <pt idx="12">
                  <v>0.4465699691057006</v>
                </pt>
                <pt idx="13">
                  <v>0.3412235135617198</v>
                </pt>
                <pt idx="14">
                  <v>-0.05986129849782608</v>
                </pt>
                <pt idx="15">
                  <v>-0.07049393105377683</v>
                </pt>
                <pt idx="16">
                  <v>-0.3192101897332336</v>
                </pt>
                <pt idx="17">
                  <v>0.1126189663344797</v>
                </pt>
                <pt idx="18">
                  <v>0.4971973868319182</v>
                </pt>
                <pt idx="19">
                  <v>0.5440825401822178</v>
                </pt>
                <pt idx="20">
                  <v>0.5486074505292041</v>
                </pt>
                <pt idx="21">
                  <v>0.4776195159324469</v>
                </pt>
                <pt idx="22">
                  <v>0.317786297005243</v>
                </pt>
                <pt idx="23">
                  <v>0.2311432210628398</v>
                </pt>
                <pt idx="24">
                  <v>0.2640656299682416</v>
                </pt>
                <pt idx="25">
                  <v>0.122442201786043</v>
                </pt>
                <pt idx="26">
                  <v>0.01347841554903422</v>
                </pt>
                <pt idx="27">
                  <v>-0.05092703692335544</v>
                </pt>
                <pt idx="28">
                  <v>-0.216708808810163</v>
                </pt>
                <pt idx="29">
                  <v>-0.4432968485353403</v>
                </pt>
                <pt idx="30">
                  <v>-0.4928253372505318</v>
                </pt>
                <pt idx="31">
                  <v>-0.5440010148239995</v>
                </pt>
                <pt idx="32">
                  <v>-0.5640087149227525</v>
                </pt>
                <pt idx="33">
                  <v>-0.2768559828787797</v>
                </pt>
                <pt idx="34">
                  <v>-0.001256234332287447</v>
                </pt>
                <pt idx="35">
                  <v>0.1197849574477749</v>
                </pt>
                <pt idx="36">
                  <v>0.4483966051008895</v>
                </pt>
                <pt idx="37">
                  <v>0.5616821204112064</v>
                </pt>
                <pt idx="38">
                  <v>0.3343758846933004</v>
                </pt>
                <pt idx="39">
                  <v>0.4613462583375684</v>
                </pt>
                <pt idx="40">
                  <v>0.2637798217532517</v>
                </pt>
                <pt idx="41">
                  <v>-0.03387660347780383</v>
                </pt>
                <pt idx="42">
                  <v>-0.2665194729003911</v>
                </pt>
                <pt idx="43">
                  <v>-0.8212999467602466</v>
                </pt>
                <pt idx="44">
                  <v>-0.5082021564037763</v>
                </pt>
                <pt idx="45">
                  <v>-0.2897540694437602</v>
                </pt>
                <pt idx="46">
                  <v>-0.03940493554331378</v>
                </pt>
                <pt idx="47">
                  <v>0.05850504100717898</v>
                </pt>
                <pt idx="48">
                  <v>-0.1836167466345894</v>
                </pt>
                <pt idx="49">
                  <v>-0.25802243767632</v>
                </pt>
                <pt idx="50">
                  <v>0.1798714854008629</v>
                </pt>
                <pt idx="51">
                  <v>0.295277436215677</v>
                </pt>
                <pt idx="52">
                  <v>0.03902095197194198</v>
                </pt>
                <pt idx="53">
                  <v>0.1969992403309969</v>
                </pt>
                <pt idx="54">
                  <v>-0.2132369668167737</v>
                </pt>
                <pt idx="55">
                  <v>-0.02832499117449296</v>
                </pt>
                <pt idx="56">
                  <v>0.199281444429005</v>
                </pt>
                <pt idx="57">
                  <v>-0.01528281675770875</v>
                </pt>
                <pt idx="58">
                  <v>0.08331963209337484</v>
                </pt>
                <pt idx="59">
                  <v>0.137836947830618</v>
                </pt>
                <pt idx="60">
                  <v>-0.006139696601448341</v>
                </pt>
                <pt idx="61">
                  <v>0.2083841425949721</v>
                </pt>
                <pt idx="62">
                  <v>0.3568456972124755</v>
                </pt>
                <pt idx="63">
                  <v>0.1241911865228206</v>
                </pt>
                <pt idx="64">
                  <v>0.5205575761775983</v>
                </pt>
              </numCache>
            </numRef>
          </val>
          <smooth val="0"/>
        </ser>
        <ser>
          <idx val="4"/>
          <order val="4"/>
          <tx>
            <strRef>
              <f>Deviation_SD!$BZ$5</f>
              <strCache>
                <ptCount val="1"/>
                <pt idx="0">
                  <v>cest_av3</v>
                </pt>
              </strCache>
            </strRef>
          </tx>
          <spPr>
            <a:ln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Deviation_SD!$BZ$22:$BZ$86</f>
              <numCache>
                <formatCode>0.00</formatCode>
                <ptCount val="65"/>
                <pt idx="0">
                  <v>-0.5818712716295302</v>
                </pt>
                <pt idx="1">
                  <v>-0.7971650049172068</v>
                </pt>
                <pt idx="2">
                  <v>-0.5262158036379353</v>
                </pt>
                <pt idx="3">
                  <v>-0.04385478517769913</v>
                </pt>
                <pt idx="4">
                  <v>-0.1779895683150411</v>
                </pt>
                <pt idx="5">
                  <v>-0.1797756144568271</v>
                </pt>
                <pt idx="6">
                  <v>-0.5555517518656965</v>
                </pt>
                <pt idx="7">
                  <v>-0.9483232296081062</v>
                </pt>
                <pt idx="8">
                  <v>-0.9178663031925187</v>
                </pt>
                <pt idx="9">
                  <v>-0.7866341747273464</v>
                </pt>
                <pt idx="10">
                  <v>0.06963431981499912</v>
                </pt>
                <pt idx="11">
                  <v>0.1403429543713025</v>
                </pt>
                <pt idx="12">
                  <v>0.3922119880509248</v>
                </pt>
                <pt idx="13">
                  <v>0.2735306244805419</v>
                </pt>
                <pt idx="14">
                  <v>-0.1530295007186297</v>
                </pt>
                <pt idx="15">
                  <v>-0.1757518448287657</v>
                </pt>
                <pt idx="16">
                  <v>-0.326042073603621</v>
                </pt>
                <pt idx="17">
                  <v>0.1495049977364301</v>
                </pt>
                <pt idx="18">
                  <v>0.6028095843373054</v>
                </pt>
                <pt idx="19">
                  <v>0.644463360093155</v>
                </pt>
                <pt idx="20">
                  <v>0.6177274186255641</v>
                </pt>
                <pt idx="21">
                  <v>0.4935912571234469</v>
                </pt>
                <pt idx="22">
                  <v>0.2957548948492389</v>
                </pt>
                <pt idx="23">
                  <v>0.2670628869147367</v>
                </pt>
                <pt idx="24">
                  <v>0.3509794022673428</v>
                </pt>
                <pt idx="25">
                  <v>0.3179847084613797</v>
                </pt>
                <pt idx="26">
                  <v>0.2546232242747046</v>
                </pt>
                <pt idx="27">
                  <v>0.1454874152275653</v>
                </pt>
                <pt idx="28">
                  <v>-0.0726531171283404</v>
                </pt>
                <pt idx="29">
                  <v>-0.3777268353902786</v>
                </pt>
                <pt idx="30">
                  <v>-0.4896210514578845</v>
                </pt>
                <pt idx="31">
                  <v>-0.5586456190810577</v>
                </pt>
                <pt idx="32">
                  <v>-0.5961081857802079</v>
                </pt>
                <pt idx="33">
                  <v>-0.3610440306685117</v>
                </pt>
                <pt idx="34">
                  <v>-0.1309912560193752</v>
                </pt>
                <pt idx="35">
                  <v>-0.04183277444149038</v>
                </pt>
                <pt idx="36">
                  <v>0.249142788756705</v>
                </pt>
                <pt idx="37">
                  <v>0.3804810588498668</v>
                </pt>
                <pt idx="38">
                  <v>0.2297028323781989</v>
                </pt>
                <pt idx="39">
                  <v>0.4128761477898541</v>
                </pt>
                <pt idx="40">
                  <v>0.3107706867166625</v>
                </pt>
                <pt idx="41">
                  <v>0.1099207994240134</v>
                </pt>
                <pt idx="42">
                  <v>-0.07941613321419241</v>
                </pt>
                <pt idx="43">
                  <v>-0.6067109715856404</v>
                </pt>
                <pt idx="44">
                  <v>-0.3644984004700907</v>
                </pt>
                <pt idx="45">
                  <v>-0.2422759832534547</v>
                </pt>
                <pt idx="46">
                  <v>-0.08618359468674847</v>
                </pt>
                <pt idx="47">
                  <v>-0.03161127361033985</v>
                </pt>
                <pt idx="48">
                  <v>-0.3077025328468789</v>
                </pt>
                <pt idx="49">
                  <v>-0.4052376891051047</v>
                </pt>
                <pt idx="50">
                  <v>0.001362900758597197</v>
                </pt>
                <pt idx="51">
                  <v>0.1308194184298534</v>
                </pt>
                <pt idx="52">
                  <v>-0.002546164073101688</v>
                </pt>
                <pt idx="53">
                  <v>0.20711571082602</v>
                </pt>
                <pt idx="54">
                  <v>-0.136315427744108</v>
                </pt>
                <pt idx="55">
                  <v>0.02533774836479679</v>
                </pt>
                <pt idx="56">
                  <v>0.1827472198343678</v>
                </pt>
                <pt idx="57">
                  <v>-0.01044393265164386</v>
                </pt>
                <pt idx="58">
                  <v>0.1093679947214572</v>
                </pt>
                <pt idx="59">
                  <v>0.1640784380631203</v>
                </pt>
                <pt idx="60">
                  <v>0.02812179945350514</v>
                </pt>
                <pt idx="61">
                  <v>0.2177975420887335</v>
                </pt>
                <pt idx="62">
                  <v>0.3211046419836875</v>
                </pt>
                <pt idx="63">
                  <v>0.1480870347860369</v>
                </pt>
                <pt idx="64">
                  <v>0.5454947199357565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27117416"/>
        <axId val="727118400"/>
      </lineChart>
      <dateAx>
        <axId val="727117416"/>
        <scaling>
          <orientation val="minMax"/>
        </scaling>
        <delete val="0"/>
        <axPos val="b"/>
        <numFmt formatCode="yyyy\-mm\-dd" sourceLinked="1"/>
        <majorTickMark val="none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7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27118400"/>
        <crosses val="autoZero"/>
        <lblOffset val="100"/>
        <baseTimeUnit val="months"/>
      </dateAx>
      <valAx>
        <axId val="727118400"/>
        <scaling>
          <orientation val="minMax"/>
          <min val="-4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7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27117416"/>
        <crosses val="autoZero"/>
        <crossBetween val="between"/>
        <majorUnit val="1"/>
      </valAx>
    </plotArea>
    <legend>
      <legendPos val="b"/>
      <layout>
        <manualLayout>
          <xMode val="edge"/>
          <yMode val="edge"/>
          <wMode val="factor"/>
          <hMode val="factor"/>
          <x val="0"/>
          <y val="0.878084184942763"/>
          <w val="0.9813104533068766"/>
          <h val="0.08384923751232133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7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solidFill>
      <a:schemeClr val="bg1"/>
    </a:solidFill>
    <a:ln w="9525" cap="flat" cmpd="sng" algn="ctr">
      <a:noFill/>
      <a:prstDash val="solid"/>
      <a:round/>
    </a:ln>
  </spPr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defRPr sz="9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900" b="0" i="0" baseline="0"/>
              <a:t>Сальдо счета текущих операций относительно ВВП</a:t>
            </a:r>
            <a:endParaRPr lang="ru-RU" sz="900"/>
          </a:p>
        </rich>
      </tx>
      <layout>
        <manualLayout>
          <xMode val="edge"/>
          <yMode val="edge"/>
          <wMode val="factor"/>
          <hMode val="factor"/>
          <x val="0.206103584677502"/>
          <y val="0.07104747745764933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014892646566868"/>
          <y val="0.2282363227943009"/>
          <w val="0.8455695481382361"/>
          <h val="0.4614546999163306"/>
        </manualLayout>
      </layout>
      <lineChart>
        <grouping val="standard"/>
        <varyColors val="0"/>
        <ser>
          <idx val="0"/>
          <order val="0"/>
          <tx>
            <strRef>
              <f>Deviation_SD!$BL$5</f>
              <strCache>
                <ptCount val="1"/>
                <pt idx="0">
                  <v>ca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Deviation_SD!$BL$22:$BL$86</f>
              <numCache>
                <formatCode>0.00000</formatCode>
                <ptCount val="65"/>
                <pt idx="0">
                  <v>0.8408352895714232</v>
                </pt>
                <pt idx="1">
                  <v>0.8749360622980633</v>
                </pt>
                <pt idx="2">
                  <v>1.059790715533892</v>
                </pt>
                <pt idx="3">
                  <v>1.20814191781548</v>
                </pt>
                <pt idx="4">
                  <v>1.45146092134785</v>
                </pt>
                <pt idx="5">
                  <v>1.191441218317119</v>
                </pt>
                <pt idx="6">
                  <v>0.8472940543454391</v>
                </pt>
                <pt idx="7">
                  <v>0.5615067127808154</v>
                </pt>
                <pt idx="8">
                  <v>0.05907255697202769</v>
                </pt>
                <pt idx="9">
                  <v>-0.1990067593790626</v>
                </pt>
                <pt idx="10">
                  <v>-0.04135480692307121</v>
                </pt>
                <pt idx="11">
                  <v>0.05332737809280761</v>
                </pt>
                <pt idx="12">
                  <v>0.4133646750652695</v>
                </pt>
                <pt idx="13">
                  <v>0.6244018388338204</v>
                </pt>
                <pt idx="14">
                  <v>0.7459731046541603</v>
                </pt>
                <pt idx="15">
                  <v>0.7665668981459597</v>
                </pt>
                <pt idx="16">
                  <v>0.6576204865809014</v>
                </pt>
                <pt idx="17">
                  <v>0.6129628291914934</v>
                </pt>
                <pt idx="18">
                  <v>0.466794002073417</v>
                </pt>
                <pt idx="19">
                  <v>0.4217027828717705</v>
                </pt>
                <pt idx="20">
                  <v>0.3775356369180369</v>
                </pt>
                <pt idx="21">
                  <v>0.2604774442065801</v>
                </pt>
                <pt idx="22">
                  <v>0.1806650949178445</v>
                </pt>
                <pt idx="23">
                  <v>0.09298374568342926</v>
                </pt>
                <pt idx="24">
                  <v>0.1487646442324494</v>
                </pt>
                <pt idx="25">
                  <v>0.2389555425934086</v>
                </pt>
                <pt idx="26">
                  <v>0.1837574909759574</v>
                </pt>
                <pt idx="27">
                  <v>0.1058949766334351</v>
                </pt>
                <pt idx="28">
                  <v>-0.04251933982856206</v>
                </pt>
                <pt idx="29">
                  <v>-0.1032120961595354</v>
                </pt>
                <pt idx="30">
                  <v>-0.05911811081069754</v>
                </pt>
                <pt idx="31">
                  <v>-0.05526638877279166</v>
                </pt>
                <pt idx="32">
                  <v>0.01294997854933311</v>
                </pt>
                <pt idx="33">
                  <v>-0.009571720878570895</v>
                </pt>
                <pt idx="34">
                  <v>-0.07777034983089939</v>
                </pt>
                <pt idx="35">
                  <v>-0.2316522553272488</v>
                </pt>
                <pt idx="36">
                  <v>-0.2567459139303039</v>
                </pt>
                <pt idx="37">
                  <v>-0.2199625704533827</v>
                </pt>
                <pt idx="38">
                  <v>-0.209525224022419</v>
                </pt>
                <pt idx="39">
                  <v>-0.03655893988275401</v>
                </pt>
                <pt idx="40">
                  <v>0.004678372920131597</v>
                </pt>
                <pt idx="41">
                  <v>0.005941540610468254</v>
                </pt>
                <pt idx="42">
                  <v>-0.02703107220629</v>
                </pt>
                <pt idx="43">
                  <v>-0.1990285450335471</v>
                </pt>
                <pt idx="44">
                  <v>-0.2834799527718072</v>
                </pt>
                <pt idx="45">
                  <v>-0.4239981831225735</v>
                </pt>
                <pt idx="46">
                  <v>-0.4532203277953211</v>
                </pt>
                <pt idx="47">
                  <v>-0.5576431565494668</v>
                </pt>
                <pt idx="48">
                  <v>-0.4991095418757441</v>
                </pt>
                <pt idx="49">
                  <v>-0.568151730058766</v>
                </pt>
                <pt idx="50">
                  <v>-0.6961009863074356</v>
                </pt>
                <pt idx="51">
                  <v>-0.6034395685590866</v>
                </pt>
                <pt idx="52">
                  <v>-0.5024839425756717</v>
                </pt>
                <pt idx="53">
                  <v>-0.3200269214241371</v>
                </pt>
                <pt idx="54">
                  <v>-0.1864327010694875</v>
                </pt>
                <pt idx="55">
                  <v>-0.1249105358633936</v>
                </pt>
                <pt idx="56">
                  <v>-0.1497346900168544</v>
                </pt>
                <pt idx="57">
                  <v>-0.1656435483682716</v>
                </pt>
                <pt idx="58">
                  <v>-0.05125981274875167</v>
                </pt>
                <pt idx="59">
                  <v>-0.02247787524004603</v>
                </pt>
                <pt idx="60">
                  <v>0.006562639459020862</v>
                </pt>
                <pt idx="61">
                  <v>0.01954369840287663</v>
                </pt>
                <pt idx="62">
                  <formatCode>0.00</formatCode>
                  <v>-0.04051989023384158</v>
                </pt>
                <pt idx="63">
                  <formatCode>0.00</formatCode>
                  <v>-0.03632205274744266</v>
                </pt>
                <pt idx="64">
                  <formatCode>0.00</formatCode>
                  <v>-0.04841364500835769</v>
                </pt>
              </numCache>
            </numRef>
          </val>
          <smooth val="0"/>
        </ser>
        <ser>
          <idx val="1"/>
          <order val="1"/>
          <tx>
            <strRef>
              <f>Deviation_SD!$BM$5</f>
              <strCache>
                <ptCount val="1"/>
                <pt idx="0">
                  <v>ca1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Deviation_SD!$BM$22:$BM$86</f>
              <numCache>
                <formatCode>0.00000</formatCode>
                <ptCount val="65"/>
                <pt idx="0">
                  <v>-0.02776663882005898</v>
                </pt>
                <pt idx="1">
                  <v>-0.2037880767475257</v>
                </pt>
                <pt idx="2">
                  <v>0.08212789374289306</v>
                </pt>
                <pt idx="3">
                  <v>0.2410371191855352</v>
                </pt>
                <pt idx="4">
                  <v>0.7325155387186982</v>
                </pt>
                <pt idx="5">
                  <v>0.3796842661092738</v>
                </pt>
                <pt idx="6">
                  <v>-0.2549141374782252</v>
                </pt>
                <pt idx="7">
                  <v>-0.7757131553623876</v>
                </pt>
                <pt idx="8">
                  <v>-1.670329674614517</v>
                </pt>
                <pt idx="9">
                  <v>-1.668001958056297</v>
                </pt>
                <pt idx="10">
                  <v>-1.066036316638273</v>
                </pt>
                <pt idx="11">
                  <v>-0.6096194456032765</v>
                </pt>
                <pt idx="12">
                  <v>0.4250140646632427</v>
                </pt>
                <pt idx="13">
                  <v>0.9877731322067361</v>
                </pt>
                <pt idx="14">
                  <v>0.9444902069037713</v>
                </pt>
                <pt idx="15">
                  <v>0.8556126767022001</v>
                </pt>
                <pt idx="16">
                  <v>0.2930128839122427</v>
                </pt>
                <pt idx="17">
                  <v>-0.01372240514401716</v>
                </pt>
                <pt idx="18">
                  <v>-0.334907380371501</v>
                </pt>
                <pt idx="19">
                  <v>-0.4137040930461844</v>
                </pt>
                <pt idx="20">
                  <v>-0.3359939279667483</v>
                </pt>
                <pt idx="21">
                  <v>-0.4228466809058364</v>
                </pt>
                <pt idx="22">
                  <v>-0.3432444687235091</v>
                </pt>
                <pt idx="23">
                  <v>-0.3943362185969825</v>
                </pt>
                <pt idx="24">
                  <v>-0.2744370662311982</v>
                </pt>
                <pt idx="25">
                  <v>-0.02581799147303941</v>
                </pt>
                <pt idx="26">
                  <v>0.003709684046262896</v>
                </pt>
                <pt idx="27">
                  <v>0.01548850359810615</v>
                </pt>
                <pt idx="28">
                  <v>-0.2294670962715391</v>
                </pt>
                <pt idx="29">
                  <v>-0.4104693599317948</v>
                </pt>
                <pt idx="30">
                  <v>-0.2913571639087684</v>
                </pt>
                <pt idx="31">
                  <v>-0.1933315574351895</v>
                </pt>
                <pt idx="32">
                  <v>0.0665418146888728</v>
                </pt>
                <pt idx="33">
                  <v>0.1123323790801355</v>
                </pt>
                <pt idx="34">
                  <v>-0.02237550178567619</v>
                </pt>
                <pt idx="35">
                  <v>-0.211595094175165</v>
                </pt>
                <pt idx="36">
                  <v>-0.3235311812824037</v>
                </pt>
                <pt idx="37">
                  <v>-0.2523879747226285</v>
                </pt>
                <pt idx="38">
                  <v>-0.1580550956671144</v>
                </pt>
                <pt idx="39">
                  <v>0.2340368265372218</v>
                </pt>
                <pt idx="40">
                  <v>0.3136084408368116</v>
                </pt>
                <pt idx="41">
                  <v>0.2709979126380553</v>
                </pt>
                <pt idx="42">
                  <v>0.2189226835134705</v>
                </pt>
                <pt idx="43">
                  <v>-0.1949009411809658</v>
                </pt>
                <pt idx="44">
                  <v>-0.3456789892137925</v>
                </pt>
                <pt idx="45">
                  <v>-0.5157620511780088</v>
                </pt>
                <pt idx="46">
                  <v>-0.5112629341249547</v>
                </pt>
                <pt idx="47">
                  <v>-0.4301993917005463</v>
                </pt>
                <pt idx="48">
                  <v>-0.258672444140036</v>
                </pt>
                <pt idx="49">
                  <v>-0.1729287268616305</v>
                </pt>
                <pt idx="50">
                  <v>-0.291363230031416</v>
                </pt>
                <pt idx="51">
                  <v>-0.05493805315216908</v>
                </pt>
                <pt idx="52">
                  <v>-0.004047980985287717</v>
                </pt>
                <pt idx="53">
                  <v>0.297654190076673</v>
                </pt>
                <pt idx="54">
                  <v>0.6114056127037992</v>
                </pt>
                <pt idx="55">
                  <v>0.574050504820547</v>
                </pt>
                <pt idx="56">
                  <v>0.4231632203499578</v>
                </pt>
                <pt idx="57">
                  <v>0.1852005775686682</v>
                </pt>
                <pt idx="58">
                  <v>0.1621553959671969</v>
                </pt>
                <pt idx="59">
                  <v>0.1228797346102459</v>
                </pt>
                <pt idx="60">
                  <v>0.187496587996545</v>
                </pt>
                <pt idx="61">
                  <v>0.2221533600510037</v>
                </pt>
                <pt idx="62">
                  <formatCode>0.00</formatCode>
                  <v>0.01288376988682798</v>
                </pt>
                <pt idx="63">
                  <formatCode>0.00</formatCode>
                  <v>-0.01660768008615295</v>
                </pt>
                <pt idx="64">
                  <formatCode>0.00</formatCode>
                  <v>-0.06595036391809858</v>
                </pt>
              </numCache>
            </numRef>
          </val>
          <smooth val="0"/>
        </ser>
        <ser>
          <idx val="2"/>
          <order val="2"/>
          <tx>
            <strRef>
              <f>Deviation_SD!$BN$5</f>
              <strCache>
                <ptCount val="1"/>
                <pt idx="0">
                  <v>ca2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Deviation_SD!$BN$22:$BN$86</f>
              <numCache>
                <formatCode>0.00000</formatCode>
                <ptCount val="65"/>
                <pt idx="0">
                  <v>0.5045953394992534</v>
                </pt>
                <pt idx="1">
                  <v>0.5237672403196569</v>
                </pt>
                <pt idx="2">
                  <v>0.6089860172126821</v>
                </pt>
                <pt idx="3">
                  <v>0.6501593232919338</v>
                </pt>
                <pt idx="4">
                  <v>0.6082281312857977</v>
                </pt>
                <pt idx="5">
                  <v>0.1518058567685257</v>
                </pt>
                <pt idx="6">
                  <v>-0.1491218420548773</v>
                </pt>
                <pt idx="7">
                  <v>-0.4614480510347972</v>
                </pt>
                <pt idx="8">
                  <v>-0.8093732951571224</v>
                </pt>
                <pt idx="9">
                  <v>-1.111872700174587</v>
                </pt>
                <pt idx="10">
                  <v>-1.140036155209265</v>
                </pt>
                <pt idx="11">
                  <v>-1.195600673113256</v>
                </pt>
                <pt idx="12">
                  <v>-1.074760083216356</v>
                </pt>
                <pt idx="13">
                  <v>-0.5870662694935969</v>
                </pt>
                <pt idx="14">
                  <v>-0.1048994375152731</v>
                </pt>
                <pt idx="15">
                  <v>0.2123025708614413</v>
                </pt>
                <pt idx="16">
                  <v>0.6196876493283253</v>
                </pt>
                <pt idx="17">
                  <v>0.840647007159768</v>
                </pt>
                <pt idx="18">
                  <v>0.5260957817727175</v>
                </pt>
                <pt idx="19">
                  <v>0.3813858128404451</v>
                </pt>
                <pt idx="20">
                  <v>-0.03709446032444236</v>
                </pt>
                <pt idx="21">
                  <v>-0.376777600395604</v>
                </pt>
                <pt idx="22">
                  <v>-0.5852737506399655</v>
                </pt>
                <pt idx="23">
                  <v>-0.6973729917492645</v>
                </pt>
                <pt idx="24">
                  <v>-0.5268277863695114</v>
                </pt>
                <pt idx="25">
                  <v>-0.3872166033805896</v>
                </pt>
                <pt idx="26">
                  <v>-0.2930328910346212</v>
                </pt>
                <pt idx="27">
                  <v>-0.3269616139433522</v>
                </pt>
                <pt idx="28">
                  <v>-0.4348906215394669</v>
                </pt>
                <pt idx="29">
                  <v>-0.3765344514716635</v>
                </pt>
                <pt idx="30">
                  <v>-0.248251950689109</v>
                </pt>
                <pt idx="31">
                  <v>-0.1534860832177903</v>
                </pt>
                <pt idx="32">
                  <v>-0.1406114143214554</v>
                </pt>
                <pt idx="33">
                  <v>-0.2573048340432671</v>
                </pt>
                <pt idx="34">
                  <v>-0.2707645701981071</v>
                </pt>
                <pt idx="35">
                  <v>-0.3494688401105749</v>
                </pt>
                <pt idx="36">
                  <v>-0.2217927012386754</v>
                </pt>
                <pt idx="37">
                  <v>-0.1208739073250128</v>
                </pt>
                <pt idx="38">
                  <v>-0.1557192428839188</v>
                </pt>
                <pt idx="39">
                  <v>0.01936816494407159</v>
                </pt>
                <pt idx="40">
                  <v>-0.008563745015174196</v>
                </pt>
                <pt idx="41">
                  <v>0.01606116414409828</v>
                </pt>
                <pt idx="42">
                  <v>0.05253130472000439</v>
                </pt>
                <pt idx="43">
                  <v>0.03377592560963823</v>
                </pt>
                <pt idx="44">
                  <v>-0.02767824073432016</v>
                </pt>
                <pt idx="45">
                  <v>-0.2112418119579124</v>
                </pt>
                <pt idx="46">
                  <v>-0.2523020104814896</v>
                </pt>
                <pt idx="47">
                  <v>-0.5394880465784836</v>
                </pt>
                <pt idx="48">
                  <v>-0.5215808680248528</v>
                </pt>
                <pt idx="49">
                  <v>-0.5943692924118895</v>
                </pt>
                <pt idx="50">
                  <v>-0.6927003532976495</v>
                </pt>
                <pt idx="51">
                  <v>-0.4186941498482268</v>
                </pt>
                <pt idx="52">
                  <v>-0.226738847336361</v>
                </pt>
                <pt idx="53">
                  <v>0.1076433541449325</v>
                </pt>
                <pt idx="54">
                  <v>0.2762101230283221</v>
                </pt>
                <pt idx="55">
                  <v>0.448016018827213</v>
                </pt>
                <pt idx="56">
                  <v>0.3617141919183366</v>
                </pt>
                <pt idx="57">
                  <v>0.4167241027969016</v>
                </pt>
                <pt idx="58">
                  <v>0.6676158938413196</v>
                </pt>
                <pt idx="59">
                  <v>0.6014802963530997</v>
                </pt>
                <pt idx="60">
                  <v>0.527025262664981</v>
                </pt>
                <pt idx="61">
                  <v>0.351563690678991</v>
                </pt>
                <pt idx="62">
                  <formatCode>0.00</formatCode>
                  <v>0.1510662092051943</v>
                </pt>
                <pt idx="63">
                  <formatCode>0.00</formatCode>
                  <v>0.09171728134714076</v>
                </pt>
                <pt idx="64">
                  <formatCode>0.00</formatCode>
                  <v>0.1048995361989369</v>
                </pt>
              </numCache>
            </numRef>
          </val>
          <smooth val="0"/>
        </ser>
        <ser>
          <idx val="3"/>
          <order val="3"/>
          <tx>
            <strRef>
              <f>Deviation_SD!$BO$5</f>
              <strCache>
                <ptCount val="1"/>
                <pt idx="0">
                  <v>ca_av2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Deviation_SD!$BO$22:$BO$86</f>
              <numCache>
                <formatCode>0.00000</formatCode>
                <ptCount val="65"/>
                <pt idx="0">
                  <v>0.1977133192748444</v>
                </pt>
                <pt idx="1">
                  <v>0.1571201674862963</v>
                </pt>
                <pt idx="2">
                  <v>0.3411792736328511</v>
                </pt>
                <pt idx="3">
                  <v>0.4544213434068226</v>
                </pt>
                <pt idx="4">
                  <v>0.7038671332577833</v>
                </pt>
                <pt idx="5">
                  <v>0.1992069032937322</v>
                </pt>
                <pt idx="6">
                  <v>-0.3493744992530067</v>
                </pt>
                <pt idx="7">
                  <v>-0.7546453208299133</v>
                </pt>
                <pt idx="8">
                  <v>-1.430726064103342</v>
                </pt>
                <pt idx="9">
                  <v>-1.673418149407262</v>
                </pt>
                <pt idx="10">
                  <v>-1.231655790587557</v>
                </pt>
                <pt idx="11">
                  <v>-0.8800475947578169</v>
                </pt>
                <pt idx="12">
                  <v>-0.1166899706624294</v>
                </pt>
                <pt idx="13">
                  <v>0.399085758832125</v>
                </pt>
                <pt idx="14">
                  <v>0.6903471632044091</v>
                </pt>
                <pt idx="15">
                  <v>0.740682199137406</v>
                </pt>
                <pt idx="16">
                  <v>0.5370064001708869</v>
                </pt>
                <pt idx="17">
                  <v>0.3561876110386474</v>
                </pt>
                <pt idx="18">
                  <v>-0.0186360720467967</v>
                </pt>
                <pt idx="19">
                  <v>-0.1830094338511093</v>
                </pt>
                <pt idx="20">
                  <v>-0.3195421173448468</v>
                </pt>
                <pt idx="21">
                  <v>-0.4899234067699663</v>
                </pt>
                <pt idx="22">
                  <v>-0.5418670489351982</v>
                </pt>
                <pt idx="23">
                  <v>-0.5676223708838887</v>
                </pt>
                <pt idx="24">
                  <v>-0.3557742649484593</v>
                </pt>
                <pt idx="25">
                  <v>-0.1230119394341947</v>
                </pt>
                <pt idx="26">
                  <v>-0.135796095835141</v>
                </pt>
                <pt idx="27">
                  <v>-0.2000910681013392</v>
                </pt>
                <pt idx="28">
                  <v>-0.3649616224723489</v>
                </pt>
                <pt idx="29">
                  <v>-0.3773503853617625</v>
                </pt>
                <pt idx="30">
                  <v>-0.2418148913032478</v>
                </pt>
                <pt idx="31">
                  <v>-0.1906236920439696</v>
                </pt>
                <pt idx="32">
                  <v>-0.05933721898331389</v>
                </pt>
                <pt idx="33">
                  <v>-0.06772898593579166</v>
                </pt>
                <pt idx="34">
                  <v>-0.1239267603947918</v>
                </pt>
                <pt idx="35">
                  <v>-0.3073407442095306</v>
                </pt>
                <pt idx="36">
                  <v>-0.2814614763160396</v>
                </pt>
                <pt idx="37">
                  <v>-0.1852653444566933</v>
                </pt>
                <pt idx="38">
                  <v>-0.1473824421297489</v>
                </pt>
                <pt idx="39">
                  <v>0.1428437534656336</v>
                </pt>
                <pt idx="40">
                  <v>0.2017144884956477</v>
                </pt>
                <pt idx="41">
                  <v>0.2051910164168621</v>
                </pt>
                <pt idx="42">
                  <v>0.1523544951256502</v>
                </pt>
                <pt idx="43">
                  <v>-0.1175504356370752</v>
                </pt>
                <pt idx="44">
                  <v>-0.251533443548114</v>
                </pt>
                <pt idx="45">
                  <v>-0.4591404386610068</v>
                </pt>
                <pt idx="46">
                  <v>-0.4647669069617224</v>
                </pt>
                <pt idx="47">
                  <v>-0.5767016145426823</v>
                </pt>
                <pt idx="48">
                  <v>-0.3895370237072694</v>
                </pt>
                <pt idx="49">
                  <v>-0.3987215746627021</v>
                </pt>
                <pt idx="50">
                  <v>-0.4837575709572728</v>
                </pt>
                <pt idx="51">
                  <v>-0.2169471891641684</v>
                </pt>
                <pt idx="52">
                  <v>0.01234805777673319</v>
                </pt>
                <pt idx="53">
                  <v>0.3299148910931218</v>
                </pt>
                <pt idx="54">
                  <v>0.5124312402660667</v>
                </pt>
                <pt idx="55">
                  <v>0.5550701813848984</v>
                </pt>
                <pt idx="56">
                  <v>0.4356367444612132</v>
                </pt>
                <pt idx="57">
                  <v>0.3454655024269507</v>
                </pt>
                <pt idx="58">
                  <v>0.4424312855910262</v>
                </pt>
                <pt idx="59">
                  <v>0.3640004854310813</v>
                </pt>
                <pt idx="60">
                  <v>0.2980456640791173</v>
                </pt>
                <pt idx="61">
                  <v>0.2213907913694696</v>
                </pt>
                <pt idx="62">
                  <formatCode>0.00</formatCode>
                  <v>0.06624920767558368</v>
                </pt>
                <pt idx="63">
                  <formatCode>0.00</formatCode>
                  <v>0.04499873751513357</v>
                </pt>
                <pt idx="64">
                  <formatCode>0.00</formatCode>
                  <v>0.009939900234845808</v>
                </pt>
              </numCache>
            </numRef>
          </val>
          <smooth val="0"/>
        </ser>
        <ser>
          <idx val="4"/>
          <order val="4"/>
          <tx>
            <strRef>
              <f>Deviation_SD!$BP$5</f>
              <strCache>
                <ptCount val="1"/>
                <pt idx="0">
                  <v>ca_av3</v>
                </pt>
              </strCache>
            </strRef>
          </tx>
          <spPr>
            <a:ln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Deviation_SD!$BP$22:$BP$86</f>
              <numCache>
                <formatCode>0.00000</formatCode>
                <ptCount val="65"/>
                <pt idx="0">
                  <v>0.3411388576406728</v>
                </pt>
                <pt idx="1">
                  <v>0.3261297023974835</v>
                </pt>
                <pt idx="2">
                  <v>0.5219740406956973</v>
                </pt>
                <pt idx="3">
                  <v>0.6518997542642584</v>
                </pt>
                <pt idx="4">
                  <v>0.9009789816286694</v>
                </pt>
                <pt idx="5">
                  <v>0.4107284217143077</v>
                </pt>
                <pt idx="6">
                  <v>-0.1648202149456845</v>
                </pt>
                <pt idx="7">
                  <v>-0.6070618786187252</v>
                </pt>
                <pt idx="8">
                  <v>-1.305617466965227</v>
                </pt>
                <pt idx="9">
                  <v>-1.572002076164136</v>
                </pt>
                <pt idx="10">
                  <v>-1.207572859824595</v>
                </pt>
                <pt idx="11">
                  <v>-0.9555035892709093</v>
                </pt>
                <pt idx="12">
                  <v>-0.342512747801367</v>
                </pt>
                <pt idx="13">
                  <v>0.001493146172738956</v>
                </pt>
                <pt idx="14">
                  <v>0.2001609185357316</v>
                </pt>
                <pt idx="15">
                  <v>0.2653545612156069</v>
                </pt>
                <pt idx="16">
                  <v>0.1647321027618113</v>
                </pt>
                <pt idx="17">
                  <v>0.1947112652848769</v>
                </pt>
                <pt idx="18">
                  <v>0.0580873874700502</v>
                </pt>
                <pt idx="19">
                  <v>0.03942284746190938</v>
                </pt>
                <pt idx="20">
                  <v>-0.005926986843229723</v>
                </pt>
                <pt idx="21">
                  <v>-0.2061953590475802</v>
                </pt>
                <pt idx="22">
                  <v>-0.3709082095269935</v>
                </pt>
                <pt idx="23">
                  <v>-0.5189971688421524</v>
                </pt>
                <pt idx="24">
                  <v>-0.4458108257663999</v>
                </pt>
                <pt idx="25">
                  <v>-0.2892731784714367</v>
                </pt>
                <pt idx="26">
                  <v>-0.3214584312730617</v>
                </pt>
                <pt idx="27">
                  <v>-0.3647084614694573</v>
                </pt>
                <pt idx="28">
                  <v>-0.4949113742855315</v>
                </pt>
                <pt idx="29">
                  <v>-0.4981857111260291</v>
                </pt>
                <pt idx="30">
                  <v>-0.3534547789920658</v>
                </pt>
                <pt idx="31">
                  <v>-0.2869606592292646</v>
                </pt>
                <pt idx="32">
                  <v>-0.1363881064641865</v>
                </pt>
                <pt idx="33">
                  <v>-0.1254254842695804</v>
                </pt>
                <pt idx="34">
                  <v>-0.1891537192767496</v>
                </pt>
                <pt idx="35">
                  <v>-0.3737305675354946</v>
                </pt>
                <pt idx="36">
                  <v>-0.3709979566675563</v>
                </pt>
                <pt idx="37">
                  <v>-0.272568741619532</v>
                </pt>
                <pt idx="38">
                  <v>-0.2046760714705647</v>
                </pt>
                <pt idx="39">
                  <v>0.08226060512643049</v>
                </pt>
                <pt idx="40">
                  <v>0.156328750246761</v>
                </pt>
                <pt idx="41">
                  <v>0.1526050487490601</v>
                </pt>
                <pt idx="42">
                  <v>0.09393353977099432</v>
                </pt>
                <pt idx="43">
                  <v>-0.149673279472843</v>
                </pt>
                <pt idx="44">
                  <v>-0.2507458425177618</v>
                </pt>
                <pt idx="45">
                  <v>-0.4122691615082908</v>
                </pt>
                <pt idx="46">
                  <v>-0.4048587953658391</v>
                </pt>
                <pt idx="47">
                  <v>-0.5068575541950339</v>
                </pt>
                <pt idx="48">
                  <v>-0.3873360463438802</v>
                </pt>
                <pt idx="49">
                  <v>-0.4554584119864434</v>
                </pt>
                <pt idx="50">
                  <v>-0.5934367790203646</v>
                </pt>
                <pt idx="51">
                  <v>-0.4076552539428822</v>
                </pt>
                <pt idx="52">
                  <v>-0.2009729960536594</v>
                </pt>
                <pt idx="53">
                  <v>0.1124352669231815</v>
                </pt>
                <pt idx="54">
                  <v>0.3366380255985257</v>
                </pt>
                <pt idx="55">
                  <v>0.4409662864840573</v>
                </pt>
                <pt idx="56">
                  <v>0.397730981482173</v>
                </pt>
                <pt idx="57">
                  <v>0.3599994954277607</v>
                </pt>
                <pt idx="58">
                  <v>0.48949930507402</v>
                </pt>
                <pt idx="59">
                  <v>0.4829238114475067</v>
                </pt>
                <pt idx="60">
                  <v>0.4612276890586832</v>
                </pt>
                <pt idx="61">
                  <v>0.420561853345032</v>
                </pt>
                <pt idx="62">
                  <formatCode>0.00</formatCode>
                  <v>0.2684908671603821</v>
                </pt>
                <pt idx="63">
                  <formatCode>0.00</formatCode>
                  <v>0.1981528068224793</v>
                </pt>
                <pt idx="64">
                  <formatCode>0.00</formatCode>
                  <v>0.1153779348019145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27117416"/>
        <axId val="727118400"/>
      </lineChart>
      <dateAx>
        <axId val="727117416"/>
        <scaling>
          <orientation val="minMax"/>
        </scaling>
        <delete val="0"/>
        <axPos val="b"/>
        <numFmt formatCode="yyyy\-mm\-dd" sourceLinked="1"/>
        <majorTickMark val="none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7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27118400"/>
        <crosses val="autoZero"/>
        <lblOffset val="100"/>
        <baseTimeUnit val="months"/>
      </dateAx>
      <valAx>
        <axId val="727118400"/>
        <scaling>
          <orientation val="minMax"/>
          <min val="-4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7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27117416"/>
        <crosses val="autoZero"/>
        <crossBetween val="between"/>
        <majorUnit val="1"/>
      </valAx>
    </plotArea>
    <legend>
      <legendPos val="b"/>
      <layout>
        <manualLayout>
          <xMode val="edge"/>
          <yMode val="edge"/>
          <wMode val="factor"/>
          <hMode val="factor"/>
          <x val="0"/>
          <y val="0.878084184942763"/>
          <w val="0.9813104533068766"/>
          <h val="0.08384923751232133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7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solidFill>
      <a:schemeClr val="bg1"/>
    </a:solidFill>
    <a:ln w="9525" cap="flat" cmpd="sng" algn="ctr">
      <a:noFill/>
      <a:prstDash val="solid"/>
      <a:round/>
    </a:ln>
  </spPr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defRPr sz="9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900" b="0" i="0" baseline="0"/>
              <a:t xml:space="preserve">Требования банков к экономике относительно депозитов в банках </a:t>
            </a:r>
            <a:endParaRPr lang="ru-RU" sz="900"/>
          </a:p>
        </rich>
      </tx>
      <layout>
        <manualLayout>
          <xMode val="edge"/>
          <yMode val="edge"/>
          <wMode val="factor"/>
          <hMode val="factor"/>
          <x val="0.2226918065258632"/>
          <y val="0.04385706492556678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059010625747742"/>
          <y val="0.2282363227943009"/>
          <w val="0.8455695481382361"/>
          <h val="0.4614546999163306"/>
        </manualLayout>
      </layout>
      <lineChart>
        <grouping val="standard"/>
        <varyColors val="0"/>
        <ser>
          <idx val="0"/>
          <order val="0"/>
          <tx>
            <strRef>
              <f>Deviation_SD!$BB$5</f>
              <strCache>
                <ptCount val="1"/>
                <pt idx="0">
                  <v>d_as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Deviation_SD!$BB$22:$BB$86</f>
              <numCache>
                <formatCode>0.00000</formatCode>
                <ptCount val="65"/>
                <pt idx="0">
                  <v>1.259739846550077</v>
                </pt>
                <pt idx="1">
                  <v>1.442323474523914</v>
                </pt>
                <pt idx="2">
                  <v>1.470803421873104</v>
                </pt>
                <pt idx="3">
                  <v>1.42944271373566</v>
                </pt>
                <pt idx="4">
                  <v>1.567854967179246</v>
                </pt>
                <pt idx="5">
                  <v>1.597961315130775</v>
                </pt>
                <pt idx="6">
                  <v>1.320914195496541</v>
                </pt>
                <pt idx="7">
                  <v>0.8974973213847857</v>
                </pt>
                <pt idx="8">
                  <v>0.3648020191169074</v>
                </pt>
                <pt idx="9">
                  <v>0.2905584910923967</v>
                </pt>
                <pt idx="10">
                  <v>0.2315620618918696</v>
                </pt>
                <pt idx="11">
                  <v>0.2364232952428264</v>
                </pt>
                <pt idx="12">
                  <v>0.2971833888759298</v>
                </pt>
                <pt idx="13">
                  <v>0.3973047644733363</v>
                </pt>
                <pt idx="14">
                  <v>0.4940296434235382</v>
                </pt>
                <pt idx="15">
                  <v>0.5026603918095323</v>
                </pt>
                <pt idx="16">
                  <v>0.4848618449383301</v>
                </pt>
                <pt idx="17">
                  <v>0.4904861361404411</v>
                </pt>
                <pt idx="18">
                  <v>0.4289465722189959</v>
                </pt>
                <pt idx="19">
                  <v>0.3540312513708415</v>
                </pt>
                <pt idx="20">
                  <v>0.5522249977159878</v>
                </pt>
                <pt idx="21">
                  <v>0.2919334311958656</v>
                </pt>
                <pt idx="22">
                  <v>0.177778993910655</v>
                </pt>
                <pt idx="23">
                  <v>0.09367298827256723</v>
                </pt>
                <pt idx="24">
                  <v>0.2291143232058698</v>
                </pt>
                <pt idx="25">
                  <v>0.1769580528566482</v>
                </pt>
                <pt idx="26">
                  <v>0.1935119930593347</v>
                </pt>
                <pt idx="27">
                  <v>0.07240725826478654</v>
                </pt>
                <pt idx="28">
                  <v>-0.01696289038573897</v>
                </pt>
                <pt idx="29">
                  <v>-0.08732847854342313</v>
                </pt>
                <pt idx="30">
                  <v>-0.1366964855005078</v>
                </pt>
                <pt idx="31">
                  <v>-0.1747366441099167</v>
                </pt>
                <pt idx="32">
                  <v>-0.1575571506887675</v>
                </pt>
                <pt idx="33">
                  <v>-0.03379023684081369</v>
                </pt>
                <pt idx="34">
                  <v>-0.04197257306696413</v>
                </pt>
                <pt idx="35">
                  <v>-0.07010692788695688</v>
                </pt>
                <pt idx="36">
                  <v>-0.07628197872257791</v>
                </pt>
                <pt idx="37">
                  <v>-0.0410320153026897</v>
                </pt>
                <pt idx="38">
                  <v>-0.03299884498061063</v>
                </pt>
                <pt idx="39">
                  <v>-0.1175539947156146</v>
                </pt>
                <pt idx="40">
                  <v>-0.1266677827160016</v>
                </pt>
                <pt idx="41">
                  <v>-0.01662434448420518</v>
                </pt>
                <pt idx="42">
                  <v>0.1415032190215846</v>
                </pt>
                <pt idx="43">
                  <v>0.2429111580547754</v>
                </pt>
                <pt idx="44">
                  <v>0.2408878708028676</v>
                </pt>
                <pt idx="45">
                  <v>0.2679185252448955</v>
                </pt>
                <pt idx="46">
                  <v>0.3224679239674726</v>
                </pt>
                <pt idx="47">
                  <v>0.2139792946087089</v>
                </pt>
                <pt idx="48">
                  <v>0.2672646375396758</v>
                </pt>
                <pt idx="49">
                  <v>0.2697240739425733</v>
                </pt>
                <pt idx="50">
                  <v>0.1962946728493941</v>
                </pt>
                <pt idx="51">
                  <v>-0.03751115737269469</v>
                </pt>
                <pt idx="52">
                  <v>-0.07742651184568304</v>
                </pt>
                <pt idx="53">
                  <v>-0.06109454532327471</v>
                </pt>
                <pt idx="54">
                  <v>-0.08587883045680968</v>
                </pt>
                <pt idx="55">
                  <v>-0.1017652869331094</v>
                </pt>
                <pt idx="56">
                  <v>-0.1078049898894682</v>
                </pt>
                <pt idx="57">
                  <v>-0.08898136959241493</v>
                </pt>
                <pt idx="58">
                  <v>-0.0998087824081982</v>
                </pt>
                <pt idx="59">
                  <v>-0.09318379231432819</v>
                </pt>
                <pt idx="60">
                  <v>-0.08120567201229628</v>
                </pt>
                <pt idx="61">
                  <v>-0.1060348392377098</v>
                </pt>
                <pt idx="62">
                  <formatCode>0.00</formatCode>
                  <v>-0.1647651579690817</v>
                </pt>
                <pt idx="63">
                  <formatCode>0.00</formatCode>
                  <v>-0.1814141349661418</v>
                </pt>
                <pt idx="64">
                  <formatCode>0.00</formatCode>
                  <v>-0.1886432619467195</v>
                </pt>
              </numCache>
            </numRef>
          </val>
          <smooth val="0"/>
        </ser>
        <ser>
          <idx val="1"/>
          <order val="1"/>
          <tx>
            <strRef>
              <f>Deviation_SD!$BC$5</f>
              <strCache>
                <ptCount val="1"/>
                <pt idx="0">
                  <v>d_as1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Deviation_SD!$BC$22:$BC$86</f>
              <numCache>
                <formatCode>0.00000</formatCode>
                <ptCount val="65"/>
                <pt idx="0">
                  <v>0.4107243360460589</v>
                </pt>
                <pt idx="1">
                  <v>0.5669195042495412</v>
                </pt>
                <pt idx="2">
                  <v>0.3579249082922649</v>
                </pt>
                <pt idx="3">
                  <v>0.3427696113839022</v>
                </pt>
                <pt idx="4">
                  <v>0.429499802564661</v>
                </pt>
                <pt idx="5">
                  <v>0.216952746998385</v>
                </pt>
                <pt idx="6">
                  <v>-0.2089394152544208</v>
                </pt>
                <pt idx="7">
                  <v>-0.7415099931588786</v>
                </pt>
                <pt idx="8">
                  <v>-1.677006317030103</v>
                </pt>
                <pt idx="9">
                  <v>-1.8224657512761</v>
                </pt>
                <pt idx="10">
                  <v>-1.518512059230324</v>
                </pt>
                <pt idx="11">
                  <v>-0.9215099964221555</v>
                </pt>
                <pt idx="12">
                  <v>-0.09425758878333786</v>
                </pt>
                <pt idx="13">
                  <v>0.1487999136426886</v>
                </pt>
                <pt idx="14">
                  <v>0.3658690109634427</v>
                </pt>
                <pt idx="15">
                  <v>0.3711235598476618</v>
                </pt>
                <pt idx="16">
                  <v>0.2616160468199054</v>
                </pt>
                <pt idx="17">
                  <v>0.1298909987020516</v>
                </pt>
                <pt idx="18">
                  <v>-0.0907231237972761</v>
                </pt>
                <pt idx="19">
                  <v>-0.2071829072958835</v>
                </pt>
                <pt idx="20">
                  <v>0.09390146370959412</v>
                </pt>
                <pt idx="21">
                  <v>-0.2767743024043639</v>
                </pt>
                <pt idx="22">
                  <v>-0.3501172713425867</v>
                </pt>
                <pt idx="23">
                  <v>-0.3629287078428464</v>
                </pt>
                <pt idx="24">
                  <v>-0.4504029877704501</v>
                </pt>
                <pt idx="25">
                  <v>-0.1602709474161919</v>
                </pt>
                <pt idx="26">
                  <v>0.02193115357113766</v>
                </pt>
                <pt idx="27">
                  <v>-0.02964355277691145</v>
                </pt>
                <pt idx="28">
                  <v>-0.3430215123407107</v>
                </pt>
                <pt idx="29">
                  <v>-0.3684045522499551</v>
                </pt>
                <pt idx="30">
                  <v>-0.4602970346181812</v>
                </pt>
                <pt idx="31">
                  <v>-0.3445084326216806</v>
                </pt>
                <pt idx="32">
                  <v>-0.1959826149348634</v>
                </pt>
                <pt idx="33">
                  <v>0.07463010641598809</v>
                </pt>
                <pt idx="34">
                  <v>0.1320412370716602</v>
                </pt>
                <pt idx="35">
                  <v>0.1458495200378152</v>
                </pt>
                <pt idx="36">
                  <v>0.1132942461298431</v>
                </pt>
                <pt idx="37">
                  <v>-0.01009474125528623</v>
                </pt>
                <pt idx="38">
                  <v>0.01250900778088238</v>
                </pt>
                <pt idx="39">
                  <v>-0.06613925922742138</v>
                </pt>
                <pt idx="40">
                  <v>-0.07023573793797293</v>
                </pt>
                <pt idx="41">
                  <v>0.03402328901027628</v>
                </pt>
                <pt idx="42">
                  <v>0.2432486983534735</v>
                </pt>
                <pt idx="43">
                  <v>0.5024735937339989</v>
                </pt>
                <pt idx="44">
                  <v>0.5123574600802456</v>
                </pt>
                <pt idx="45">
                  <v>0.396641054552197</v>
                </pt>
                <pt idx="46">
                  <v>0.252257353961463</v>
                </pt>
                <pt idx="47">
                  <v>-0.04032982741171232</v>
                </pt>
                <pt idx="48">
                  <v>0.03676812771349852</v>
                </pt>
                <pt idx="49">
                  <v>0.0025168606058345</v>
                </pt>
                <pt idx="50">
                  <v>-0.1758803213990205</v>
                </pt>
                <pt idx="51">
                  <v>-0.3505673439600896</v>
                </pt>
                <pt idx="52">
                  <v>-0.4804852819442665</v>
                </pt>
                <pt idx="53">
                  <v>-0.4611475456616863</v>
                </pt>
                <pt idx="54">
                  <v>-0.3933382552323859</v>
                </pt>
                <pt idx="55">
                  <v>-0.08956761324731211</v>
                </pt>
                <pt idx="56">
                  <v>-0.04234634864844555</v>
                </pt>
                <pt idx="57">
                  <v>-0.03887308579109457</v>
                </pt>
                <pt idx="58">
                  <v>-0.01941777995393256</v>
                </pt>
                <pt idx="59">
                  <v>0.01196225046323588</v>
                </pt>
                <pt idx="60">
                  <v>0.03707835484760203</v>
                </pt>
                <pt idx="61">
                  <v>-0.02377183512039295</v>
                </pt>
                <pt idx="62">
                  <formatCode>0.00</formatCode>
                  <v>-0.09054651528216603</v>
                </pt>
                <pt idx="63">
                  <formatCode>0.00</formatCode>
                  <v>-0.1229894679358326</v>
                </pt>
                <pt idx="64">
                  <formatCode>0.00</formatCode>
                  <v>-0.1497635804780735</v>
                </pt>
              </numCache>
            </numRef>
          </val>
          <smooth val="0"/>
        </ser>
        <ser>
          <idx val="2"/>
          <order val="2"/>
          <tx>
            <strRef>
              <f>Deviation_SD!$BD$5</f>
              <strCache>
                <ptCount val="1"/>
                <pt idx="0">
                  <v>d_as2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Deviation_SD!$BD$22:$BD$86</f>
              <numCache>
                <formatCode>0.00000</formatCode>
                <ptCount val="65"/>
                <pt idx="0">
                  <v>0.9560868501329527</v>
                </pt>
                <pt idx="1">
                  <v>0.9951468349269671</v>
                </pt>
                <pt idx="2">
                  <v>0.8564800137711039</v>
                </pt>
                <pt idx="3">
                  <v>0.7053469798294744</v>
                </pt>
                <pt idx="4">
                  <v>0.5753279235046974</v>
                </pt>
                <pt idx="5">
                  <v>0.5367420118982857</v>
                </pt>
                <pt idx="6">
                  <v>0.1020150581290295</v>
                </pt>
                <pt idx="7">
                  <v>-0.2730300943786056</v>
                </pt>
                <pt idx="8">
                  <v>-0.8542069901880207</v>
                </pt>
                <pt idx="9">
                  <v>-1.099345306168167</v>
                </pt>
                <pt idx="10">
                  <v>-1.182840416146259</v>
                </pt>
                <pt idx="11">
                  <v>-1.138722149704558</v>
                </pt>
                <pt idx="12">
                  <v>-1.212840167381339</v>
                </pt>
                <pt idx="13">
                  <v>-1.146011697067537</v>
                </pt>
                <pt idx="14">
                  <v>-0.7892509879542385</v>
                </pt>
                <pt idx="15">
                  <v>-0.3768669229178859</v>
                </pt>
                <pt idx="16">
                  <v>0.1145956057657803</v>
                </pt>
                <pt idx="17">
                  <v>0.1908284427105882</v>
                </pt>
                <pt idx="18">
                  <v>0.1884010523500435</v>
                </pt>
                <pt idx="19">
                  <v>0.1122553267352849</v>
                </pt>
                <pt idx="20">
                  <v>0.243434033495746</v>
                </pt>
                <pt idx="21">
                  <v>-0.1005756229002048</v>
                </pt>
                <pt idx="22">
                  <v>-0.3018572991156526</v>
                </pt>
                <pt idx="23">
                  <v>-0.3903733737595454</v>
                </pt>
                <pt idx="24">
                  <v>-0.2441078185439022</v>
                </pt>
                <pt idx="25">
                  <v>-0.2992586436193159</v>
                </pt>
                <pt idx="26">
                  <v>-0.2247193683017891</v>
                </pt>
                <pt idx="27">
                  <v>-0.268806587610489</v>
                </pt>
                <pt idx="28">
                  <v>-0.5432827374627425</v>
                </pt>
                <pt idx="29">
                  <v>-0.3620007608132434</v>
                </pt>
                <pt idx="30">
                  <v>-0.3001629214022738</v>
                </pt>
                <pt idx="31">
                  <v>-0.2561936451747942</v>
                </pt>
                <pt idx="32">
                  <v>-0.3690730973507422</v>
                </pt>
                <pt idx="33">
                  <v>-0.2011566130197857</v>
                </pt>
                <pt idx="34">
                  <v>-0.2247670802377597</v>
                </pt>
                <pt idx="35">
                  <v>-0.1360280125390798</v>
                </pt>
                <pt idx="36">
                  <v>-0.05661932969605356</v>
                </pt>
                <pt idx="37">
                  <v>0.04418939652449815</v>
                </pt>
                <pt idx="38">
                  <v>0.09897810404568622</v>
                </pt>
                <pt idx="39">
                  <v>0.05458012538164971</v>
                </pt>
                <pt idx="40">
                  <v>0.02948351632482201</v>
                </pt>
                <pt idx="41">
                  <v>0.01638463007635588</v>
                </pt>
                <pt idx="42">
                  <v>0.1751253543297408</v>
                </pt>
                <pt idx="43">
                  <v>0.2987718575195318</v>
                </pt>
                <pt idx="44">
                  <v>0.3027346640588282</v>
                </pt>
                <pt idx="45">
                  <v>0.2948894361913898</v>
                </pt>
                <pt idx="46">
                  <v>0.3392885958188839</v>
                </pt>
                <pt idx="47">
                  <v>0.3164443881348983</v>
                </pt>
                <pt idx="48">
                  <v>0.3760035800578707</v>
                </pt>
                <pt idx="49">
                  <v>0.2733159926326884</v>
                </pt>
                <pt idx="50">
                  <v>0.05229775904826653</v>
                </pt>
                <pt idx="51">
                  <v>-0.2676596012595553</v>
                </pt>
                <pt idx="52">
                  <v>-0.3038271066445464</v>
                </pt>
                <pt idx="53">
                  <v>-0.3140388707768001</v>
                </pt>
                <pt idx="54">
                  <v>-0.3897618821748384</v>
                </pt>
                <pt idx="55">
                  <v>-0.3013742635514573</v>
                </pt>
                <pt idx="56">
                  <v>-0.3579992796551184</v>
                </pt>
                <pt idx="57">
                  <v>-0.342379870303295</v>
                </pt>
                <pt idx="58">
                  <v>-0.2826270535745671</v>
                </pt>
                <pt idx="59">
                  <v>-0.05313883542695647</v>
                </pt>
                <pt idx="60">
                  <v>-0.003607161226629696</v>
                </pt>
                <pt idx="61">
                  <v>-0.04289494982340689</v>
                </pt>
                <pt idx="62">
                  <formatCode>0.00</formatCode>
                  <v>-0.07529601534948681</v>
                </pt>
                <pt idx="63">
                  <formatCode>0.00</formatCode>
                  <v>-0.07602383167262006</v>
                </pt>
                <pt idx="64">
                  <formatCode>0.00</formatCode>
                  <v>-0.07715912206334978</v>
                </pt>
              </numCache>
            </numRef>
          </val>
          <smooth val="0"/>
        </ser>
        <ser>
          <idx val="3"/>
          <order val="3"/>
          <tx>
            <strRef>
              <f>Deviation_SD!$BE$5</f>
              <strCache>
                <ptCount val="1"/>
                <pt idx="0">
                  <v>d_as_av2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Deviation_SD!$BE$22:$BE$86</f>
              <numCache>
                <formatCode>0.00000</formatCode>
                <ptCount val="65"/>
                <pt idx="0">
                  <v>0.7192376940060996</v>
                </pt>
                <pt idx="1">
                  <v>0.807086504756543</v>
                </pt>
                <pt idx="2">
                  <v>0.6511462287792372</v>
                </pt>
                <pt idx="3">
                  <v>0.4160745889438025</v>
                </pt>
                <pt idx="4">
                  <v>0.4865686689085006</v>
                </pt>
                <pt idx="5">
                  <v>0.4173010367761483</v>
                </pt>
                <pt idx="6">
                  <v>-0.1145291514138301</v>
                </pt>
                <pt idx="7">
                  <v>-0.7833025038404714</v>
                </pt>
                <pt idx="8">
                  <v>-1.544193854194705</v>
                </pt>
                <pt idx="9">
                  <v>-1.486586105182868</v>
                </pt>
                <pt idx="10">
                  <v>-1.356477371269323</v>
                </pt>
                <pt idx="11">
                  <v>-1.111850107984589</v>
                </pt>
                <pt idx="12">
                  <v>-0.7904796022325897</v>
                </pt>
                <pt idx="13">
                  <v>-0.3939786444421948</v>
                </pt>
                <pt idx="14">
                  <v>-0.01607874227113457</v>
                </pt>
                <pt idx="15">
                  <v>0.1553974186226023</v>
                </pt>
                <pt idx="16">
                  <v>0.203714678806062</v>
                </pt>
                <pt idx="17">
                  <v>0.1893475570905871</v>
                </pt>
                <pt idx="18">
                  <v>0.0568558457854625</v>
                </pt>
                <pt idx="19">
                  <v>-0.09562949204891887</v>
                </pt>
                <pt idx="20">
                  <v>0.1853265085352845</v>
                </pt>
                <pt idx="21">
                  <v>-0.2620340029687765</v>
                </pt>
                <pt idx="22">
                  <v>-0.416654745853912</v>
                </pt>
                <pt idx="23">
                  <v>-0.4849055194440791</v>
                </pt>
                <pt idx="24">
                  <v>-0.1992457949998358</v>
                </pt>
                <pt idx="25">
                  <v>-0.2301565092269994</v>
                </pt>
                <pt idx="26">
                  <v>-0.1448023019304583</v>
                </pt>
                <pt idx="27">
                  <v>-0.2851716460213868</v>
                </pt>
                <pt idx="28">
                  <v>-0.3681099939305408</v>
                </pt>
                <pt idx="29">
                  <v>-0.3669112552990521</v>
                </pt>
                <pt idx="30">
                  <v>-0.3699127314838102</v>
                </pt>
                <pt idx="31">
                  <v>-0.3679692716244871</v>
                </pt>
                <pt idx="32">
                  <v>-0.2902926673682186</v>
                </pt>
                <pt idx="33">
                  <v>-0.02677944685652706</v>
                </pt>
                <pt idx="34">
                  <v>0.001028180763753783</v>
                </pt>
                <pt idx="35">
                  <v>0.003020545172606871</v>
                </pt>
                <pt idx="36">
                  <v>0.0208420087028279</v>
                </pt>
                <pt idx="37">
                  <v>0.08616854258973658</v>
                </pt>
                <pt idx="38">
                  <v>0.08960769075907116</v>
                </pt>
                <pt idx="39">
                  <v>-0.05970657761959192</v>
                </pt>
                <pt idx="40">
                  <v>-0.0846056509660657</v>
                </pt>
                <pt idx="41">
                  <v>0.07797594878640415</v>
                </pt>
                <pt idx="42">
                  <v>0.316808435791917</v>
                </pt>
                <pt idx="43">
                  <v>0.436963540910886</v>
                </pt>
                <pt idx="44">
                  <v>0.3739556385759583</v>
                </pt>
                <pt idx="45">
                  <v>0.3546392244231805</v>
                </pt>
                <pt idx="46">
                  <v>0.3790314269675828</v>
                </pt>
                <pt idx="47">
                  <v>0.144884049464977</v>
                </pt>
                <pt idx="48">
                  <v>0.1630185720978093</v>
                </pt>
                <pt idx="49">
                  <v>0.09138786126337994</v>
                </pt>
                <pt idx="50">
                  <v>-0.07584950289613961</v>
                </pt>
                <pt idx="51">
                  <v>-0.4443294497342097</v>
                </pt>
                <pt idx="52">
                  <v>-0.4517747946531771</v>
                </pt>
                <pt idx="53">
                  <v>-0.365844392371329</v>
                </pt>
                <pt idx="54">
                  <v>-0.3408217095589644</v>
                </pt>
                <pt idx="55">
                  <v>-0.286991035059165</v>
                </pt>
                <pt idx="56">
                  <v>-0.2358069911470369</v>
                </pt>
                <pt idx="57">
                  <v>-0.1351988379691252</v>
                </pt>
                <pt idx="58">
                  <v>-0.08312305212052358</v>
                </pt>
                <pt idx="59">
                  <v>-0.01630659252193613</v>
                </pt>
                <pt idx="60">
                  <v>0.01268921155444364</v>
                </pt>
                <pt idx="61">
                  <v>-0.02460480271873682</v>
                </pt>
                <pt idx="62">
                  <formatCode>0.00</formatCode>
                  <v>-0.1059287496302018</v>
                </pt>
                <pt idx="63">
                  <formatCode>0.00</formatCode>
                  <v>-0.1163225204308072</v>
                </pt>
                <pt idx="64">
                  <formatCode>0.00</formatCode>
                  <v>-0.1121470905432694</v>
                </pt>
              </numCache>
            </numRef>
          </val>
          <smooth val="0"/>
        </ser>
        <ser>
          <idx val="4"/>
          <order val="4"/>
          <tx>
            <strRef>
              <f>Deviation_SD!$BF$5</f>
              <strCache>
                <ptCount val="1"/>
                <pt idx="0">
                  <v>d_as_av3</v>
                </pt>
              </strCache>
            </strRef>
          </tx>
          <spPr>
            <a:ln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Deviation_SD!$BF$22:$BF$86</f>
              <numCache>
                <formatCode>0.00000</formatCode>
                <ptCount val="65"/>
                <pt idx="0">
                  <v>0.7952095915519991</v>
                </pt>
                <pt idx="1">
                  <v>0.9217851624318343</v>
                </pt>
                <pt idx="2">
                  <v>0.8440718046122941</v>
                </pt>
                <pt idx="3">
                  <v>0.677736658478117</v>
                </pt>
                <pt idx="4">
                  <v>0.7380823421575614</v>
                </pt>
                <pt idx="5">
                  <v>0.6365021442940739</v>
                </pt>
                <pt idx="6">
                  <v>0.1521373418522738</v>
                </pt>
                <pt idx="7">
                  <v>-0.4720527006999272</v>
                </pt>
                <pt idx="8">
                  <v>-1.178806368267553</v>
                </pt>
                <pt idx="9">
                  <v>-1.209931141523435</v>
                </pt>
                <pt idx="10">
                  <v>-1.205956842089376</v>
                </pt>
                <pt idx="11">
                  <v>-1.094492619723478</v>
                </pt>
                <pt idx="12">
                  <v>-0.91497697164447</v>
                </pt>
                <pt idx="13">
                  <v>-0.6832242070485561</v>
                </pt>
                <pt idx="14">
                  <v>-0.4470051637080606</v>
                </pt>
                <pt idx="15">
                  <v>-0.3313069561668338</v>
                </pt>
                <pt idx="16">
                  <v>-0.2549275542630666</v>
                </pt>
                <pt idx="17">
                  <v>-0.131717575917667</v>
                </pt>
                <pt idx="18">
                  <v>-0.09219985259908037</v>
                </pt>
                <pt idx="19">
                  <v>-0.09295124827350297</v>
                </pt>
                <pt idx="20">
                  <v>0.2199549860624043</v>
                </pt>
                <pt idx="21">
                  <v>-0.1346248097195817</v>
                </pt>
                <pt idx="22">
                  <v>-0.2814750959765523</v>
                </pt>
                <pt idx="23">
                  <v>-0.3838022173077886</v>
                </pt>
                <pt idx="24">
                  <v>-0.1944550966202543</v>
                </pt>
                <pt idx="25">
                  <v>-0.2541927812279842</v>
                </pt>
                <pt idx="26">
                  <v>-0.2093210461471519</v>
                </pt>
                <pt idx="27">
                  <v>-0.3327724732827117</v>
                </pt>
                <pt idx="28">
                  <v>-0.4015470127647476</v>
                </pt>
                <pt idx="29">
                  <v>-0.4382333758278836</v>
                </pt>
                <pt idx="30">
                  <v>-0.4397971052587155</v>
                </pt>
                <pt idx="31">
                  <v>-0.4281066025994377</v>
                </pt>
                <pt idx="32">
                  <v>-0.349400899116701</v>
                </pt>
                <pt idx="33">
                  <v>-0.1143312036873398</v>
                </pt>
                <pt idx="34">
                  <v>-0.0899635067634518</v>
                </pt>
                <pt idx="35">
                  <v>-0.1025856774196714</v>
                </pt>
                <pt idx="36">
                  <v>-0.09298156346065062</v>
                </pt>
                <pt idx="37">
                  <v>-0.01497475032905898</v>
                </pt>
                <pt idx="38">
                  <v>0.018694324349061</v>
                </pt>
                <pt idx="39">
                  <v>-0.06571189991284332</v>
                </pt>
                <pt idx="40">
                  <v>-0.05708057511609108</v>
                </pt>
                <pt idx="41">
                  <v>0.09608803796640031</v>
                </pt>
                <pt idx="42">
                  <v>0.2917301752164975</v>
                </pt>
                <pt idx="43">
                  <v>0.39225882064354</v>
                </pt>
                <pt idx="44">
                  <v>0.3449310719593175</v>
                </pt>
                <pt idx="45">
                  <v>0.3369978530739636</v>
                </pt>
                <pt idx="46">
                  <v>0.3747896080886031</v>
                </pt>
                <pt idx="47">
                  <v>0.1963384729218455</v>
                </pt>
                <pt idx="48">
                  <v>0.2343930226547798</v>
                </pt>
                <pt idx="49">
                  <v>0.2007619377028489</v>
                </pt>
                <pt idx="50">
                  <v>0.07311566766803021</v>
                </pt>
                <pt idx="51">
                  <v>-0.251910655408269</v>
                </pt>
                <pt idx="52">
                  <v>-0.3117790923965899</v>
                </pt>
                <pt idx="53">
                  <v>-0.2960638722891506</v>
                </pt>
                <pt idx="54">
                  <v>-0.3231523547264193</v>
                </pt>
                <pt idx="55">
                  <v>-0.3192172322348869</v>
                </pt>
                <pt idx="56">
                  <v>-0.2900662494301613</v>
                </pt>
                <pt idx="57">
                  <v>-0.2285325852857249</v>
                </pt>
                <pt idx="58">
                  <v>-0.2042253635059305</v>
                </pt>
                <pt idx="59">
                  <v>-0.1504881108866729</v>
                </pt>
                <pt idx="60">
                  <v>-0.1021993777737876</v>
                </pt>
                <pt idx="61">
                  <v>-0.09678895739127075</v>
                </pt>
                <pt idx="62">
                  <formatCode>0.00</formatCode>
                  <v>-0.132023403333502</v>
                </pt>
                <pt idx="63">
                  <formatCode>0.00</formatCode>
                  <v>-0.114752131292728</v>
                </pt>
                <pt idx="64">
                  <formatCode>0.00</formatCode>
                  <v>-0.1086313403613946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27117416"/>
        <axId val="727118400"/>
      </lineChart>
      <dateAx>
        <axId val="727117416"/>
        <scaling>
          <orientation val="minMax"/>
        </scaling>
        <delete val="0"/>
        <axPos val="b"/>
        <numFmt formatCode="yyyy\-mm\-dd" sourceLinked="1"/>
        <majorTickMark val="none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7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27118400"/>
        <crosses val="autoZero"/>
        <lblOffset val="100"/>
        <baseTimeUnit val="months"/>
      </dateAx>
      <valAx>
        <axId val="727118400"/>
        <scaling>
          <orientation val="minMax"/>
          <max val="2"/>
          <min val="-4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7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27117416"/>
        <crosses val="autoZero"/>
        <crossBetween val="between"/>
        <majorUnit val="1"/>
      </valAx>
    </plotArea>
    <legend>
      <legendPos val="b"/>
      <layout>
        <manualLayout>
          <xMode val="edge"/>
          <yMode val="edge"/>
          <wMode val="factor"/>
          <hMode val="factor"/>
          <x val="0"/>
          <y val="0.878084184942763"/>
          <w val="0.9813104533068766"/>
          <h val="0.08384923751232133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7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solidFill>
      <a:schemeClr val="bg1"/>
    </a:solidFill>
    <a:ln w="9525" cap="flat" cmpd="sng" algn="ctr">
      <a:noFill/>
      <a:prstDash val="solid"/>
      <a:round/>
    </a:ln>
  </spPr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defRPr sz="9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900" b="0" i="0" baseline="0"/>
              <a:t>Требования банков к экономике относительно ВВП</a:t>
            </a:r>
            <a:endParaRPr lang="ru-RU" sz="900"/>
          </a:p>
        </rich>
      </tx>
      <layout>
        <manualLayout>
          <xMode val="edge"/>
          <yMode val="edge"/>
          <wMode val="factor"/>
          <hMode val="factor"/>
          <x val="0.2226918065258632"/>
          <y val="0.04385706492556678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059010625747742"/>
          <y val="0.2282363227943009"/>
          <w val="0.8455695481382361"/>
          <h val="0.4614546999163306"/>
        </manualLayout>
      </layout>
      <lineChart>
        <grouping val="standard"/>
        <varyColors val="0"/>
        <ser>
          <idx val="0"/>
          <order val="0"/>
          <tx>
            <strRef>
              <f>Deviation_SD!$AW$5</f>
              <strCache>
                <ptCount val="1"/>
                <pt idx="0">
                  <v>crr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Deviation_SD!$AW$22:$AW$86</f>
              <numCache>
                <formatCode>0.00000</formatCode>
                <ptCount val="65"/>
                <pt idx="0">
                  <v>0.4741823064687272</v>
                </pt>
                <pt idx="1">
                  <v>0.5667779993346085</v>
                </pt>
                <pt idx="2">
                  <v>0.6928781618509992</v>
                </pt>
                <pt idx="3">
                  <v>0.8436874808191165</v>
                </pt>
                <pt idx="4">
                  <v>0.8981991131358951</v>
                </pt>
                <pt idx="5">
                  <v>1.04852301795806</v>
                </pt>
                <pt idx="6">
                  <v>0.9001822888190152</v>
                </pt>
                <pt idx="7">
                  <v>0.5679275511207804</v>
                </pt>
                <pt idx="8">
                  <v>-0.1587712001358432</v>
                </pt>
                <pt idx="9">
                  <v>-0.648244036668272</v>
                </pt>
                <pt idx="10">
                  <v>-0.7888433488777602</v>
                </pt>
                <pt idx="11">
                  <v>-0.7377093492547345</v>
                </pt>
                <pt idx="12">
                  <v>-0.6057059159744478</v>
                </pt>
                <pt idx="13">
                  <v>-0.4850209402373233</v>
                </pt>
                <pt idx="14">
                  <v>-0.4161772779149364</v>
                </pt>
                <pt idx="15">
                  <v>-0.3329003489031825</v>
                </pt>
                <pt idx="16">
                  <v>-0.3039712894050283</v>
                </pt>
                <pt idx="17">
                  <v>-0.2007135776308204</v>
                </pt>
                <pt idx="18">
                  <v>-0.2606096733031029</v>
                </pt>
                <pt idx="19">
                  <v>-0.3625129488576985</v>
                </pt>
                <pt idx="20">
                  <v>0.2097238135183451</v>
                </pt>
                <pt idx="21">
                  <v>0.1384213588260348</v>
                </pt>
                <pt idx="22">
                  <v>0.2896118990136005</v>
                </pt>
                <pt idx="23">
                  <v>0.3103879965536824</v>
                </pt>
                <pt idx="24">
                  <v>0.6106598141163152</v>
                </pt>
                <pt idx="25">
                  <v>0.4528091268450278</v>
                </pt>
                <pt idx="26">
                  <v>0.3329465500943365</v>
                </pt>
                <pt idx="27">
                  <v>0.08533139615702266</v>
                </pt>
                <pt idx="28">
                  <v>-0.123840637597076</v>
                </pt>
                <pt idx="29">
                  <v>-0.1929322724936152</v>
                </pt>
                <pt idx="30">
                  <v>-0.1753337484468653</v>
                </pt>
                <pt idx="31">
                  <v>-0.2074044433636382</v>
                </pt>
                <pt idx="32">
                  <v>-0.2185157643066926</v>
                </pt>
                <pt idx="33">
                  <v>-0.192451676709155</v>
                </pt>
                <pt idx="34">
                  <v>-0.2349228662794162</v>
                </pt>
                <pt idx="35">
                  <v>-0.1785084310000079</v>
                </pt>
                <pt idx="36">
                  <v>-0.1489753343022616</v>
                </pt>
                <pt idx="37">
                  <v>-0.1431319972990231</v>
                </pt>
                <pt idx="38">
                  <v>-0.1576527684738882</v>
                </pt>
                <pt idx="39">
                  <v>-0.1520761106384836</v>
                </pt>
                <pt idx="40">
                  <v>0.122263261044361</v>
                </pt>
                <pt idx="41">
                  <v>0.392312894222315</v>
                </pt>
                <pt idx="42">
                  <v>0.4527584077235828</v>
                </pt>
                <pt idx="43">
                  <v>0.4828600452753201</v>
                </pt>
                <pt idx="44">
                  <v>0.3738876995140561</v>
                </pt>
                <pt idx="45">
                  <v>0.1447084964414262</v>
                </pt>
                <pt idx="46">
                  <v>0.02928951434784879</v>
                </pt>
                <pt idx="47">
                  <v>-0.1027402393476482</v>
                </pt>
                <pt idx="48">
                  <v>0.04449110443552776</v>
                </pt>
                <pt idx="49">
                  <v>-0.03817648396543209</v>
                </pt>
                <pt idx="50">
                  <v>-0.2528230558425508</v>
                </pt>
                <pt idx="51">
                  <v>-0.3618856406510276</v>
                </pt>
                <pt idx="52">
                  <v>-0.21741789607465</v>
                </pt>
                <pt idx="53">
                  <v>-0.1586937134999132</v>
                </pt>
                <pt idx="54">
                  <v>-0.06876687735819267</v>
                </pt>
                <pt idx="55">
                  <v>0.02925910580026975</v>
                </pt>
                <pt idx="56">
                  <v>0.02449415293264807</v>
                </pt>
                <pt idx="57">
                  <v>0.01426426200684131</v>
                </pt>
                <pt idx="58">
                  <v>-0.0460023029067595</v>
                </pt>
                <pt idx="59">
                  <v>0.003598702184064735</v>
                </pt>
                <pt idx="60">
                  <v>0.07987404411123661</v>
                </pt>
                <pt idx="61">
                  <v>0.06569537966688618</v>
                </pt>
                <pt idx="62">
                  <formatCode>0.00</formatCode>
                  <v>-0.01077129115668069</v>
                </pt>
                <pt idx="63">
                  <formatCode>0.00</formatCode>
                  <v>-0.00968709148421309</v>
                </pt>
                <pt idx="64">
                  <formatCode>0.00</formatCode>
                  <v>0.008261107202096172</v>
                </pt>
              </numCache>
            </numRef>
          </val>
          <smooth val="0"/>
        </ser>
        <ser>
          <idx val="1"/>
          <order val="1"/>
          <tx>
            <strRef>
              <f>Deviation_SD!$AX$5</f>
              <strCache>
                <ptCount val="1"/>
                <pt idx="0">
                  <v>crr1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Deviation_SD!$AX$22:$AX$86</f>
              <numCache>
                <formatCode>0.00000</formatCode>
                <ptCount val="65"/>
                <pt idx="0">
                  <v>0.3211646848756818</v>
                </pt>
                <pt idx="1">
                  <v>0.3417474716812078</v>
                </pt>
                <pt idx="2">
                  <v>0.3493953067862878</v>
                </pt>
                <pt idx="3">
                  <v>0.4319423832868461</v>
                </pt>
                <pt idx="4">
                  <v>0.3670404696325377</v>
                </pt>
                <pt idx="5">
                  <v>0.4170115785468905</v>
                </pt>
                <pt idx="6">
                  <v>0.1794480853652339</v>
                </pt>
                <pt idx="7">
                  <v>-0.2387052883537271</v>
                </pt>
                <pt idx="8">
                  <v>-0.9149422241544107</v>
                </pt>
                <pt idx="9">
                  <v>-1.468767668626682</v>
                </pt>
                <pt idx="10">
                  <v>-1.462066487775433</v>
                </pt>
                <pt idx="11">
                  <v>-1.13019477895263</v>
                </pt>
                <pt idx="12">
                  <v>-0.3868788345582064</v>
                </pt>
                <pt idx="13">
                  <v>0.1412903475213386</v>
                </pt>
                <pt idx="14">
                  <v>0.3225898774566164</v>
                </pt>
                <pt idx="15">
                  <v>0.350413670553254</v>
                </pt>
                <pt idx="16">
                  <v>0.2611896917741056</v>
                </pt>
                <pt idx="17">
                  <v>0.2461041785378814</v>
                </pt>
                <pt idx="18">
                  <v>0.1346635457805253</v>
                </pt>
                <pt idx="19">
                  <v>-0.0256334711819045</v>
                </pt>
                <pt idx="20">
                  <v>0.44466843969449</v>
                </pt>
                <pt idx="21">
                  <v>0.293564416288887</v>
                </pt>
                <pt idx="22">
                  <v>0.4762867441327618</v>
                </pt>
                <pt idx="23">
                  <v>0.5824813430422355</v>
                </pt>
                <pt idx="24">
                  <v>0.3470610967257801</v>
                </pt>
                <pt idx="25">
                  <v>0.2721425948358559</v>
                </pt>
                <pt idx="26">
                  <v>0.03751165150517395</v>
                </pt>
                <pt idx="27">
                  <v>-0.1948151087518875</v>
                </pt>
                <pt idx="28">
                  <v>-0.6358035495366815</v>
                </pt>
                <pt idx="29">
                  <v>-0.5589713019570737</v>
                </pt>
                <pt idx="30">
                  <v>-0.4399812378851508</v>
                </pt>
                <pt idx="31">
                  <v>-0.253400097181238</v>
                </pt>
                <pt idx="32">
                  <v>-0.08195336228097777</v>
                </pt>
                <pt idx="33">
                  <v>0.0004160167702271016</v>
                </pt>
                <pt idx="34">
                  <v>-0.05158195960712531</v>
                </pt>
                <pt idx="35">
                  <v>0.02501317349144526</v>
                </pt>
                <pt idx="36">
                  <v>0.06019608582947088</v>
                </pt>
                <pt idx="37">
                  <v>0.04269245465788916</v>
                </pt>
                <pt idx="38">
                  <v>0.06688709631586674</v>
                </pt>
                <pt idx="39">
                  <v>0.02288053474867791</v>
                </pt>
                <pt idx="40">
                  <v>0.2347914984809561</v>
                </pt>
                <pt idx="41">
                  <v>0.463495647710496</v>
                </pt>
                <pt idx="42">
                  <v>0.5283885007801923</v>
                </pt>
                <pt idx="43">
                  <v>0.5496179896383475</v>
                </pt>
                <pt idx="44">
                  <v>0.2178129513140634</v>
                </pt>
                <pt idx="45">
                  <v>-0.2143330948575254</v>
                </pt>
                <pt idx="46">
                  <v>-0.3665661809990599</v>
                </pt>
                <pt idx="47">
                  <v>-0.5069115188485405</v>
                </pt>
                <pt idx="48">
                  <v>-0.2851346433724828</v>
                </pt>
                <pt idx="49">
                  <v>-0.1583102085619957</v>
                </pt>
                <pt idx="50">
                  <v>-0.2442043065835491</v>
                </pt>
                <pt idx="51">
                  <v>-0.2243233011095403</v>
                </pt>
                <pt idx="52">
                  <v>-0.2267155476780486</v>
                </pt>
                <pt idx="53">
                  <v>-0.1043229886919796</v>
                </pt>
                <pt idx="54">
                  <v>0.1593240294427695</v>
                </pt>
                <pt idx="55">
                  <v>0.3385855210793005</v>
                </pt>
                <pt idx="56">
                  <v>0.2094056430812779</v>
                </pt>
                <pt idx="57">
                  <v>0.1497171233745996</v>
                </pt>
                <pt idx="58">
                  <v>0.01970563422547911</v>
                </pt>
                <pt idx="59">
                  <v>-0.0222123426386854</v>
                </pt>
                <pt idx="60">
                  <v>0.04793833863841013</v>
                </pt>
                <pt idx="61">
                  <v>0.04452017298098968</v>
                </pt>
                <pt idx="62">
                  <formatCode>0.00</formatCode>
                  <v>0.0304969211008863</v>
                </pt>
                <pt idx="63">
                  <formatCode>0.00</formatCode>
                  <v>-0.01150054401327879</v>
                </pt>
                <pt idx="64">
                  <formatCode>0.00</formatCode>
                  <v>-0.06199010412228424</v>
                </pt>
              </numCache>
            </numRef>
          </val>
          <smooth val="0"/>
        </ser>
        <ser>
          <idx val="2"/>
          <order val="2"/>
          <tx>
            <strRef>
              <f>Deviation_SD!$AY$5</f>
              <strCache>
                <ptCount val="1"/>
                <pt idx="0">
                  <v>crr2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Deviation_SD!$AY$22:$AY$86</f>
              <numCache>
                <formatCode>0.00000</formatCode>
                <ptCount val="65"/>
                <pt idx="0">
                  <v>0.428498209264719</v>
                </pt>
                <pt idx="1">
                  <v>0.4573999977393012</v>
                </pt>
                <pt idx="2">
                  <v>0.5430611610032515</v>
                </pt>
                <pt idx="3">
                  <v>0.6285558530509233</v>
                </pt>
                <pt idx="4">
                  <v>0.4522988719050108</v>
                </pt>
                <pt idx="5">
                  <v>0.49866796291452</v>
                </pt>
                <pt idx="6">
                  <v>0.3475639031728521</v>
                </pt>
                <pt idx="7">
                  <v>0.1269983514013442</v>
                </pt>
                <pt idx="8">
                  <v>-0.3600893481568068</v>
                </pt>
                <pt idx="9">
                  <v>-0.6912300640965819</v>
                </pt>
                <pt idx="10">
                  <v>-0.8429562793805137</v>
                </pt>
                <pt idx="11">
                  <v>-0.899661898980973</v>
                </pt>
                <pt idx="12">
                  <v>-0.855576556526461</v>
                </pt>
                <pt idx="13">
                  <v>-0.8724382415363929</v>
                </pt>
                <pt idx="14">
                  <v>-0.7488813212647784</v>
                </pt>
                <pt idx="15">
                  <v>-0.5124839785803499</v>
                </pt>
                <pt idx="16">
                  <v>-0.08260481212550644</v>
                </pt>
                <pt idx="17">
                  <v>0.2546015617159532</v>
                </pt>
                <pt idx="18">
                  <v>0.3005138891362278</v>
                </pt>
                <pt idx="19">
                  <v>0.2134504759670344</v>
                </pt>
                <pt idx="20">
                  <v>0.4639006762690726</v>
                </pt>
                <pt idx="21">
                  <v>0.3546783906568291</v>
                </pt>
                <pt idx="22">
                  <v>0.4015258024553472</v>
                </pt>
                <pt idx="23">
                  <v>0.3659688722400083</v>
                </pt>
                <pt idx="24">
                  <v>0.5203366668078165</v>
                </pt>
                <pt idx="25">
                  <v>0.371791233012947</v>
                </pt>
                <pt idx="26">
                  <v>0.3376761031377414</v>
                </pt>
                <pt idx="27">
                  <v>0.2547801324889581</v>
                </pt>
                <pt idx="28">
                  <v>-0.1897659220102466</v>
                </pt>
                <pt idx="29">
                  <v>-0.1885081792995348</v>
                </pt>
                <pt idx="30">
                  <v>-0.2645091201413919</v>
                </pt>
                <pt idx="31">
                  <v>-0.294573835557931</v>
                </pt>
                <pt idx="32">
                  <v>-0.4717207352931477</v>
                </pt>
                <pt idx="33">
                  <v>-0.3670910101902978</v>
                </pt>
                <pt idx="34">
                  <v>-0.323062793469852</v>
                </pt>
                <pt idx="35">
                  <v>-0.1500993523022433</v>
                </pt>
                <pt idx="36">
                  <v>-0.01429921227744087</v>
                </pt>
                <pt idx="37">
                  <v>0.02833154164679175</v>
                </pt>
                <pt idx="38">
                  <v>0.01005876811931528</v>
                </pt>
                <pt idx="39">
                  <v>0.03147647190151452</v>
                </pt>
                <pt idx="40">
                  <v>0.1938703172093095</v>
                </pt>
                <pt idx="41">
                  <v>0.3326745029054041</v>
                </pt>
                <pt idx="42">
                  <v>0.3912241564530647</v>
                </pt>
                <pt idx="43">
                  <v>0.376254718598511</v>
                </pt>
                <pt idx="44">
                  <v>0.2974585132361581</v>
                </pt>
                <pt idx="45">
                  <v>0.1637534110840858</v>
                </pt>
                <pt idx="46">
                  <v>0.1063520844134915</v>
                </pt>
                <pt idx="47">
                  <v>0.02806734072643931</v>
                </pt>
                <pt idx="48">
                  <v>-0.04424483771052014</v>
                </pt>
                <pt idx="49">
                  <v>-0.2449068343291419</v>
                </pt>
                <pt idx="50">
                  <v>-0.4014076336349034</v>
                </pt>
                <pt idx="51">
                  <v>-0.4805786210669155</v>
                </pt>
                <pt idx="52">
                  <v>-0.3363957135164913</v>
                </pt>
                <pt idx="53">
                  <v>-0.1726065230180726</v>
                </pt>
                <pt idx="54">
                  <v>-0.05578460629983661</v>
                </pt>
                <pt idx="55">
                  <v>0.07509486503427158</v>
                </pt>
                <pt idx="56">
                  <v>-0.01137633200015394</v>
                </pt>
                <pt idx="57">
                  <v>0.02983371422541111</v>
                </pt>
                <pt idx="58">
                  <v>0.1176610119587752</v>
                </pt>
                <pt idx="59">
                  <v>0.207925254224442</v>
                </pt>
                <pt idx="60">
                  <v>0.1691303702985683</v>
                </pt>
                <pt idx="61">
                  <v>0.1276556989554821</v>
                </pt>
                <pt idx="62">
                  <formatCode>0.00</formatCode>
                  <v>0.03299388124619571</v>
                </pt>
                <pt idx="63">
                  <formatCode>0.00</formatCode>
                  <v>-0.02215662074231498</v>
                </pt>
                <pt idx="64">
                  <formatCode>0.00</formatCode>
                  <v>-0.009235033528877935</v>
                </pt>
              </numCache>
            </numRef>
          </val>
          <smooth val="0"/>
        </ser>
        <ser>
          <idx val="3"/>
          <order val="3"/>
          <tx>
            <strRef>
              <f>Deviation_SD!$AZ$5</f>
              <strCache>
                <ptCount val="1"/>
                <pt idx="0">
                  <v>crr_av2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Deviation_SD!$AZ$22:$AZ$86</f>
              <numCache>
                <formatCode>0.00000</formatCode>
                <ptCount val="65"/>
                <pt idx="0">
                  <v>0.4548318329903446</v>
                </pt>
                <pt idx="1">
                  <v>0.4533903150564236</v>
                </pt>
                <pt idx="2">
                  <v>0.4771316539150212</v>
                </pt>
                <pt idx="3">
                  <v>0.506333177015489</v>
                </pt>
                <pt idx="4">
                  <v>0.4288065817306765</v>
                </pt>
                <pt idx="5">
                  <v>0.4760525719288322</v>
                </pt>
                <pt idx="6">
                  <v>0.2368671653234362</v>
                </pt>
                <pt idx="7">
                  <v>-0.1420903279639054</v>
                </pt>
                <pt idx="8">
                  <v>-0.8419120903125741</v>
                </pt>
                <pt idx="9">
                  <v>-1.222475685286431</v>
                </pt>
                <pt idx="10">
                  <v>-1.212016013335969</v>
                </pt>
                <pt idx="11">
                  <v>-0.9928248419546478</v>
                </pt>
                <pt idx="12">
                  <v>-0.6870801275895446</v>
                </pt>
                <pt idx="13">
                  <v>-0.4008154707835115</v>
                </pt>
                <pt idx="14">
                  <v>-0.1591927454087112</v>
                </pt>
                <pt idx="15">
                  <v>0.07063824066763659</v>
                </pt>
                <pt idx="16">
                  <v>0.2018960840618108</v>
                </pt>
                <pt idx="17">
                  <v>0.3144900860861983</v>
                </pt>
                <pt idx="18">
                  <v>0.2070620207320217</v>
                </pt>
                <pt idx="19">
                  <v>0.05132077050967548</v>
                </pt>
                <pt idx="20">
                  <v>0.5385205772376126</v>
                </pt>
                <pt idx="21">
                  <v>0.3778653047932568</v>
                </pt>
                <pt idx="22">
                  <v>0.4458071527525936</v>
                </pt>
                <pt idx="23">
                  <v>0.3832560287380326</v>
                </pt>
                <pt idx="24">
                  <v>0.5871557797396636</v>
                </pt>
                <pt idx="25">
                  <v>0.3347353660951043</v>
                </pt>
                <pt idx="26">
                  <v>0.1478143964076284</v>
                </pt>
                <pt idx="27">
                  <v>-0.1506331742718389</v>
                </pt>
                <pt idx="28">
                  <v>-0.3965367218955348</v>
                </pt>
                <pt idx="29">
                  <v>-0.4219439533662704</v>
                </pt>
                <pt idx="30">
                  <v>-0.3672106792295824</v>
                </pt>
                <pt idx="31">
                  <v>-0.3430541145795427</v>
                </pt>
                <pt idx="32">
                  <v>-0.293333453159055</v>
                </pt>
                <pt idx="33">
                  <v>-0.1730389268031019</v>
                </pt>
                <pt idx="34">
                  <v>-0.1376246984542972</v>
                </pt>
                <pt idx="35">
                  <v>-0.01947518563389697</v>
                </pt>
                <pt idx="36">
                  <v>0.03849968724461193</v>
                </pt>
                <pt idx="37">
                  <v>0.04683257320438407</v>
                </pt>
                <pt idx="38">
                  <v>0.02759283113204768</v>
                </pt>
                <pt idx="39">
                  <v>0.03071496930903779</v>
                </pt>
                <pt idx="40">
                  <v>0.2787244224343716</v>
                </pt>
                <pt idx="41">
                  <v>0.489664542570768</v>
                </pt>
                <pt idx="42">
                  <v>0.4779328289163834</v>
                </pt>
                <pt idx="43">
                  <v>0.4261294151525485</v>
                </pt>
                <pt idx="44">
                  <v>0.2483985637490026</v>
                </pt>
                <pt idx="45">
                  <v>-0.02475629032108702</v>
                </pt>
                <pt idx="46">
                  <v>-0.1651643618470542</v>
                </pt>
                <pt idx="47">
                  <v>-0.3092806536570564</v>
                </pt>
                <pt idx="48">
                  <v>-0.1784570088567913</v>
                </pt>
                <pt idx="49">
                  <v>-0.2461074813516865</v>
                </pt>
                <pt idx="50">
                  <v>-0.3952668665300217</v>
                </pt>
                <pt idx="51">
                  <v>-0.4146170589709754</v>
                </pt>
                <pt idx="52">
                  <v>-0.1827095408242666</v>
                </pt>
                <pt idx="53">
                  <v>-0.05970110858225083</v>
                </pt>
                <pt idx="54">
                  <v>0.05886944568628963</v>
                </pt>
                <pt idx="55">
                  <v>0.1611463654901104</v>
                </pt>
                <pt idx="56">
                  <v>0.14142524008034</v>
                </pt>
                <pt idx="57">
                  <v>0.1342561552903945</v>
                </pt>
                <pt idx="58">
                  <v>0.07228548544827772</v>
                </pt>
                <pt idx="59">
                  <v>0.09430985563389246</v>
                </pt>
                <pt idx="60">
                  <v>0.1226789561781097</v>
                </pt>
                <pt idx="61">
                  <v>0.07506589172143106</v>
                </pt>
                <pt idx="62">
                  <formatCode>0.00</formatCode>
                  <v>-0.02186201744707511</v>
                </pt>
                <pt idx="63">
                  <formatCode>0.00</formatCode>
                  <v>-0.0275796933649373</v>
                </pt>
                <pt idx="64">
                  <formatCode>0.00</formatCode>
                  <v>-0.006419605817396589</v>
                </pt>
              </numCache>
            </numRef>
          </val>
          <smooth val="0"/>
        </ser>
        <ser>
          <idx val="4"/>
          <order val="4"/>
          <tx>
            <strRef>
              <f>Deviation_SD!$BA$5</f>
              <strCache>
                <ptCount val="1"/>
                <pt idx="0">
                  <v>crr_av3</v>
                </pt>
              </strCache>
            </strRef>
          </tx>
          <spPr>
            <a:ln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Deviation_SD!$BA$22:$BA$86</f>
              <numCache>
                <formatCode>0.00000</formatCode>
                <ptCount val="65"/>
                <pt idx="0">
                  <v>0.4112384057556718</v>
                </pt>
                <pt idx="1">
                  <v>0.4441619210652731</v>
                </pt>
                <pt idx="2">
                  <v>0.4961194905393661</v>
                </pt>
                <pt idx="3">
                  <v>0.5551894015209214</v>
                </pt>
                <pt idx="4">
                  <v>0.5294643635526061</v>
                </pt>
                <pt idx="5">
                  <v>0.5692919547058924</v>
                </pt>
                <pt idx="6">
                  <v>0.3744446430864831</v>
                </pt>
                <pt idx="7">
                  <v>0.04720725575469074</v>
                </pt>
                <pt idx="8">
                  <v>-0.5597039065537676</v>
                </pt>
                <pt idx="9">
                  <v>-0.9163544894449873</v>
                </pt>
                <pt idx="10">
                  <v>-0.9714540419576542</v>
                </pt>
                <pt idx="11">
                  <v>-0.8639393165435563</v>
                </pt>
                <pt idx="12">
                  <v>-0.6944751316068535</v>
                </pt>
                <pt idx="13">
                  <v>-0.5338028375972422</v>
                </pt>
                <pt idx="14">
                  <v>-0.414452641126624</v>
                </pt>
                <pt idx="15">
                  <v>-0.2804559789718248</v>
                </pt>
                <pt idx="16">
                  <v>-0.1836158706391943</v>
                </pt>
                <pt idx="17">
                  <v>-0.02846295465347939</v>
                </pt>
                <pt idx="18">
                  <v>0.005251583951664468</v>
                </pt>
                <pt idx="19">
                  <v>0.00130820437520608</v>
                </pt>
                <pt idx="20">
                  <v>0.4968594876083887</v>
                </pt>
                <pt idx="21">
                  <v>0.4190610343430559</v>
                </pt>
                <pt idx="22">
                  <v>0.4843708398851196</v>
                </pt>
                <pt idx="23">
                  <v>0.4316752417310053</v>
                </pt>
                <pt idx="24">
                  <v>0.5940670965538284</v>
                </pt>
                <pt idx="25">
                  <v>0.3963765429024833</v>
                </pt>
                <pt idx="26">
                  <v>0.2453598692813002</v>
                </pt>
                <pt idx="27">
                  <v>0.00890549392770775</v>
                </pt>
                <pt idx="28">
                  <v>-0.1772005081755162</v>
                </pt>
                <pt idx="29">
                  <v>-0.241341497074353</v>
                </pt>
                <pt idx="30">
                  <v>-0.2284144767497678</v>
                </pt>
                <pt idx="31">
                  <v>-0.2582929257703615</v>
                </pt>
                <pt idx="32">
                  <v>-0.2766248236807803</v>
                </pt>
                <pt idx="33">
                  <v>-0.2295304908684412</v>
                </pt>
                <pt idx="34">
                  <v>-0.2408928189913728</v>
                </pt>
                <pt idx="35">
                  <v>-0.1645317418326899</v>
                </pt>
                <pt idx="36">
                  <v>-0.1109367534151264</v>
                </pt>
                <pt idx="37">
                  <v>-0.05820218912357451</v>
                </pt>
                <pt idx="38">
                  <v>-0.03140183013300572</v>
                </pt>
                <pt idx="39">
                  <v>0.004030949351254841</v>
                </pt>
                <pt idx="40">
                  <v>0.2283448071334751</v>
                </pt>
                <pt idx="41">
                  <v>0.4186578253380374</v>
                </pt>
                <pt idx="42">
                  <v>0.4275618551182417</v>
                </pt>
                <pt idx="43">
                  <v>0.4106009425147639</v>
                </pt>
                <pt idx="44">
                  <v>0.2836236025780906</v>
                </pt>
                <pt idx="45">
                  <v>0.0711897122254553</v>
                </pt>
                <pt idx="46">
                  <v>-0.03826284972686769</v>
                </pt>
                <pt idx="47">
                  <v>-0.1557475055323168</v>
                </pt>
                <pt idx="48">
                  <v>-0.04827657023688868</v>
                </pt>
                <pt idx="49">
                  <v>-0.1236188398417598</v>
                </pt>
                <pt idx="50">
                  <v>-0.2939899395179738</v>
                </pt>
                <pt idx="51">
                  <v>-0.3711182921073669</v>
                </pt>
                <pt idx="52">
                  <v>-0.2476053115872674</v>
                </pt>
                <pt idx="53">
                  <v>-0.1812309538287035</v>
                </pt>
                <pt idx="54">
                  <v>-0.07762916329333085</v>
                </pt>
                <pt idx="55">
                  <v>0.03027579424480041</v>
                </pt>
                <pt idx="56">
                  <v>0.05547011123776283</v>
                </pt>
                <pt idx="57">
                  <v>0.06987374554486921</v>
                </pt>
                <pt idx="58">
                  <v>0.03220160691687744</v>
                </pt>
                <pt idx="59">
                  <v>0.07481505507810152</v>
                </pt>
                <pt idx="60">
                  <v>0.1262283221615852</v>
                </pt>
                <pt idx="61">
                  <v>0.1131661897324293</v>
                </pt>
                <pt idx="62">
                  <formatCode>0.00</formatCode>
                  <v>0.04824719099047157</v>
                </pt>
                <pt idx="63">
                  <formatCode>0.00</formatCode>
                  <v>0.03369061226880417</v>
                </pt>
                <pt idx="64">
                  <formatCode>0.00</formatCode>
                  <v>0.02499509357904307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27117416"/>
        <axId val="727118400"/>
      </lineChart>
      <dateAx>
        <axId val="727117416"/>
        <scaling>
          <orientation val="minMax"/>
        </scaling>
        <delete val="0"/>
        <axPos val="b"/>
        <numFmt formatCode="yyyy\-mm\-dd" sourceLinked="1"/>
        <majorTickMark val="none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7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27118400"/>
        <crosses val="autoZero"/>
        <lblOffset val="100"/>
        <baseTimeUnit val="months"/>
      </dateAx>
      <valAx>
        <axId val="727118400"/>
        <scaling>
          <orientation val="minMax"/>
          <max val="2"/>
          <min val="-4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7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27117416"/>
        <crosses val="autoZero"/>
        <crossBetween val="between"/>
        <majorUnit val="1"/>
      </valAx>
    </plotArea>
    <legend>
      <legendPos val="b"/>
      <layout>
        <manualLayout>
          <xMode val="edge"/>
          <yMode val="edge"/>
          <wMode val="factor"/>
          <hMode val="factor"/>
          <x val="0"/>
          <y val="0.878084184942763"/>
          <w val="0.9813104533068766"/>
          <h val="0.08384923751232133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7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solidFill>
      <a:schemeClr val="bg1"/>
    </a:solidFill>
    <a:ln w="9525" cap="flat" cmpd="sng" algn="ctr">
      <a:noFill/>
      <a:prstDash val="solid"/>
      <a:round/>
    </a:ln>
  </spPr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defRPr sz="9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900" b="0" i="0" baseline="0"/>
              <a:t>Коэффициент обслуживания государственного внешнего долга относительно ВВП</a:t>
            </a:r>
            <a:endParaRPr lang="ru-RU" sz="900"/>
          </a:p>
        </rich>
      </tx>
      <layout>
        <manualLayout>
          <xMode val="edge"/>
          <yMode val="edge"/>
          <wMode val="factor"/>
          <hMode val="factor"/>
          <x val="0.2219814087691221"/>
          <y val="0.02210473489990075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059010625747742"/>
          <y val="0.2282363227943009"/>
          <w val="0.8455695481382361"/>
          <h val="0.4614546999163306"/>
        </manualLayout>
      </layout>
      <lineChart>
        <grouping val="standard"/>
        <varyColors val="0"/>
        <ser>
          <idx val="0"/>
          <order val="0"/>
          <tx>
            <strRef>
              <f>Deviation_SD!$AH$5</f>
              <strCache>
                <ptCount val="1"/>
                <pt idx="0">
                  <v>exd_s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Deviation_SD!$AH$22:$AH$86</f>
              <numCache>
                <formatCode>0.00</formatCode>
                <ptCount val="65"/>
                <pt idx="0">
                  <v>-1.291275114117203</v>
                </pt>
                <pt idx="1">
                  <v>-1.332321746760067</v>
                </pt>
                <pt idx="2">
                  <v>-1.243034535941004</v>
                </pt>
                <pt idx="3">
                  <v>-1.166250426344788</v>
                </pt>
                <pt idx="4">
                  <v>-1.203346888914744</v>
                </pt>
                <pt idx="5">
                  <v>-1.219060535979908</v>
                </pt>
                <pt idx="6">
                  <v>-0.9463266276349526</v>
                </pt>
                <pt idx="7">
                  <v>-1.02520306453083</v>
                </pt>
                <pt idx="8">
                  <v>-0.9875497625343144</v>
                </pt>
                <pt idx="9">
                  <v>-0.8966926818058669</v>
                </pt>
                <pt idx="10">
                  <v>-0.8579661773179289</v>
                </pt>
                <pt idx="11">
                  <v>-0.5229668900691322</v>
                </pt>
                <pt idx="12">
                  <v>-0.4047849871140995</v>
                </pt>
                <pt idx="13">
                  <v>-0.277329414096895</v>
                </pt>
                <pt idx="14">
                  <v>-0.1626663898907515</v>
                </pt>
                <pt idx="15">
                  <v>-0.2499955708345984</v>
                </pt>
                <pt idx="16">
                  <v>-0.1838711783240176</v>
                </pt>
                <pt idx="17">
                  <v>0.03545968072490609</v>
                </pt>
                <pt idx="18">
                  <v>0.9483183337884946</v>
                </pt>
                <pt idx="19">
                  <v>0.8316438067184554</v>
                </pt>
                <pt idx="20">
                  <v>0.8804775106408437</v>
                </pt>
                <pt idx="21">
                  <v>0.6314969958053323</v>
                </pt>
                <pt idx="22">
                  <v>0.1678554987039995</v>
                </pt>
                <pt idx="23">
                  <v>0.27501449426563</v>
                </pt>
                <pt idx="24">
                  <v>0.322918796369125</v>
                </pt>
                <pt idx="25">
                  <v>0.3865281717533279</v>
                </pt>
                <pt idx="26">
                  <v>-0.2474311032790952</v>
                </pt>
                <pt idx="27">
                  <v>-0.3256221811208386</v>
                </pt>
                <pt idx="28">
                  <v>-0.2967108700468333</v>
                </pt>
                <pt idx="29">
                  <v>-0.3342123635949626</v>
                </pt>
                <pt idx="30">
                  <v>-0.3254232055171399</v>
                </pt>
                <pt idx="31">
                  <v>-0.3410454356243266</v>
                </pt>
                <pt idx="32">
                  <v>0.1851105358778821</v>
                </pt>
                <pt idx="33">
                  <v>0.1923430318138197</v>
                </pt>
                <pt idx="34">
                  <v>0.1711814009602217</v>
                </pt>
                <pt idx="35">
                  <v>0.1621764164356806</v>
                </pt>
                <pt idx="36">
                  <v>-0.2135912343581982</v>
                </pt>
                <pt idx="37">
                  <v>-0.2311565041318632</v>
                </pt>
                <pt idx="38">
                  <v>-0.1716662646131191</v>
                </pt>
                <pt idx="39">
                  <v>-0.2139945917449675</v>
                </pt>
                <pt idx="40">
                  <v>-0.2580422091519823</v>
                </pt>
                <pt idx="41">
                  <v>-0.1622200954547863</v>
                </pt>
                <pt idx="42">
                  <v>-0.1301296067571855</v>
                </pt>
                <pt idx="43">
                  <v>0.009343411153171855</v>
                </pt>
                <pt idx="44">
                  <v>0.04847283282942147</v>
                </pt>
                <pt idx="45">
                  <v>-0.03254619109110456</v>
                </pt>
                <pt idx="46">
                  <v>-0.1018102356051823</v>
                </pt>
                <pt idx="47">
                  <v>-0.0872284366141388</v>
                </pt>
                <pt idx="48">
                  <v>-0.2253568468244641</v>
                </pt>
                <pt idx="49">
                  <v>-0.2201622463609779</v>
                </pt>
                <pt idx="50">
                  <v>-0.3271550336169289</v>
                </pt>
                <pt idx="51">
                  <v>-0.4576425182290609</v>
                </pt>
                <pt idx="52">
                  <v>-0.4204451066814204</v>
                </pt>
                <pt idx="53">
                  <v>-0.3895596521568317</v>
                </pt>
                <pt idx="54">
                  <v>-0.3423126240019439</v>
                </pt>
                <pt idx="55">
                  <v>-0.04262719829360233</v>
                </pt>
                <pt idx="56">
                  <v>-0.1830476155752868</v>
                </pt>
                <pt idx="57">
                  <v>-0.09888678789429316</v>
                </pt>
                <pt idx="58">
                  <v>-0.2723525176702232</v>
                </pt>
                <pt idx="59">
                  <v>-0.5266049650767459</v>
                </pt>
                <pt idx="60">
                  <v>-0.4242528660204307</v>
                </pt>
                <pt idx="61">
                  <v>-0.2884796959713867</v>
                </pt>
                <pt idx="62">
                  <v>-0.236262708831532</v>
                </pt>
                <pt idx="63">
                  <v>-0.1343846960197996</v>
                </pt>
                <pt idx="64">
                  <v>-0.1893150487314593</v>
                </pt>
              </numCache>
            </numRef>
          </val>
          <smooth val="0"/>
        </ser>
        <ser>
          <idx val="1"/>
          <order val="1"/>
          <tx>
            <strRef>
              <f>Deviation_SD!$AI$5</f>
              <strCache>
                <ptCount val="1"/>
                <pt idx="0">
                  <v>exd_s1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Deviation_SD!$AI$22:$AI$86</f>
              <numCache>
                <formatCode>0.00</formatCode>
                <ptCount val="65"/>
                <pt idx="0">
                  <v>-0.208254549116323</v>
                </pt>
                <pt idx="1">
                  <v>-0.2042531636093854</v>
                </pt>
                <pt idx="2">
                  <v>-0.08361001685071807</v>
                </pt>
                <pt idx="3">
                  <v>0.1155504447813834</v>
                </pt>
                <pt idx="4">
                  <v>0.1081580917375269</v>
                </pt>
                <pt idx="5">
                  <v>0.139319500622893</v>
                </pt>
                <pt idx="6">
                  <v>0.3649722383446702</v>
                </pt>
                <pt idx="7">
                  <v>0.1734984808721424</v>
                </pt>
                <pt idx="8">
                  <v>0.2654461105976755</v>
                </pt>
                <pt idx="9">
                  <v>0.3965358320914974</v>
                </pt>
                <pt idx="10">
                  <v>0.1086897599644781</v>
                </pt>
                <pt idx="11">
                  <v>0.6177869063802481</v>
                </pt>
                <pt idx="12">
                  <v>0.7168429238298354</v>
                </pt>
                <pt idx="13">
                  <v>0.7618617227116291</v>
                </pt>
                <pt idx="14">
                  <v>0.8552691473127628</v>
                </pt>
                <pt idx="15">
                  <v>0.3357745128996054</v>
                </pt>
                <pt idx="16">
                  <v>0.2717400009176573</v>
                </pt>
                <pt idx="17">
                  <v>0.3847532636344886</v>
                </pt>
                <pt idx="18">
                  <v>1.366591755787316</v>
                </pt>
                <pt idx="19">
                  <v>1.330494852533804</v>
                </pt>
                <pt idx="20">
                  <v>1.309226052006776</v>
                </pt>
                <pt idx="21">
                  <v>0.7331691098622921</v>
                </pt>
                <pt idx="22">
                  <v>-0.9600258701962125</v>
                </pt>
                <pt idx="23">
                  <v>-0.6846944095760689</v>
                </pt>
                <pt idx="24">
                  <v>-0.6858376411943283</v>
                </pt>
                <pt idx="25">
                  <v>-0.301329413662609</v>
                </pt>
                <pt idx="26">
                  <v>-0.510832628444743</v>
                </pt>
                <pt idx="27">
                  <v>-0.7388266564893219</v>
                </pt>
                <pt idx="28">
                  <v>-0.7621894124349534</v>
                </pt>
                <pt idx="29">
                  <v>-0.8865631116932254</v>
                </pt>
                <pt idx="30">
                  <v>-0.09593594012891689</v>
                </pt>
                <pt idx="31">
                  <v>-0.0189717212150988</v>
                </pt>
                <pt idx="32">
                  <v>0.5926752610224666</v>
                </pt>
                <pt idx="33">
                  <v>0.6477013112726878</v>
                </pt>
                <pt idx="34">
                  <v>0.6108596694745396</v>
                </pt>
                <pt idx="35">
                  <v>0.6189993612871467</v>
                </pt>
                <pt idx="36">
                  <v>-0.4904320830065204</v>
                </pt>
                <pt idx="37">
                  <v>-0.5209351326510376</v>
                </pt>
                <pt idx="38">
                  <v>-0.4217274848854945</v>
                </pt>
                <pt idx="39">
                  <v>-0.4627176122129069</v>
                </pt>
                <pt idx="40">
                  <v>-0.05467792166279451</v>
                </pt>
                <pt idx="41">
                  <v>0.08479678051709866</v>
                </pt>
                <pt idx="42">
                  <v>0.05109310054317685</v>
                </pt>
                <pt idx="43">
                  <v>0.2747219354230465</v>
                </pt>
                <pt idx="44">
                  <v>0.3770357237760951</v>
                </pt>
                <pt idx="45">
                  <v>0.1595083036401167</v>
                </pt>
                <pt idx="46">
                  <v>0.03483487965274871</v>
                </pt>
                <pt idx="47">
                  <v>-0.1187903741492462</v>
                </pt>
                <pt idx="48">
                  <v>-0.336830358445974</v>
                </pt>
                <pt idx="49">
                  <v>-0.2307813500225682</v>
                </pt>
                <pt idx="50">
                  <v>-0.2771904389041094</v>
                </pt>
                <pt idx="51">
                  <v>-0.4556361751636738</v>
                </pt>
                <pt idx="52">
                  <v>-0.239972703394599</v>
                </pt>
                <pt idx="53">
                  <v>-0.2083710903294187</v>
                </pt>
                <pt idx="54">
                  <v>-0.01864493508890323</v>
                </pt>
                <pt idx="55">
                  <v>0.5104989318583805</v>
                </pt>
                <pt idx="56">
                  <v>0.2920161252225285</v>
                </pt>
                <pt idx="57">
                  <v>0.3575486966344247</v>
                </pt>
                <pt idx="58">
                  <v>0.08605600284971728</v>
                </pt>
                <pt idx="59">
                  <v>-0.5953277412130774</v>
                </pt>
                <pt idx="60">
                  <v>-0.2966999452695591</v>
                </pt>
                <pt idx="61">
                  <v>-0.2332130222959777</v>
                </pt>
                <pt idx="62">
                  <v>0.04439308135899705</v>
                </pt>
                <pt idx="63">
                  <v>0.4824593666516125</v>
                </pt>
                <pt idx="64">
                  <v>0.2889905481026848</v>
                </pt>
              </numCache>
            </numRef>
          </val>
          <smooth val="0"/>
        </ser>
        <ser>
          <idx val="2"/>
          <order val="2"/>
          <tx>
            <strRef>
              <f>Deviation_SD!$AJ$5</f>
              <strCache>
                <ptCount val="1"/>
                <pt idx="0">
                  <v>exd_s2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Deviation_SD!$AJ$22:$AJ$86</f>
              <numCache>
                <formatCode>0.00</formatCode>
                <ptCount val="65"/>
                <pt idx="0">
                  <v>-0.3568163870955322</v>
                </pt>
                <pt idx="1">
                  <v>-0.3456850912751685</v>
                </pt>
                <pt idx="2">
                  <v>-0.1984937150866446</v>
                </pt>
                <pt idx="3">
                  <v>-0.07607516752817182</v>
                </pt>
                <pt idx="4">
                  <v>-0.07715920621167502</v>
                </pt>
                <pt idx="5">
                  <v>-0.05005401813067079</v>
                </pt>
                <pt idx="6">
                  <v>0.2168876525396962</v>
                </pt>
                <pt idx="7">
                  <v>0.2228129370789103</v>
                </pt>
                <pt idx="8">
                  <v>0.287992247122592</v>
                </pt>
                <pt idx="9">
                  <v>0.4130632911419493</v>
                </pt>
                <pt idx="10">
                  <v>0.3651216512474861</v>
                </pt>
                <pt idx="11">
                  <v>0.6099611711155912</v>
                </pt>
                <pt idx="12">
                  <v>0.7571960502062182</v>
                </pt>
                <pt idx="13">
                  <v>0.8929490428208556</v>
                </pt>
                <pt idx="14">
                  <v>0.743066298787328</v>
                </pt>
                <pt idx="15">
                  <v>0.7350514105337127</v>
                </pt>
                <pt idx="16">
                  <v>0.7620476862559872</v>
                </pt>
                <pt idx="17">
                  <v>0.8838664673423144</v>
                </pt>
                <pt idx="18">
                  <v>1.712718192884555</v>
                </pt>
                <pt idx="19">
                  <v>1.284441277328447</v>
                </pt>
                <pt idx="20">
                  <v>1.21868534497301</v>
                </pt>
                <pt idx="21">
                  <v>0.8617488091397302</v>
                </pt>
                <pt idx="22">
                  <v>0.3134007119376992</v>
                </pt>
                <pt idx="23">
                  <v>0.4978143168563585</v>
                </pt>
                <pt idx="24">
                  <v>0.4805380350057754</v>
                </pt>
                <pt idx="25">
                  <v>0.3328829914865386</v>
                </pt>
                <pt idx="26">
                  <v>-1.133809099510383</v>
                </pt>
                <pt idx="27">
                  <v>-1.097319109581898</v>
                </pt>
                <pt idx="28">
                  <v>-1.116209513871706</v>
                </pt>
                <pt idx="29">
                  <v>-0.9156851972730689</v>
                </pt>
                <pt idx="30">
                  <v>-0.4677266541828236</v>
                </pt>
                <pt idx="31">
                  <v>-0.5841477593047605</v>
                </pt>
                <pt idx="32">
                  <v>-0.1306697330469548</v>
                </pt>
                <pt idx="33">
                  <v>-0.1841262657777579</v>
                </pt>
                <pt idx="34">
                  <v>0.3969281956254335</v>
                </pt>
                <pt idx="35">
                  <v>0.4625304194115397</v>
                </pt>
                <pt idx="36">
                  <v>0.0788140026416216</v>
                </pt>
                <pt idx="37">
                  <v>0.09771752140956318</v>
                </pt>
                <pt idx="38">
                  <v>0.1457922649224755</v>
                </pt>
                <pt idx="39">
                  <v>0.1204695552641501</v>
                </pt>
                <pt idx="40">
                  <v>-0.4201972413384994</v>
                </pt>
                <pt idx="41">
                  <v>-0.3361966040593503</v>
                </pt>
                <pt idx="42">
                  <v>-0.2857029673126486</v>
                </pt>
                <pt idx="43">
                  <v>-0.1449161895654165</v>
                </pt>
                <pt idx="44">
                  <v>0.2484890352620155</v>
                </pt>
                <pt idx="45">
                  <v>0.1883222130001213</v>
                </pt>
                <pt idx="46">
                  <v>0.06623745651856247</v>
                </pt>
                <pt idx="47">
                  <v>0.1201996135158156</v>
                </pt>
                <pt idx="48">
                  <v>0.03099224643468455</v>
                </pt>
                <pt idx="49">
                  <v>-0.05494072245081088</v>
                </pt>
                <pt idx="50">
                  <v>-0.1868194246081567</v>
                </pt>
                <pt idx="51">
                  <v>-0.4427958564424229</v>
                </pt>
                <pt idx="52">
                  <v>-0.444627787611494</v>
                </pt>
                <pt idx="53">
                  <v>-0.3385200095069221</v>
                </pt>
                <pt idx="54">
                  <v>-0.2280442607499343</v>
                </pt>
                <pt idx="55">
                  <v>0.04229087490207783</v>
                </pt>
                <pt idx="56">
                  <v>0.04011759478745598</v>
                </pt>
                <pt idx="57">
                  <v>0.1149933373115594</v>
                </pt>
                <pt idx="58">
                  <v>0.05196372193895129</v>
                </pt>
                <pt idx="59">
                  <v>-0.06539016230035383</v>
                </pt>
                <pt idx="60">
                  <v>-0.003610515759809166</v>
                </pt>
                <pt idx="61">
                  <v>0.09584397077553486</v>
                </pt>
                <pt idx="62">
                  <v>0.1005564837374208</v>
                </pt>
                <pt idx="63">
                  <v>-0.08700441969297382</v>
                </pt>
                <pt idx="64">
                  <v>-0.00594277741034787</v>
                </pt>
              </numCache>
            </numRef>
          </val>
          <smooth val="0"/>
        </ser>
        <ser>
          <idx val="3"/>
          <order val="3"/>
          <tx>
            <strRef>
              <f>Deviation_SD!$AK$5</f>
              <strCache>
                <ptCount val="1"/>
                <pt idx="0">
                  <v>exd_s_av2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Deviation_SD!$AK$22:$AK$86</f>
              <numCache>
                <formatCode>0.00</formatCode>
                <ptCount val="65"/>
                <pt idx="0">
                  <v>-0.2943421336992343</v>
                </pt>
                <pt idx="1">
                  <v>-0.2855470647794471</v>
                </pt>
                <pt idx="2">
                  <v>-0.08760286357452909</v>
                </pt>
                <pt idx="3">
                  <v>0.06350825198122007</v>
                </pt>
                <pt idx="4">
                  <v>0.02377868873715647</v>
                </pt>
                <pt idx="5">
                  <v>0.01564441529357494</v>
                </pt>
                <pt idx="6">
                  <v>0.4256464533731079</v>
                </pt>
                <pt idx="7">
                  <v>0.2679050591920232</v>
                </pt>
                <pt idx="8">
                  <v>0.2800585883427439</v>
                </pt>
                <pt idx="9">
                  <v>0.3576921936031174</v>
                </pt>
                <pt idx="10">
                  <v>0.3346080357986458</v>
                </pt>
                <pt idx="11">
                  <v>0.7556673545064753</v>
                </pt>
                <pt idx="12">
                  <v>0.8111080128004916</v>
                </pt>
                <pt idx="13">
                  <v>0.8516709442685882</v>
                </pt>
                <pt idx="14">
                  <v>0.8471892372192045</v>
                </pt>
                <pt idx="15">
                  <v>0.575226835928254</v>
                </pt>
                <pt idx="16">
                  <v>0.5300532623105683</v>
                </pt>
                <pt idx="17">
                  <v>0.7045312498854851</v>
                </pt>
                <pt idx="18">
                  <v>1.873392368917698</v>
                </pt>
                <pt idx="19">
                  <v>1.37073209527664</v>
                </pt>
                <pt idx="20">
                  <v>1.193873939937957</v>
                </pt>
                <pt idx="21">
                  <v>0.5926099707698882</v>
                </pt>
                <pt idx="22">
                  <v>-0.2546654810324957</v>
                </pt>
                <pt idx="23">
                  <v>-0.1580205199545012</v>
                </pt>
                <pt idx="24">
                  <v>-0.1840326699968421</v>
                </pt>
                <pt idx="25">
                  <v>-0.1836501214298875</v>
                </pt>
                <pt idx="26">
                  <v>-1.17858259570006</v>
                </pt>
                <pt idx="27">
                  <v>-1.073961882901571</v>
                </pt>
                <pt idx="28">
                  <v>-0.8191978254110222</v>
                </pt>
                <pt idx="29">
                  <v>-0.6582587272744863</v>
                </pt>
                <pt idx="30">
                  <v>-0.4681754776349639</v>
                </pt>
                <pt idx="31">
                  <v>-0.4006018326875558</v>
                </pt>
                <pt idx="32">
                  <v>0.4847168343196288</v>
                </pt>
                <pt idx="33">
                  <v>0.5206168733371028</v>
                </pt>
                <pt idx="34">
                  <v>0.5251839260626919</v>
                </pt>
                <pt idx="35">
                  <v>0.4351619547717296</v>
                </pt>
                <pt idx="36">
                  <v>-0.2058852739005264</v>
                </pt>
                <pt idx="37">
                  <v>-0.2469177358852517</v>
                </pt>
                <pt idx="38">
                  <v>-0.1785064965050716</v>
                </pt>
                <pt idx="39">
                  <v>-0.2688460939189346</v>
                </pt>
                <pt idx="40">
                  <v>-0.3568093769648171</v>
                </pt>
                <pt idx="41">
                  <v>-0.1348553977744935</v>
                </pt>
                <pt idx="42">
                  <v>-0.02270009948992168</v>
                </pt>
                <pt idx="43">
                  <v>0.2373000637348858</v>
                </pt>
                <pt idx="44">
                  <v>0.3227748142594573</v>
                </pt>
                <pt idx="45">
                  <v>0.1557737659344365</v>
                </pt>
                <pt idx="46">
                  <v>0.01766870170868596</v>
                </pt>
                <pt idx="47">
                  <v>0.02625498611546837</v>
                </pt>
                <pt idx="48">
                  <v>-0.1997471241907282</v>
                </pt>
                <pt idx="49">
                  <v>-0.1981194450576029</v>
                </pt>
                <pt idx="50">
                  <v>-0.3445317507970849</v>
                </pt>
                <pt idx="51">
                  <v>-0.4999112220239809</v>
                </pt>
                <pt idx="52">
                  <v>-0.3596333569037962</v>
                </pt>
                <pt idx="53">
                  <v>-0.2282656598075356</v>
                </pt>
                <pt idx="54">
                  <v>-0.09341413747121438</v>
                </pt>
                <pt idx="55">
                  <v>0.3905877565138861</v>
                </pt>
                <pt idx="56">
                  <v>0.1762965846503116</v>
                </pt>
                <pt idx="57">
                  <v>0.2920645514851748</v>
                </pt>
                <pt idx="58">
                  <v>0.01520199700901131</v>
                </pt>
                <pt idx="59">
                  <v>-0.3680426180868397</v>
                </pt>
                <pt idx="60">
                  <v>-0.2051581801842747</v>
                </pt>
                <pt idx="61">
                  <v>-0.005172746006455424</v>
                </pt>
                <pt idx="62">
                  <v>0.05292539671224154</v>
                </pt>
                <pt idx="63">
                  <v>0.1830037505166125</v>
                </pt>
                <pt idx="64">
                  <v>0.1192125217353253</v>
                </pt>
              </numCache>
            </numRef>
          </val>
          <smooth val="0"/>
        </ser>
        <ser>
          <idx val="4"/>
          <order val="4"/>
          <tx>
            <strRef>
              <f>Deviation_SD!$AL$5</f>
              <strCache>
                <ptCount val="1"/>
                <pt idx="0">
                  <v>exd_s_av3</v>
                </pt>
              </strCache>
            </strRef>
          </tx>
          <spPr>
            <a:ln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Deviation_SD!$AL$22:$AL$86</f>
              <numCache>
                <formatCode>0.00</formatCode>
                <ptCount val="65"/>
                <pt idx="0">
                  <v>-0.3710737741510977</v>
                </pt>
                <pt idx="1">
                  <v>-0.3685077996984302</v>
                </pt>
                <pt idx="2">
                  <v>-0.1977791400531279</v>
                </pt>
                <pt idx="3">
                  <v>-0.05794558913056256</v>
                </pt>
                <pt idx="4">
                  <v>-0.0734768633991342</v>
                </pt>
                <pt idx="5">
                  <v>-0.06271256501572225</v>
                </pt>
                <pt idx="6">
                  <v>0.3173277695619166</v>
                </pt>
                <pt idx="7">
                  <v>0.2058334114846463</v>
                </pt>
                <pt idx="8">
                  <v>0.2480013460605851</v>
                </pt>
                <pt idx="9">
                  <v>0.3510814533278488</v>
                </pt>
                <pt idx="10">
                  <v>0.3721251924944489</v>
                </pt>
                <pt idx="11">
                  <v>0.7714450438829551</v>
                </pt>
                <pt idx="12">
                  <v>0.8448798619717675</v>
                </pt>
                <pt idx="13">
                  <v>0.9142184201446166</v>
                </pt>
                <pt idx="14">
                  <v>0.9488311461687053</v>
                </pt>
                <pt idx="15">
                  <v>0.719313479095066</v>
                </pt>
                <pt idx="16">
                  <v>0.7060748197351056</v>
                </pt>
                <pt idx="17">
                  <v>0.879966100601958</v>
                </pt>
                <pt idx="18">
                  <v>1.925989944600631</v>
                </pt>
                <pt idx="19">
                  <v>1.570685539040033</v>
                </pt>
                <pt idx="20">
                  <v>1.43363799965894</v>
                </pt>
                <pt idx="21">
                  <v>0.9099896451754754</v>
                </pt>
                <pt idx="22">
                  <v>0.1452010824681104</v>
                </pt>
                <pt idx="23">
                  <v>0.1732487638725444</v>
                </pt>
                <pt idx="24">
                  <v>0.14918646955145</v>
                </pt>
                <pt idx="25">
                  <v>0.1530265110216883</v>
                </pt>
                <pt idx="26">
                  <v>-0.7389572090711422</v>
                </pt>
                <pt idx="27">
                  <v>-0.8310016200974737</v>
                </pt>
                <pt idx="28">
                  <v>-0.7854325328013168</v>
                </pt>
                <pt idx="29">
                  <v>-0.8217938046571128</v>
                </pt>
                <pt idx="30">
                  <v>-0.7705545379576516</v>
                </pt>
                <pt idx="31">
                  <v>-0.6534107579053884</v>
                </pt>
                <pt idx="32">
                  <v>0.1539393354658102</v>
                </pt>
                <pt idx="33">
                  <v>0.2382870721149854</v>
                </pt>
                <pt idx="34">
                  <v>0.2582605766488275</v>
                </pt>
                <pt idx="35">
                  <v>0.2462487504105607</v>
                </pt>
                <pt idx="36">
                  <v>-0.2278558204351602</v>
                </pt>
                <pt idx="37">
                  <v>-0.1927294706198514</v>
                </pt>
                <pt idx="38">
                  <v>-0.04913333880204528</v>
                </pt>
                <pt idx="39">
                  <v>-0.1120800111377659</v>
                </pt>
                <pt idx="40">
                  <v>-0.1811190168841695</v>
                </pt>
                <pt idx="41">
                  <v>-0.06128765850208099</v>
                </pt>
                <pt idx="42">
                  <v>-0.03830766313392168</v>
                </pt>
                <pt idx="43">
                  <v>0.1211209929716821</v>
                </pt>
                <pt idx="44">
                  <v>0.1339716516445834</v>
                </pt>
                <pt idx="45">
                  <v>0.04386163384221907</v>
                </pt>
                <pt idx="46">
                  <v>-0.0215194757315881</v>
                </pt>
                <pt idx="47">
                  <v>0.02678991884984989</v>
                </pt>
                <pt idx="48">
                  <v>-0.1250633556106807</v>
                </pt>
                <pt idx="49">
                  <v>-0.1170723296709978</v>
                </pt>
                <pt idx="50">
                  <v>-0.2567150668802744</v>
                </pt>
                <pt idx="51">
                  <v>-0.4088082826577573</v>
                </pt>
                <pt idx="52">
                  <v>-0.334396922375761</v>
                </pt>
                <pt idx="53">
                  <v>-0.2769151900634279</v>
                </pt>
                <pt idx="54">
                  <v>-0.1912575253529121</v>
                </pt>
                <pt idx="55">
                  <v>0.2194408843486741</v>
                </pt>
                <pt idx="56">
                  <v>0.04333027959975099</v>
                </pt>
                <pt idx="57">
                  <v>0.1772081834881458</v>
                </pt>
                <pt idx="58">
                  <v>-0.04011600744603772</v>
                </pt>
                <pt idx="59">
                  <v>-0.3507474909057503</v>
                </pt>
                <pt idx="60">
                  <v>-0.1709134629782891</v>
                </pt>
                <pt idx="61">
                  <v>0.02623667277937412</v>
                </pt>
                <pt idx="62">
                  <v>0.1011769264022706</v>
                </pt>
                <pt idx="63">
                  <v>0.2232133010646354</v>
                </pt>
                <pt idx="64">
                  <v>0.1172689898933274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27117416"/>
        <axId val="727118400"/>
      </lineChart>
      <dateAx>
        <axId val="727117416"/>
        <scaling>
          <orientation val="minMax"/>
        </scaling>
        <delete val="0"/>
        <axPos val="b"/>
        <numFmt formatCode="yyyy\-mm\-dd" sourceLinked="1"/>
        <majorTickMark val="none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7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27118400"/>
        <crosses val="autoZero"/>
        <lblOffset val="100"/>
        <baseTimeUnit val="months"/>
      </dateAx>
      <valAx>
        <axId val="727118400"/>
        <scaling>
          <orientation val="minMax"/>
          <min val="-4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7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27117416"/>
        <crosses val="autoZero"/>
        <crossBetween val="between"/>
        <majorUnit val="1"/>
      </valAx>
    </plotArea>
    <legend>
      <legendPos val="b"/>
      <layout>
        <manualLayout>
          <xMode val="edge"/>
          <yMode val="edge"/>
          <wMode val="factor"/>
          <hMode val="factor"/>
          <x val="0.01596223810379033"/>
          <y val="0.8835222674491795"/>
          <w val="0.9813104533068766"/>
          <h val="0.08384923751232133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7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solidFill>
      <a:schemeClr val="bg1"/>
    </a:solidFill>
    <a:ln w="9525" cap="flat" cmpd="sng" algn="ctr">
      <a:noFill/>
      <a:prstDash val="solid"/>
      <a:round/>
    </a:ln>
  </spPr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defRPr sz="9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900" b="0" i="0" baseline="0"/>
              <a:t>Сальдо консолидированного бюджета относительно ВВП</a:t>
            </a:r>
            <a:endParaRPr lang="ru-RU" sz="900"/>
          </a:p>
        </rich>
      </tx>
      <layout>
        <manualLayout>
          <xMode val="edge"/>
          <yMode val="edge"/>
          <wMode val="factor"/>
          <hMode val="factor"/>
          <x val="0.2219814087691221"/>
          <y val="0.02210473489990075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059010625747742"/>
          <y val="0.2282363227943009"/>
          <w val="0.8455695481382361"/>
          <h val="0.4614546999163306"/>
        </manualLayout>
      </layout>
      <lineChart>
        <grouping val="standard"/>
        <varyColors val="0"/>
        <ser>
          <idx val="0"/>
          <order val="0"/>
          <tx>
            <strRef>
              <f>Deviation_SD!$AM$5</f>
              <strCache>
                <ptCount val="1"/>
                <pt idx="0">
                  <v>bb_gdp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Deviation_SD!$AM$22:$AM$86</f>
              <numCache>
                <formatCode>0.00</formatCode>
                <ptCount val="65"/>
                <pt idx="0">
                  <v>0.01825780308918074</v>
                </pt>
                <pt idx="1">
                  <v>-0.02182716004747623</v>
                </pt>
                <pt idx="2">
                  <v>0.1980297502485792</v>
                </pt>
                <pt idx="3">
                  <v>0.2482756239166634</v>
                </pt>
                <pt idx="4">
                  <v>-0.02064859011055185</v>
                </pt>
                <pt idx="5">
                  <v>-0.526079117151065</v>
                </pt>
                <pt idx="6">
                  <v>-0.7408538120008458</v>
                </pt>
                <pt idx="7">
                  <v>-1.029763492649078</v>
                </pt>
                <pt idx="8">
                  <v>-1.150871788345689</v>
                </pt>
                <pt idx="9">
                  <v>-0.8530199439673911</v>
                </pt>
                <pt idx="10">
                  <v>-0.7549667349938889</v>
                </pt>
                <pt idx="11">
                  <v>-0.326009416367272</v>
                </pt>
                <pt idx="12">
                  <v>-0.262895823343189</v>
                </pt>
                <pt idx="13">
                  <v>-0.2981562714537059</v>
                </pt>
                <pt idx="14">
                  <v>-0.1864810987200023</v>
                </pt>
                <pt idx="15">
                  <v>0.004570234889216907</v>
                </pt>
                <pt idx="16">
                  <v>0.1502395902074478</v>
                </pt>
                <pt idx="17">
                  <v>0.2462981516570708</v>
                </pt>
                <pt idx="18">
                  <v>0.1412725755318388</v>
                </pt>
                <pt idx="19">
                  <v>-0.2842282561383327</v>
                </pt>
                <pt idx="20">
                  <v>-0.4597418142569349</v>
                </pt>
                <pt idx="21">
                  <v>-0.8078041993229463</v>
                </pt>
                <pt idx="22">
                  <v>-0.5911847317379736</v>
                </pt>
                <pt idx="23">
                  <v>-0.4057390518764529</v>
                </pt>
                <pt idx="24">
                  <v>-0.3746193237725143</v>
                </pt>
                <pt idx="25">
                  <v>-0.1333740480284392</v>
                </pt>
                <pt idx="26">
                  <v>-0.4685952886671514</v>
                </pt>
                <pt idx="27">
                  <v>-0.4896595387520735</v>
                </pt>
                <pt idx="28">
                  <v>-0.4027013902886258</v>
                </pt>
                <pt idx="29">
                  <v>-0.6268460867917379</v>
                </pt>
                <pt idx="30">
                  <v>-0.9899766537425168</v>
                </pt>
                <pt idx="31">
                  <v>-1.015781704140031</v>
                </pt>
                <pt idx="32">
                  <v>-1.374854929193723</v>
                </pt>
                <pt idx="33">
                  <v>-1.596007967605901</v>
                </pt>
                <pt idx="34">
                  <v>-1.275734395854158</v>
                </pt>
                <pt idx="35">
                  <v>-1.380680635916416</v>
                </pt>
                <pt idx="36">
                  <v>-1.242429536780866</v>
                </pt>
                <pt idx="37">
                  <v>-1.110901924259243</v>
                </pt>
                <pt idx="38">
                  <v>-1.115218494687106</v>
                </pt>
                <pt idx="39">
                  <v>-0.8875709671562924</v>
                </pt>
                <pt idx="40">
                  <v>-0.6954583866075639</v>
                </pt>
                <pt idx="41">
                  <v>0.1420095276525614</v>
                </pt>
                <pt idx="42">
                  <v>0.3477495040508709</v>
                </pt>
                <pt idx="43">
                  <v>0.3812521940679764</v>
                </pt>
                <pt idx="44">
                  <v>0.7431967296506472</v>
                </pt>
                <pt idx="45">
                  <v>0.1164347184846132</v>
                </pt>
                <pt idx="46">
                  <v>-0.06069435781497189</v>
                </pt>
                <pt idx="47">
                  <v>-0.169808665778636</v>
                </pt>
                <pt idx="48">
                  <v>-0.06159570812602564</v>
                </pt>
                <pt idx="49">
                  <v>0.3776477509409826</v>
                </pt>
                <pt idx="50">
                  <v>0.0160730464063145</v>
                </pt>
                <pt idx="51">
                  <v>0.2292533222516507</v>
                </pt>
                <pt idx="52">
                  <v>0.2936141669982186</v>
                </pt>
                <pt idx="53">
                  <v>-0.2683809500296312</v>
                </pt>
                <pt idx="54">
                  <v>-0.3387755027180188</v>
                </pt>
                <pt idx="55">
                  <v>-0.5723939695493725</v>
                </pt>
                <pt idx="56">
                  <v>-0.6730461280458547</v>
                </pt>
                <pt idx="57">
                  <v>-0.3384374208153487</v>
                </pt>
                <pt idx="58">
                  <v>-0.4942859205692256</v>
                </pt>
                <pt idx="59">
                  <v>-0.4971097779553975</v>
                </pt>
                <pt idx="60">
                  <v>-0.4787251806282944</v>
                </pt>
                <pt idx="61">
                  <v>-0.5502926630067085</v>
                </pt>
                <pt idx="62">
                  <v>-0.3800742480007822</v>
                </pt>
                <pt idx="63">
                  <v>-0.2374291783335946</v>
                </pt>
                <pt idx="64">
                  <v>-0.2148045540536645</v>
                </pt>
              </numCache>
            </numRef>
          </val>
          <smooth val="0"/>
        </ser>
        <ser>
          <idx val="1"/>
          <order val="1"/>
          <tx>
            <strRef>
              <f>Deviation_SD!$AN$5</f>
              <strCache>
                <ptCount val="1"/>
                <pt idx="0">
                  <v>bb_gdp1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Deviation_SD!$AN$22:$AN$86</f>
              <numCache>
                <formatCode>0.00</formatCode>
                <ptCount val="65"/>
                <pt idx="0">
                  <v>0.3287534876713901</v>
                </pt>
                <pt idx="1">
                  <v>-0.06427402892147835</v>
                </pt>
                <pt idx="2">
                  <v>0.02884860442787347</v>
                </pt>
                <pt idx="3">
                  <v>0.4405989854028232</v>
                </pt>
                <pt idx="4">
                  <v>-0.03053161053707057</v>
                </pt>
                <pt idx="5">
                  <v>-0.395709370637528</v>
                </pt>
                <pt idx="6">
                  <v>-0.7367844949054264</v>
                </pt>
                <pt idx="7">
                  <v>-1.002935233749582</v>
                </pt>
                <pt idx="8">
                  <v>-0.8869373815076409</v>
                </pt>
                <pt idx="9">
                  <v>-0.2565652884290625</v>
                </pt>
                <pt idx="10">
                  <v>-0.0110750504718135</v>
                </pt>
                <pt idx="11">
                  <v>0.5522677278411827</v>
                </pt>
                <pt idx="12">
                  <v>0.696834995486605</v>
                </pt>
                <pt idx="13">
                  <v>0.4354266781654009</v>
                </pt>
                <pt idx="14">
                  <v>0.4461164506699211</v>
                </pt>
                <pt idx="15">
                  <v>0.2594208389307364</v>
                </pt>
                <pt idx="16">
                  <v>0.3242060882088223</v>
                </pt>
                <pt idx="17">
                  <v>0.4272580682631336</v>
                </pt>
                <pt idx="18">
                  <v>0.2572031666615626</v>
                </pt>
                <pt idx="19">
                  <v>-0.2266332683803601</v>
                </pt>
                <pt idx="20">
                  <v>-0.4786800611496892</v>
                </pt>
                <pt idx="21">
                  <v>-0.8272019017829066</v>
                </pt>
                <pt idx="22">
                  <v>-0.5747924544377205</v>
                </pt>
                <pt idx="23">
                  <v>-0.09535503001988159</v>
                </pt>
                <pt idx="24">
                  <v>0.06679947724976176</v>
                </pt>
                <pt idx="25">
                  <v>0.5292559145246853</v>
                </pt>
                <pt idx="26">
                  <v>0.09620149348155078</v>
                </pt>
                <pt idx="27">
                  <v>-0.06585621052597086</v>
                </pt>
                <pt idx="28">
                  <v>-0.02203727067539938</v>
                </pt>
                <pt idx="29">
                  <v>-0.3872498800160891</v>
                </pt>
                <pt idx="30">
                  <v>-0.409151593622322</v>
                </pt>
                <pt idx="31">
                  <v>-0.4128719145483717</v>
                </pt>
                <pt idx="32">
                  <v>-0.7628929538574988</v>
                </pt>
                <pt idx="33">
                  <v>-0.7605452641288839</v>
                </pt>
                <pt idx="34">
                  <v>-0.2242470548558908</v>
                </pt>
                <pt idx="35">
                  <v>-0.2863527341944984</v>
                </pt>
                <pt idx="36">
                  <v>0.1039202088359056</v>
                </pt>
                <pt idx="37">
                  <v>0.3806847041462904</v>
                </pt>
                <pt idx="38">
                  <v>0.1259641045182527</v>
                </pt>
                <pt idx="39">
                  <v>0.386965511846815</v>
                </pt>
                <pt idx="40">
                  <v>0.4292330580831017</v>
                </pt>
                <pt idx="41">
                  <v>0.9832164161511056</v>
                </pt>
                <pt idx="42">
                  <v>1.148057311207466</v>
                </pt>
                <pt idx="43">
                  <v>0.995703055794448</v>
                </pt>
                <pt idx="44">
                  <v>1.128977890118624</v>
                </pt>
                <pt idx="45">
                  <v>-0.02006971216959428</v>
                </pt>
                <pt idx="46">
                  <v>-0.3205244149136567</v>
                </pt>
                <pt idx="47">
                  <v>-0.4324424386677827</v>
                </pt>
                <pt idx="48">
                  <v>-0.6315571106073603</v>
                </pt>
                <pt idx="49">
                  <v>0.2049857084727109</v>
                </pt>
                <pt idx="50">
                  <v>0.06024286228727807</v>
                </pt>
                <pt idx="51">
                  <v>0.3131620331944204</v>
                </pt>
                <pt idx="52">
                  <v>0.2787492921931771</v>
                </pt>
                <pt idx="53">
                  <v>-0.5069680088962853</v>
                </pt>
                <pt idx="54">
                  <v>-0.2784657433005936</v>
                </pt>
                <pt idx="55">
                  <v>-0.6290889719773466</v>
                </pt>
                <pt idx="56">
                  <v>-0.7585821563675098</v>
                </pt>
                <pt idx="57">
                  <v>-0.054976488585066</v>
                </pt>
                <pt idx="58">
                  <v>-0.1220360748403372</v>
                </pt>
                <pt idx="59">
                  <v>0.0590789180982534</v>
                </pt>
                <pt idx="60">
                  <v>0.1524924568383866</v>
                </pt>
                <pt idx="61">
                  <v>-0.1662524128519787</v>
                </pt>
                <pt idx="62">
                  <v>0.0896270771681582</v>
                </pt>
                <pt idx="63">
                  <v>0.2037831389556905</v>
                </pt>
                <pt idx="64">
                  <v>0.207110480324134</v>
                </pt>
              </numCache>
            </numRef>
          </val>
          <smooth val="0"/>
        </ser>
        <ser>
          <idx val="2"/>
          <order val="2"/>
          <tx>
            <strRef>
              <f>Deviation_SD!$AO$5</f>
              <strCache>
                <ptCount val="1"/>
                <pt idx="0">
                  <v>bb_gdp2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Deviation_SD!$AO$22:$AO$86</f>
              <numCache>
                <formatCode>0.00</formatCode>
                <ptCount val="65"/>
                <pt idx="0">
                  <v>0.3130625917902826</v>
                </pt>
                <pt idx="1">
                  <v>0.4437918184570116</v>
                </pt>
                <pt idx="2">
                  <v>0.7160158886718958</v>
                </pt>
                <pt idx="3">
                  <v>0.610151969244114</v>
                </pt>
                <pt idx="4">
                  <v>0.2456848199395292</v>
                </pt>
                <pt idx="5">
                  <v>-0.3789491897166442</v>
                </pt>
                <pt idx="6">
                  <v>-0.5832204647493716</v>
                </pt>
                <pt idx="7">
                  <v>-0.4632707742575087</v>
                </pt>
                <pt idx="8">
                  <v>-0.7558406052453426</v>
                </pt>
                <pt idx="9">
                  <v>-0.5373649435239605</v>
                </pt>
                <pt idx="10">
                  <v>-0.6161108618577624</v>
                </pt>
                <pt idx="11">
                  <v>-0.371274455468042</v>
                </pt>
                <pt idx="12">
                  <v>-0.1566124890918615</v>
                </pt>
                <pt idx="13">
                  <v>0.147351793080271</v>
                </pt>
                <pt idx="14">
                  <v>0.3584011645992439</v>
                </pt>
                <pt idx="15">
                  <v>0.6686952724280341</v>
                </pt>
                <pt idx="16">
                  <v>0.8411666414586604</v>
                </pt>
                <pt idx="17">
                  <v>0.7107075732589899</v>
                </pt>
                <pt idx="18">
                  <v>0.5794174297487809</v>
                </pt>
                <pt idx="19">
                  <v>0.02701146020650809</v>
                </pt>
                <pt idx="20">
                  <v>-0.1272606510025655</v>
                </pt>
                <pt idx="21">
                  <v>-0.3294866549309996</v>
                </pt>
                <pt idx="22">
                  <v>-0.2616403187176818</v>
                </pt>
                <pt idx="23">
                  <v>-0.2652643658314464</v>
                </pt>
                <pt idx="24">
                  <v>-0.3393205356509256</v>
                </pt>
                <pt idx="25">
                  <v>-0.2454575329437405</v>
                </pt>
                <pt idx="26">
                  <v>-0.3942787001311895</v>
                </pt>
                <pt idx="27">
                  <v>-0.1328110297820196</v>
                </pt>
                <pt idx="28">
                  <v>0.03687655234416284</v>
                </pt>
                <pt idx="29">
                  <v>0.1169891603990445</v>
                </pt>
                <pt idx="30">
                  <v>-0.2578184060202698</v>
                </pt>
                <pt idx="31">
                  <v>-0.3943917003644363</v>
                </pt>
                <pt idx="32">
                  <v>-0.6466508853493719</v>
                </pt>
                <pt idx="33">
                  <v>-0.9455907327339113</v>
                </pt>
                <pt idx="34">
                  <v>-0.5218142759902923</v>
                </pt>
                <pt idx="35">
                  <v>-0.5760438622894815</v>
                </pt>
                <pt idx="36">
                  <v>-0.5428830431939358</v>
                </pt>
                <pt idx="37">
                  <v>-0.3129414051653162</v>
                </pt>
                <pt idx="38">
                  <v>-0.08096867067184554</v>
                </pt>
                <pt idx="39">
                  <v>0.08288805770608107</v>
                </pt>
                <pt idx="40">
                  <v>0.4392288910587572</v>
                </pt>
                <pt idx="41">
                  <v>1.123625819727045</v>
                </pt>
                <pt idx="42">
                  <v>1.049580014482634</v>
                </pt>
                <pt idx="43">
                  <v>1.139087049351476</v>
                </pt>
                <pt idx="44">
                  <v>1.283704535413133</v>
                </pt>
                <pt idx="45">
                  <v>0.7934713804932224</v>
                </pt>
                <pt idx="46">
                  <v>0.6817483431251076</v>
                </pt>
                <pt idx="47">
                  <v>0.464032299130973</v>
                </pt>
                <pt idx="48">
                  <v>0.4097913131750627</v>
                </pt>
                <pt idx="49">
                  <v>0.1523397736350765</v>
                </pt>
                <pt idx="50">
                  <v>-0.2144283545026142</v>
                </pt>
                <pt idx="51">
                  <v>-0.09826705278177118</v>
                </pt>
                <pt idx="52">
                  <v>-0.2906544824050792</v>
                </pt>
                <pt idx="53">
                  <v>-0.2487827781698065</v>
                </pt>
                <pt idx="54">
                  <v>-0.1797790616289827</v>
                </pt>
                <pt idx="55">
                  <v>-0.2602708218953716</v>
                </pt>
                <pt idx="56">
                  <v>-0.3953018201365649</v>
                </pt>
                <pt idx="57">
                  <v>-0.4629480372344784</v>
                </pt>
                <pt idx="58">
                  <v>-0.3299463406941484</v>
                </pt>
                <pt idx="59">
                  <v>-0.4695927032473572</v>
                </pt>
                <pt idx="60">
                  <v>-0.4993162813100667</v>
                </pt>
                <pt idx="61">
                  <v>-0.1822555183988051</v>
                </pt>
                <pt idx="62">
                  <v>-0.02669957963521115</v>
                </pt>
                <pt idx="63">
                  <v>0.2165542574435108</v>
                </pt>
                <pt idx="64">
                  <v>0.2962525208259861</v>
                </pt>
              </numCache>
            </numRef>
          </val>
          <smooth val="0"/>
        </ser>
        <ser>
          <idx val="3"/>
          <order val="3"/>
          <tx>
            <strRef>
              <f>Deviation_SD!$AP$5</f>
              <strCache>
                <ptCount val="1"/>
                <pt idx="0">
                  <v>bb_gdp_av2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Deviation_SD!$AP$22:$AP$86</f>
              <numCache>
                <formatCode>0.00</formatCode>
                <ptCount val="65"/>
                <pt idx="0">
                  <v>0.4175875865221019</v>
                </pt>
                <pt idx="1">
                  <v>0.319243025138484</v>
                </pt>
                <pt idx="2">
                  <v>0.4502677198112119</v>
                </pt>
                <pt idx="3">
                  <v>0.3640629727443432</v>
                </pt>
                <pt idx="4">
                  <v>-0.01410169084062914</v>
                </pt>
                <pt idx="5">
                  <v>-0.5545558984186156</v>
                </pt>
                <pt idx="6">
                  <v>-0.6928673949882874</v>
                </pt>
                <pt idx="7">
                  <v>-0.8650364010615044</v>
                </pt>
                <pt idx="8">
                  <v>-0.8958599226686605</v>
                </pt>
                <pt idx="9">
                  <v>-0.4618874660167725</v>
                </pt>
                <pt idx="10">
                  <v>-0.2644930696394108</v>
                </pt>
                <pt idx="11">
                  <v>0.2712190168077303</v>
                </pt>
                <pt idx="12">
                  <v>0.4030736665911251</v>
                </pt>
                <pt idx="13">
                  <v>0.3982065071697021</v>
                </pt>
                <pt idx="14">
                  <v>0.4795139058848616</v>
                </pt>
                <pt idx="15">
                  <v>0.5985207379828852</v>
                </pt>
                <pt idx="16">
                  <v>0.6145287464444324</v>
                </pt>
                <pt idx="17">
                  <v>0.5494510538840719</v>
                </pt>
                <pt idx="18">
                  <v>0.3124824105838556</v>
                </pt>
                <pt idx="19">
                  <v>-0.2129166731643752</v>
                </pt>
                <pt idx="20">
                  <v>-0.389573797117067</v>
                </pt>
                <pt idx="21">
                  <v>-0.7057302620632544</v>
                </pt>
                <pt idx="22">
                  <v>-0.4317315367435944</v>
                </pt>
                <pt idx="23">
                  <v>-0.2010250030747788</v>
                </pt>
                <pt idx="24">
                  <v>-0.1204765090380796</v>
                </pt>
                <pt idx="25">
                  <v>0.1794506993145626</v>
                </pt>
                <pt idx="26">
                  <v>-0.101816941139994</v>
                </pt>
                <pt idx="27">
                  <v>-0.04789283599593885</v>
                </pt>
                <pt idx="28">
                  <v>0.06220208970166882</v>
                </pt>
                <pt idx="29">
                  <v>-0.1638529638955317</v>
                </pt>
                <pt idx="30">
                  <v>-0.540897202153572</v>
                </pt>
                <pt idx="31">
                  <v>-0.5173959158093406</v>
                </pt>
                <pt idx="32">
                  <v>-0.7938308237123065</v>
                </pt>
                <pt idx="33">
                  <v>-0.8877849748867891</v>
                </pt>
                <pt idx="34">
                  <v>-0.3960368125396476</v>
                </pt>
                <pt idx="35">
                  <v>-0.3999991718423316</v>
                </pt>
                <pt idx="36">
                  <v>-0.1560043670414255</v>
                </pt>
                <pt idx="37">
                  <v>0.07515178169145362</v>
                </pt>
                <pt idx="38">
                  <v>0.1300740159752456</v>
                </pt>
                <pt idx="39">
                  <v>0.3678856146896477</v>
                </pt>
                <pt idx="40">
                  <v>0.5399977201022232</v>
                </pt>
                <pt idx="41">
                  <v>1.275556733273372</v>
                </pt>
                <pt idx="42">
                  <v>1.264304344634882</v>
                </pt>
                <pt idx="43">
                  <v>1.098695517054781</v>
                </pt>
                <pt idx="44">
                  <v>1.237200321060086</v>
                </pt>
                <pt idx="45">
                  <v>0.3819823304863842</v>
                </pt>
                <pt idx="46">
                  <v>0.05889635020534831</v>
                </pt>
                <pt idx="47">
                  <v>-0.1765958712235587</v>
                </pt>
                <pt idx="48">
                  <v>-0.1585205667961258</v>
                </pt>
                <pt idx="49">
                  <v>0.193364890384901</v>
                </pt>
                <pt idx="50">
                  <v>-0.188839352852978</v>
                </pt>
                <pt idx="51">
                  <v>0.06005345205963103</v>
                </pt>
                <pt idx="52">
                  <v>0.1415327678472367</v>
                </pt>
                <pt idx="53">
                  <v>-0.3528490670119994</v>
                </pt>
                <pt idx="54">
                  <v>-0.3746385341737145</v>
                </pt>
                <pt idx="55">
                  <v>-0.5690087761641566</v>
                </pt>
                <pt idx="56">
                  <v>-0.6182018843852967</v>
                </pt>
                <pt idx="57">
                  <v>-0.2164387363149575</v>
                </pt>
                <pt idx="58">
                  <v>-0.2812793945026285</v>
                </pt>
                <pt idx="59">
                  <v>-0.221684450604734</v>
                </pt>
                <pt idx="60">
                  <v>-0.1149685753043329</v>
                </pt>
                <pt idx="61">
                  <v>-0.0905573046177382</v>
                </pt>
                <pt idx="62">
                  <v>0.1102630571005854</v>
                </pt>
                <pt idx="63">
                  <v>0.2547345685870316</v>
                </pt>
                <pt idx="64">
                  <v>0.2359229610330818</v>
                </pt>
              </numCache>
            </numRef>
          </val>
          <smooth val="0"/>
        </ser>
        <ser>
          <idx val="4"/>
          <order val="4"/>
          <tx>
            <strRef>
              <f>Deviation_SD!$AQ$5</f>
              <strCache>
                <ptCount val="1"/>
                <pt idx="0">
                  <v>bb_gdp_av3</v>
                </pt>
              </strCache>
            </strRef>
          </tx>
          <spPr>
            <a:ln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Deviation_SD!$A$22:$A$86</f>
              <numCache>
                <formatCode>yyyy\-mm\-dd</formatCode>
                <ptCount val="65"/>
                <pt idx="0">
                  <v>40179</v>
                </pt>
                <pt idx="1">
                  <v>40269</v>
                </pt>
                <pt idx="2">
                  <v>40360</v>
                </pt>
                <pt idx="3">
                  <v>40452</v>
                </pt>
                <pt idx="4">
                  <v>40544</v>
                </pt>
                <pt idx="5">
                  <v>40634</v>
                </pt>
                <pt idx="6">
                  <v>40725</v>
                </pt>
                <pt idx="7">
                  <v>40817</v>
                </pt>
                <pt idx="8">
                  <v>40909</v>
                </pt>
                <pt idx="9">
                  <v>41000</v>
                </pt>
                <pt idx="10">
                  <v>41091</v>
                </pt>
                <pt idx="11">
                  <v>41183</v>
                </pt>
                <pt idx="12">
                  <v>41275</v>
                </pt>
                <pt idx="13">
                  <v>41365</v>
                </pt>
                <pt idx="14">
                  <v>41456</v>
                </pt>
                <pt idx="15">
                  <v>41548</v>
                </pt>
                <pt idx="16">
                  <v>41640</v>
                </pt>
                <pt idx="17">
                  <v>41730</v>
                </pt>
                <pt idx="18">
                  <v>41821</v>
                </pt>
                <pt idx="19">
                  <v>41913</v>
                </pt>
                <pt idx="20">
                  <v>42005</v>
                </pt>
                <pt idx="21">
                  <v>42095</v>
                </pt>
                <pt idx="22">
                  <v>42186</v>
                </pt>
                <pt idx="23">
                  <v>42278</v>
                </pt>
                <pt idx="24">
                  <v>42370</v>
                </pt>
                <pt idx="25">
                  <v>42461</v>
                </pt>
                <pt idx="26">
                  <v>42552</v>
                </pt>
                <pt idx="27">
                  <v>42644</v>
                </pt>
                <pt idx="28">
                  <v>42736</v>
                </pt>
                <pt idx="29">
                  <v>42826</v>
                </pt>
                <pt idx="30">
                  <v>42917</v>
                </pt>
                <pt idx="31">
                  <v>43009</v>
                </pt>
                <pt idx="32">
                  <v>43101</v>
                </pt>
                <pt idx="33">
                  <v>43191</v>
                </pt>
                <pt idx="34">
                  <v>43282</v>
                </pt>
                <pt idx="35">
                  <v>43374</v>
                </pt>
                <pt idx="36">
                  <v>43466</v>
                </pt>
                <pt idx="37">
                  <v>43556</v>
                </pt>
                <pt idx="38">
                  <v>43647</v>
                </pt>
                <pt idx="39">
                  <v>43739</v>
                </pt>
                <pt idx="40">
                  <v>43831</v>
                </pt>
                <pt idx="41">
                  <v>43922</v>
                </pt>
                <pt idx="42">
                  <v>44013</v>
                </pt>
                <pt idx="43">
                  <v>44105</v>
                </pt>
                <pt idx="44">
                  <v>44197</v>
                </pt>
                <pt idx="45">
                  <v>44287</v>
                </pt>
                <pt idx="46">
                  <v>44378</v>
                </pt>
                <pt idx="47">
                  <v>44470</v>
                </pt>
                <pt idx="48">
                  <v>44562</v>
                </pt>
                <pt idx="49">
                  <v>44652</v>
                </pt>
                <pt idx="50">
                  <v>44743</v>
                </pt>
                <pt idx="51">
                  <v>44835</v>
                </pt>
                <pt idx="52">
                  <v>44927</v>
                </pt>
                <pt idx="53">
                  <v>45017</v>
                </pt>
                <pt idx="54">
                  <v>45108</v>
                </pt>
                <pt idx="55">
                  <v>45200</v>
                </pt>
                <pt idx="56">
                  <v>45292</v>
                </pt>
                <pt idx="57">
                  <v>45383</v>
                </pt>
                <pt idx="58">
                  <v>45474</v>
                </pt>
                <pt idx="59">
                  <v>45566</v>
                </pt>
                <pt idx="60">
                  <v>45658</v>
                </pt>
                <pt idx="61">
                  <v>45748</v>
                </pt>
                <pt idx="62">
                  <v>45839</v>
                </pt>
                <pt idx="63">
                  <v>45931</v>
                </pt>
                <pt idx="64">
                  <v>46023</v>
                </pt>
              </numCache>
            </numRef>
          </cat>
          <val>
            <numRef>
              <f>Deviation_SD!$AQ$22:$AQ$86</f>
              <numCache>
                <formatCode>0.00</formatCode>
                <ptCount val="65"/>
                <pt idx="0">
                  <v>0.5311498626005341</v>
                </pt>
                <pt idx="1">
                  <v>0.4104166558825438</v>
                </pt>
                <pt idx="2">
                  <v>0.5390657671584663</v>
                </pt>
                <pt idx="3">
                  <v>0.4948078094897108</v>
                </pt>
                <pt idx="4">
                  <v>0.1986460766682496</v>
                </pt>
                <pt idx="5">
                  <v>-0.302383391361453</v>
                </pt>
                <pt idx="6">
                  <v>-0.5147464276813236</v>
                </pt>
                <pt idx="7">
                  <v>-0.7945287146053457</v>
                </pt>
                <pt idx="8">
                  <v>-0.8806467712379779</v>
                </pt>
                <pt idx="9">
                  <v>-0.5478518146595274</v>
                </pt>
                <pt idx="10">
                  <v>-0.3870318159716157</v>
                </pt>
                <pt idx="11">
                  <v>0.07961470737367864</v>
                </pt>
                <pt idx="12">
                  <v>0.1388865618209037</v>
                </pt>
                <pt idx="13">
                  <v>0.1279608271384044</v>
                </pt>
                <pt idx="14">
                  <v>0.2523566885686874</v>
                </pt>
                <pt idx="15">
                  <v>0.4583806159714706</v>
                </pt>
                <pt idx="16">
                  <v>0.6116589760334996</v>
                </pt>
                <pt idx="17">
                  <v>0.6872165802083311</v>
                </pt>
                <pt idx="18">
                  <v>0.5307870938533328</v>
                </pt>
                <pt idx="19">
                  <v>0.06995746554458951</v>
                </pt>
                <pt idx="20">
                  <v>-0.1495009466017334</v>
                </pt>
                <pt idx="21">
                  <v>-0.5241187819065752</v>
                </pt>
                <pt idx="22">
                  <v>-0.3275535740140287</v>
                </pt>
                <pt idx="23">
                  <v>-0.1689014147003542</v>
                </pt>
                <pt idx="24">
                  <v>-0.1340270433934174</v>
                </pt>
                <pt idx="25">
                  <v>0.09735732448896504</v>
                </pt>
                <pt idx="26">
                  <v>-0.2248957053382938</v>
                </pt>
                <pt idx="27">
                  <v>-0.2226375385202594</v>
                </pt>
                <pt idx="28">
                  <v>-0.1042984803883621</v>
                </pt>
                <pt idx="29">
                  <v>-0.2687400627371286</v>
                </pt>
                <pt idx="30">
                  <v>-0.5368911295993045</v>
                </pt>
                <pt idx="31">
                  <v>-0.4736640490499854</v>
                </pt>
                <pt idx="32">
                  <v>-0.748964637634017</v>
                </pt>
                <pt idx="33">
                  <v>-0.8827717495782199</v>
                </pt>
                <pt idx="34">
                  <v>-0.5263459551597401</v>
                </pt>
                <pt idx="35">
                  <v>-0.5705812995256917</v>
                </pt>
                <pt idx="36">
                  <v>-0.3678797702312941</v>
                </pt>
                <pt idx="37">
                  <v>-0.1796318015485378</v>
                </pt>
                <pt idx="38">
                  <v>-0.1083903769836582</v>
                </pt>
                <pt idx="39">
                  <v>0.1516010029864812</v>
                </pt>
                <pt idx="40">
                  <v>0.3596362460463023</v>
                </pt>
                <pt idx="41">
                  <v>1.155555232693671</v>
                </pt>
                <pt idx="42">
                  <v>1.286384162949384</v>
                </pt>
                <pt idx="43">
                  <v>1.214375872664849</v>
                </pt>
                <pt idx="44">
                  <v>1.441114626464356</v>
                </pt>
                <pt idx="45">
                  <v>0.699310041241251</v>
                </pt>
                <pt idx="46">
                  <v>0.4039493255377858</v>
                </pt>
                <pt idx="47">
                  <v>0.2096779112804432</v>
                </pt>
                <pt idx="48">
                  <v>0.216425781106795</v>
                </pt>
                <pt idx="49">
                  <v>0.5311870807324296</v>
                </pt>
                <pt idx="50">
                  <v>0.08272370764663646</v>
                </pt>
                <pt idx="51">
                  <v>0.1925316256052827</v>
                </pt>
                <pt idx="52">
                  <v>0.1660203535695786</v>
                </pt>
                <pt idx="53">
                  <v>-0.4290899995012719</v>
                </pt>
                <pt idx="54">
                  <v>-0.4625158674217669</v>
                </pt>
                <pt idx="55">
                  <v>-0.6254260971252611</v>
                </pt>
                <pt idx="56">
                  <v>-0.6449870334755596</v>
                </pt>
                <pt idx="57">
                  <v>-0.226990884048559</v>
                </pt>
                <pt idx="58">
                  <v>-0.3359090308059954</v>
                </pt>
                <pt idx="59">
                  <v>-0.3051488707830444</v>
                </pt>
                <pt idx="60">
                  <v>-0.2629828210800084</v>
                </pt>
                <pt idx="61">
                  <v>-0.2969732587349609</v>
                </pt>
                <pt idx="62">
                  <v>-0.06836745902629185</v>
                </pt>
                <pt idx="63">
                  <v>0.09384950532253657</v>
                </pt>
                <pt idx="64">
                  <v>0.1506575452154573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27117416"/>
        <axId val="727118400"/>
      </lineChart>
      <dateAx>
        <axId val="727117416"/>
        <scaling>
          <orientation val="minMax"/>
        </scaling>
        <delete val="0"/>
        <axPos val="b"/>
        <numFmt formatCode="yyyy\-mm\-dd" sourceLinked="1"/>
        <majorTickMark val="none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7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27118400"/>
        <crosses val="autoZero"/>
        <lblOffset val="100"/>
        <baseTimeUnit val="months"/>
      </dateAx>
      <valAx>
        <axId val="727118400"/>
        <scaling>
          <orientation val="minMax"/>
          <max val="2"/>
          <min val="-4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7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27117416"/>
        <crosses val="autoZero"/>
        <crossBetween val="between"/>
        <majorUnit val="1"/>
      </valAx>
    </plotArea>
    <legend>
      <legendPos val="b"/>
      <layout>
        <manualLayout>
          <xMode val="edge"/>
          <yMode val="edge"/>
          <wMode val="factor"/>
          <hMode val="factor"/>
          <x val="0"/>
          <y val="0.878084184942763"/>
          <w val="0.9813104533068766"/>
          <h val="0.08384923751232133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7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solidFill>
      <a:schemeClr val="bg1"/>
    </a:solidFill>
    <a:ln w="9525" cap="flat" cmpd="sng" algn="ctr">
      <a:noFill/>
      <a:prstDash val="solid"/>
      <a:round/>
    </a:ln>
  </spPr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None</a:t>
            </a:r>
            <a:endParaRPr lang="ru-BY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Calculation!$C$22:$C$81</f>
              <numCache>
                <formatCode>0.0000</formatCode>
                <ptCount val="60"/>
                <pt idx="0">
                  <v>0.05387537022785035</v>
                </pt>
                <pt idx="1">
                  <v>0.05590417784414289</v>
                </pt>
                <pt idx="2">
                  <v>0.0659139065754898</v>
                </pt>
                <pt idx="3">
                  <v>0.05972886956716505</v>
                </pt>
                <pt idx="4">
                  <v>0.04811271373782328</v>
                </pt>
                <pt idx="5">
                  <v>0.05579782269716393</v>
                </pt>
                <pt idx="6">
                  <v>0.05788164405658796</v>
                </pt>
                <pt idx="7">
                  <v>0.04987036650153221</v>
                </pt>
                <pt idx="8">
                  <v>0.04286471466511177</v>
                </pt>
                <pt idx="9">
                  <v>0.02592033300175938</v>
                </pt>
                <pt idx="10">
                  <v>0.02217402512962852</v>
                </pt>
                <pt idx="11">
                  <v>0.02326938853686073</v>
                </pt>
                <pt idx="12">
                  <v>0.02356433739971967</v>
                </pt>
                <pt idx="13">
                  <v>0.0189171590960288</v>
                </pt>
                <pt idx="14">
                  <v>0.01581325484486711</v>
                </pt>
                <pt idx="15">
                  <v>0.02131796330919397</v>
                </pt>
                <pt idx="16">
                  <v>0.024689883464371</v>
                </pt>
                <pt idx="17">
                  <v>0.03360941369855987</v>
                </pt>
                <pt idx="18">
                  <v>0.03610536840659043</v>
                </pt>
                <pt idx="19">
                  <v>0.04798332922849763</v>
                </pt>
                <pt idx="20">
                  <v>0.04225468802693942</v>
                </pt>
                <pt idx="21">
                  <v>0.05175782458815179</v>
                </pt>
                <pt idx="22">
                  <v>0.06563441220596913</v>
                </pt>
                <pt idx="23">
                  <v>0.06615379263769432</v>
                </pt>
                <pt idx="24">
                  <v>0.07903213389232955</v>
                </pt>
                <pt idx="25">
                  <v>0.07245269777166613</v>
                </pt>
                <pt idx="26">
                  <v>0.074388858804788</v>
                </pt>
                <pt idx="27">
                  <v>0.07300715641654029</v>
                </pt>
                <pt idx="28">
                  <v>0.06713898939310911</v>
                </pt>
                <pt idx="29">
                  <v>0.06499302210336075</v>
                </pt>
                <pt idx="30">
                  <v>0.0637172708990288</v>
                </pt>
                <pt idx="31">
                  <v>0.066388832105479</v>
                </pt>
                <pt idx="32">
                  <v>0.0724739378983433</v>
                </pt>
                <pt idx="33">
                  <v>0.0764294567182329</v>
                </pt>
                <pt idx="34">
                  <v>0.07680743888190253</v>
                </pt>
                <pt idx="35">
                  <v>0.08182799370890932</v>
                </pt>
                <pt idx="36">
                  <v>0.07340619434705799</v>
                </pt>
                <pt idx="37">
                  <v>0.06949161578427714</v>
                </pt>
                <pt idx="38">
                  <v>0.05922716031478958</v>
                </pt>
                <pt idx="39">
                  <v>0.06061838183252973</v>
                </pt>
                <pt idx="40">
                  <v>0.06419367304175744</v>
                </pt>
                <pt idx="41">
                  <v>0.0545342787174157</v>
                </pt>
                <pt idx="42">
                  <v>0.04831830327330508</v>
                </pt>
                <pt idx="43">
                  <v>0.04351147736250118</v>
                </pt>
                <pt idx="44">
                  <v>0.03369371413146221</v>
                </pt>
                <pt idx="45">
                  <v>0.03625931865840683</v>
                </pt>
                <pt idx="46">
                  <v>0.04126901405937695</v>
                </pt>
                <pt idx="47">
                  <v>0.03878505670730973</v>
                </pt>
                <pt idx="48">
                  <v>0.042560216287099</v>
                </pt>
                <pt idx="49">
                  <v>0.04480502204843866</v>
                </pt>
                <pt idx="50">
                  <v>0.04284050214868264</v>
                </pt>
                <pt idx="51">
                  <v>0.04698121371253791</v>
                </pt>
                <pt idx="52">
                  <v>0.05335317927516947</v>
                </pt>
                <pt idx="53">
                  <v>0.05011269619537267</v>
                </pt>
                <pt idx="54">
                  <v>0.04573120421022685</v>
                </pt>
                <pt idx="55">
                  <v>0.04757824783491051</v>
                </pt>
                <pt idx="56">
                  <v>0.04465379095902635</v>
                </pt>
                <pt idx="57">
                  <v>0.04886947449658018</v>
                </pt>
                <pt idx="58">
                  <v>0.05299429615524943</v>
                </pt>
                <pt idx="59">
                  <v>0.04437004638685836</v>
                </pt>
              </numCache>
            </numRef>
          </val>
          <smooth val="0"/>
        </ser>
        <ser>
          <idx val="1"/>
          <order val="1"/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Calculation!$D$22:$D$81</f>
              <numCache>
                <formatCode>0.0000</formatCode>
                <ptCount val="60"/>
                <pt idx="0">
                  <v>0.07268066940442781</v>
                </pt>
                <pt idx="1">
                  <v>0.06396522708619308</v>
                </pt>
                <pt idx="2">
                  <v>0.05942879149263602</v>
                </pt>
                <pt idx="3">
                  <v>0.03373672884423104</v>
                </pt>
                <pt idx="4">
                  <v>-0.009347803333993194</v>
                </pt>
                <pt idx="5">
                  <v>-0.0001725223426448802</v>
                </pt>
                <pt idx="6">
                  <v>-0.01302940935029541</v>
                </pt>
                <pt idx="7">
                  <v>-0.01599181696576748</v>
                </pt>
                <pt idx="8">
                  <v>-0.008512959832602387</v>
                </pt>
                <pt idx="9">
                  <v>-0.04846530385237978</v>
                </pt>
                <pt idx="10">
                  <v>-0.05743551621731682</v>
                </pt>
                <pt idx="11">
                  <v>-0.04315036145846474</v>
                </pt>
                <pt idx="12">
                  <v>-0.03130780591572471</v>
                </pt>
                <pt idx="13">
                  <v>-0.01136008930912607</v>
                </pt>
                <pt idx="14">
                  <v>-0.01031802429618328</v>
                </pt>
                <pt idx="15">
                  <v>-0.003165473992904289</v>
                </pt>
                <pt idx="16">
                  <v>0.001825786991454218</v>
                </pt>
                <pt idx="17">
                  <v>0.02383281161997073</v>
                </pt>
                <pt idx="18">
                  <v>0.03291653547878835</v>
                </pt>
                <pt idx="19">
                  <v>0.04325480737468781</v>
                </pt>
                <pt idx="20">
                  <v>0.02849247372892512</v>
                </pt>
                <pt idx="21">
                  <v>0.02943916162866911</v>
                </pt>
                <pt idx="22">
                  <v>0.04790007777752632</v>
                </pt>
                <pt idx="23">
                  <v>0.02947493377935015</v>
                </pt>
                <pt idx="24">
                  <v>0.05965796012155385</v>
                </pt>
                <pt idx="25">
                  <v>0.03356986571665547</v>
                </pt>
                <pt idx="26">
                  <v>0.01420088899023027</v>
                </pt>
                <pt idx="27">
                  <v>0.01111707714867866</v>
                </pt>
                <pt idx="28">
                  <v>-0.01929227882902206</v>
                </pt>
                <pt idx="29">
                  <v>-0.01210059652234547</v>
                </pt>
                <pt idx="30">
                  <v>-0.01731074985592082</v>
                </pt>
                <pt idx="31">
                  <v>-0.01073581154237713</v>
                </pt>
                <pt idx="32">
                  <v>0.008654003498250509</v>
                </pt>
                <pt idx="33">
                  <v>0.01855143401431429</v>
                </pt>
                <pt idx="34">
                  <v>0.02123401180073866</v>
                </pt>
                <pt idx="35">
                  <v>0.02504439516052569</v>
                </pt>
                <pt idx="36">
                  <v>0.001512245256074738</v>
                </pt>
                <pt idx="37">
                  <v>-0.01125411044808633</v>
                </pt>
                <pt idx="38">
                  <v>-0.02851757464401902</v>
                </pt>
                <pt idx="39">
                  <v>-0.03440484105791141</v>
                </pt>
                <pt idx="40">
                  <v>-0.01494394772987193</v>
                </pt>
                <pt idx="41">
                  <v>-0.02426281100448009</v>
                </pt>
                <pt idx="42">
                  <v>-0.0176956322832918</v>
                </pt>
                <pt idx="43">
                  <v>-0.02774969823656536</v>
                </pt>
                <pt idx="44">
                  <v>-0.04947503257945784</v>
                </pt>
                <pt idx="45">
                  <v>-0.02964444138980654</v>
                </pt>
                <pt idx="46">
                  <v>-0.01143489453696904</v>
                </pt>
                <pt idx="47">
                  <v>-0.007666889538690071</v>
                </pt>
                <pt idx="48">
                  <v>0.01438265816377512</v>
                </pt>
                <pt idx="49">
                  <v>0.01386227945026813</v>
                </pt>
                <pt idx="50">
                  <v>0.002549164890526617</v>
                </pt>
                <pt idx="51">
                  <v>0.01329526823471025</v>
                </pt>
                <pt idx="52">
                  <v>0.01750763655237005</v>
                </pt>
                <pt idx="53">
                  <v>0.008609760823384818</v>
                </pt>
                <pt idx="54">
                  <v>0.004689107257260275</v>
                </pt>
                <pt idx="55">
                  <v>0.0009684695885102237</v>
                </pt>
                <pt idx="56">
                  <v>-0.0141115770558384</v>
                </pt>
                <pt idx="57">
                  <v>-0.002016672685761728</v>
                </pt>
                <pt idx="58">
                  <v>0.01178171130211899</v>
                </pt>
                <pt idx="59">
                  <v>-0.005204133934431834</v>
                </pt>
              </numCache>
            </numRef>
          </val>
          <smooth val="0"/>
        </ser>
        <ser>
          <idx val="2"/>
          <order val="2"/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Calculation!$E$22:$E$81</f>
              <numCache>
                <formatCode>0.0000</formatCode>
                <ptCount val="60"/>
                <pt idx="0">
                  <v>0.02225412792299905</v>
                </pt>
                <pt idx="1">
                  <v>0.03349530563027075</v>
                </pt>
                <pt idx="2">
                  <v>0.0509571075393716</v>
                </pt>
                <pt idx="3">
                  <v>0.04445738533996521</v>
                </pt>
                <pt idx="4">
                  <v>0.03192268814979907</v>
                </pt>
                <pt idx="5">
                  <v>0.03215446806869137</v>
                </pt>
                <pt idx="6">
                  <v>0.02338743054555609</v>
                </pt>
                <pt idx="7">
                  <v>0.0089442547493725</v>
                </pt>
                <pt idx="8">
                  <v>-0.009002649146661866</v>
                </pt>
                <pt idx="9">
                  <v>-0.02451570968193901</v>
                </pt>
                <pt idx="10">
                  <v>-0.03576306643414195</v>
                </pt>
                <pt idx="11">
                  <v>-0.02981038812039324</v>
                </pt>
                <pt idx="12">
                  <v>-0.02007150419272542</v>
                </pt>
                <pt idx="13">
                  <v>-0.03015475988738508</v>
                </pt>
                <pt idx="14">
                  <v>-0.03439640320055029</v>
                </pt>
                <pt idx="15">
                  <v>-0.02334531915652046</v>
                </pt>
                <pt idx="16">
                  <v>-0.01486029852334935</v>
                </pt>
                <pt idx="17">
                  <v>0.006286827825939928</v>
                </pt>
                <pt idx="18">
                  <v>0.01139069285652965</v>
                </pt>
                <pt idx="19">
                  <v>0.0202068746779396</v>
                </pt>
                <pt idx="20">
                  <v>0.01528180299221898</v>
                </pt>
                <pt idx="21">
                  <v>0.02685153372420396</v>
                </pt>
                <pt idx="22">
                  <v>0.04073530383790109</v>
                </pt>
                <pt idx="23">
                  <v>0.03665914698213545</v>
                </pt>
                <pt idx="24">
                  <v>0.04443188797028053</v>
                </pt>
                <pt idx="25">
                  <v>0.03175945848289881</v>
                </pt>
                <pt idx="26">
                  <v>0.03130175403278611</v>
                </pt>
                <pt idx="27">
                  <v>0.02046024736647146</v>
                </pt>
                <pt idx="28">
                  <v>0.02034616678207166</v>
                </pt>
                <pt idx="29">
                  <v>0.01082150276495994</v>
                </pt>
                <pt idx="30">
                  <v>-0.001567513437561732</v>
                </pt>
                <pt idx="31">
                  <v>0.0001921754660316818</v>
                </pt>
                <pt idx="32">
                  <v>-0.00536218186396677</v>
                </pt>
                <pt idx="33">
                  <v>0.00325151988751201</v>
                </pt>
                <pt idx="34">
                  <v>0.001977505130671164</v>
                </pt>
                <pt idx="35">
                  <v>0.007212186674127336</v>
                </pt>
                <pt idx="36">
                  <v>0.005124258679161668</v>
                </pt>
                <pt idx="37">
                  <v>0.003678187945478468</v>
                </pt>
                <pt idx="38">
                  <v>-0.003671251905873316</v>
                </pt>
                <pt idx="39">
                  <v>-0.004718096840793424</v>
                </pt>
                <pt idx="40">
                  <v>-0.006770198097699485</v>
                </pt>
                <pt idx="41">
                  <v>-0.01790216798826464</v>
                </pt>
                <pt idx="42">
                  <v>-0.02329358964272993</v>
                </pt>
                <pt idx="43">
                  <v>-0.03132875705933449</v>
                </pt>
                <pt idx="44">
                  <v>-0.03247013986475458</v>
                </pt>
                <pt idx="45">
                  <v>-0.02717174374015365</v>
                </pt>
                <pt idx="46">
                  <v>-0.01468313027691411</v>
                </pt>
                <pt idx="47">
                  <v>-0.01785159518317227</v>
                </pt>
                <pt idx="48">
                  <v>-0.01768817668320848</v>
                </pt>
                <pt idx="49">
                  <v>-0.007954938173257622</v>
                </pt>
                <pt idx="50">
                  <v>-0.004478817935877748</v>
                </pt>
                <pt idx="51">
                  <v>0.002836962686991058</v>
                </pt>
                <pt idx="52">
                  <v>0.0160741806962677</v>
                </pt>
                <pt idx="53">
                  <v>0.01132694568011085</v>
                </pt>
                <pt idx="54">
                  <v>0.003648423304579363</v>
                </pt>
                <pt idx="55">
                  <v>0.00718958232325639</v>
                </pt>
                <pt idx="56">
                  <v>0.001711770759361743</v>
                </pt>
                <pt idx="57">
                  <v>0.003323220779672463</v>
                </pt>
                <pt idx="58">
                  <v>0.008302052900278273</v>
                </pt>
                <pt idx="59">
                  <v>-0.002134970362334501</v>
                </pt>
              </numCache>
            </numRef>
          </val>
          <smooth val="0"/>
        </ser>
        <ser>
          <idx val="3"/>
          <order val="3"/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Calculation!$F$22:$F$81</f>
              <numCache>
                <formatCode>0.0000</formatCode>
                <ptCount val="60"/>
                <pt idx="0">
                  <v>0.06294618049087068</v>
                </pt>
                <pt idx="1">
                  <v>0.06053395137824234</v>
                </pt>
                <pt idx="2">
                  <v>0.06912071974249082</v>
                </pt>
                <pt idx="3">
                  <v>0.04457480606125114</v>
                </pt>
                <pt idx="4">
                  <v>0.01223513074749783</v>
                </pt>
                <pt idx="5">
                  <v>0.01716128698653653</v>
                </pt>
                <pt idx="6">
                  <v>0.01218729656730106</v>
                </pt>
                <pt idx="7">
                  <v>-0.008163303745868922</v>
                </pt>
                <pt idx="8">
                  <v>-0.02286945424365481</v>
                </pt>
                <pt idx="9">
                  <v>-0.05021264544388062</v>
                </pt>
                <pt idx="10">
                  <v>-0.05020970751243493</v>
                </pt>
                <pt idx="11">
                  <v>-0.03868294423705449</v>
                </pt>
                <pt idx="12">
                  <v>-0.0301603826019239</v>
                </pt>
                <pt idx="13">
                  <v>-0.0329330366721342</v>
                </pt>
                <pt idx="14">
                  <v>-0.03028763580986186</v>
                </pt>
                <pt idx="15">
                  <v>-0.01138341835262797</v>
                </pt>
                <pt idx="16">
                  <v>0.0008074654392960205</v>
                </pt>
                <pt idx="17">
                  <v>0.02046363058018859</v>
                </pt>
                <pt idx="18">
                  <v>0.02315933538028384</v>
                </pt>
                <pt idx="19">
                  <v>0.04096281339971191</v>
                </pt>
                <pt idx="20">
                  <v>0.02547538326142837</v>
                </pt>
                <pt idx="21">
                  <v>0.03806298123900077</v>
                </pt>
                <pt idx="22">
                  <v>0.05522531812888413</v>
                </pt>
                <pt idx="23">
                  <v>0.0451995176388099</v>
                </pt>
                <pt idx="24">
                  <v>0.05797508163854607</v>
                </pt>
                <pt idx="25">
                  <v>0.03448857533732606</v>
                </pt>
                <pt idx="26">
                  <v>0.02936130518918837</v>
                </pt>
                <pt idx="27">
                  <v>0.01852955327681973</v>
                </pt>
                <pt idx="28">
                  <v>0.002729030488632695</v>
                </pt>
                <pt idx="29">
                  <v>-0.006503315423915795</v>
                </pt>
                <pt idx="30">
                  <v>-0.01164973245007468</v>
                </pt>
                <pt idx="31">
                  <v>-0.006536593330074623</v>
                </pt>
                <pt idx="32">
                  <v>0.004099476892512686</v>
                </pt>
                <pt idx="33">
                  <v>0.01248663910148833</v>
                </pt>
                <pt idx="34">
                  <v>0.01227743361225576</v>
                </pt>
                <pt idx="35">
                  <v>0.02056437582516601</v>
                </pt>
                <pt idx="36">
                  <v>0.003836037658396262</v>
                </pt>
                <pt idx="37">
                  <v>-0.004415332638820098</v>
                </pt>
                <pt idx="38">
                  <v>-0.0234311189591582</v>
                </pt>
                <pt idx="39">
                  <v>-0.02000184034331772</v>
                </pt>
                <pt idx="40">
                  <v>-0.012455443145275</v>
                </pt>
                <pt idx="41">
                  <v>-0.02760297684506637</v>
                </pt>
                <pt idx="42">
                  <v>-0.03371351104700045</v>
                </pt>
                <pt idx="43">
                  <v>-0.03590138783971947</v>
                </pt>
                <pt idx="44">
                  <v>-0.044732744406656</v>
                </pt>
                <pt idx="45">
                  <v>-0.031507898565336</v>
                </pt>
                <pt idx="46">
                  <v>-0.01541303147959743</v>
                </pt>
                <pt idx="47">
                  <v>-0.01583313499907003</v>
                </pt>
                <pt idx="48">
                  <v>-0.004409160169053654</v>
                </pt>
                <pt idx="49">
                  <v>0.004283073195841519</v>
                </pt>
                <pt idx="50">
                  <v>0.002968674286579577</v>
                </pt>
                <pt idx="51">
                  <v>0.01144390662613595</v>
                </pt>
                <pt idx="52">
                  <v>0.0218736436572472</v>
                </pt>
                <pt idx="53">
                  <v>0.01186601806869568</v>
                </pt>
                <pt idx="54">
                  <v>0.001129065144913689</v>
                </pt>
                <pt idx="55">
                  <v>0.003393494717989561</v>
                </pt>
                <pt idx="56">
                  <v>-0.003673429128586077</v>
                </pt>
                <pt idx="57">
                  <v>0.003271218171300029</v>
                </pt>
                <pt idx="58">
                  <v>0.009623580960435994</v>
                </pt>
                <pt idx="59">
                  <v>-0.007752979150932643</v>
                </pt>
              </numCache>
            </numRef>
          </val>
          <smooth val="0"/>
        </ser>
        <ser>
          <idx val="4"/>
          <order val="4"/>
          <spPr>
            <a:ln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Calculation!$G$22:$G$81</f>
              <numCache>
                <formatCode>0.0000</formatCode>
                <ptCount val="60"/>
                <pt idx="0">
                  <v>0.03441053408110768</v>
                </pt>
                <pt idx="1">
                  <v>0.03114075283403199</v>
                </pt>
                <pt idx="2">
                  <v>0.03612435400854262</v>
                </pt>
                <pt idx="3">
                  <v>0.02712309877454377</v>
                </pt>
                <pt idx="4">
                  <v>0.0148461499426986</v>
                </pt>
                <pt idx="5">
                  <v>0.02016194512149202</v>
                </pt>
                <pt idx="6">
                  <v>0.01897102079260681</v>
                </pt>
                <pt idx="7">
                  <v>0.007671356395307999</v>
                </pt>
                <pt idx="8">
                  <v>-0.001987494598869911</v>
                </pt>
                <pt idx="9">
                  <v>-0.01979998611390732</v>
                </pt>
                <pt idx="10">
                  <v>-0.02388673916414859</v>
                </pt>
                <pt idx="11">
                  <v>-0.02236574891602435</v>
                </pt>
                <pt idx="12">
                  <v>-0.02092340282546826</v>
                </pt>
                <pt idx="13">
                  <v>-0.02283553393479574</v>
                </pt>
                <pt idx="14">
                  <v>-0.02285505195773242</v>
                </pt>
                <pt idx="15">
                  <v>-0.01412958449044542</v>
                </pt>
                <pt idx="16">
                  <v>-0.008204748621354778</v>
                </pt>
                <pt idx="17">
                  <v>0.00159490608575337</v>
                </pt>
                <pt idx="18">
                  <v>0.005511537022292695</v>
                </pt>
                <pt idx="19">
                  <v>0.01785427505203441</v>
                </pt>
                <pt idx="20">
                  <v>0.01283215140049626</v>
                </pt>
                <pt idx="21">
                  <v>0.02144422948581695</v>
                </pt>
                <pt idx="22">
                  <v>0.03201191592286406</v>
                </pt>
                <pt idx="23">
                  <v>0.02921544459421252</v>
                </pt>
                <pt idx="24">
                  <v>0.03760277220395452</v>
                </pt>
                <pt idx="25">
                  <v>0.02750536287255721</v>
                </pt>
                <pt idx="26">
                  <v>0.02522917348370304</v>
                </pt>
                <pt idx="27">
                  <v>0.01958361917265278</v>
                </pt>
                <pt idx="28">
                  <v>0.01041119760374549</v>
                </pt>
                <pt idx="29">
                  <v>0.005288111429987422</v>
                </pt>
                <pt idx="30">
                  <v>0.001780665266615889</v>
                </pt>
                <pt idx="31">
                  <v>0.00211470141259679</v>
                </pt>
                <pt idx="32">
                  <v>0.006217316546029534</v>
                </pt>
                <pt idx="33">
                  <v>0.007512871089446613</v>
                </pt>
                <pt idx="34">
                  <v>0.006000311030484865</v>
                </pt>
                <pt idx="35">
                  <v>0.009686613257968726</v>
                </pt>
                <pt idx="36">
                  <v>0.0009176796302322377</v>
                </pt>
                <pt idx="37">
                  <v>-0.002188365688882072</v>
                </pt>
                <pt idx="38">
                  <v>-0.0112184530562973</v>
                </pt>
                <pt idx="39">
                  <v>-0.00882547426735189</v>
                </pt>
                <pt idx="40">
                  <v>-0.004672041771274254</v>
                </pt>
                <pt idx="41">
                  <v>-0.01315790321965999</v>
                </pt>
                <pt idx="42">
                  <v>-0.01797542893467316</v>
                </pt>
                <pt idx="43">
                  <v>-0.02115162976027866</v>
                </pt>
                <pt idx="44">
                  <v>-0.02828299658520841</v>
                </pt>
                <pt idx="45">
                  <v>-0.02305724208280284</v>
                </pt>
                <pt idx="46">
                  <v>-0.01552394414268833</v>
                </pt>
                <pt idx="47">
                  <v>-0.01509344890912976</v>
                </pt>
                <pt idx="48">
                  <v>-0.008457179770685984</v>
                </pt>
                <pt idx="49">
                  <v>-0.004116600482925967</v>
                </pt>
                <pt idx="50">
                  <v>-0.00403304284954456</v>
                </pt>
                <pt idx="51">
                  <v>0.0009303792457466519</v>
                </pt>
                <pt idx="52">
                  <v>0.007698547912571787</v>
                </pt>
                <pt idx="53">
                  <v>0.005591847002248428</v>
                </pt>
                <pt idx="54">
                  <v>0.001974451061506058</v>
                </pt>
                <pt idx="55">
                  <v>0.003833737995312644</v>
                </pt>
                <pt idx="56">
                  <v>0.0008921067337054579</v>
                </pt>
                <pt idx="57">
                  <v>0.003868883549276617</v>
                </pt>
                <pt idx="58">
                  <v>0.006639805981674913</v>
                </pt>
                <pt idx="59">
                  <v>-0.002014985120686875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03873464"/>
        <axId val="1003875432"/>
      </lineChart>
      <catAx>
        <axId val="1003873464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003875432"/>
        <crosses val="autoZero"/>
        <auto val="1"/>
        <lblAlgn val="ctr"/>
        <lblOffset val="100"/>
        <noMultiLvlLbl val="0"/>
      </catAx>
      <valAx>
        <axId val="100387543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003873464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9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906409695388047"/>
          <y val="0.1294114804745549"/>
          <w val="0.9160625335172057"/>
          <h val="0.8361955137971397"/>
        </manualLayout>
      </layout>
      <areaChart>
        <grouping val="stacked"/>
        <varyColors val="0"/>
        <ser>
          <idx val="0"/>
          <order val="0"/>
          <tx>
            <strRef>
              <f>Barometr_1!$C$1</f>
              <strCache>
                <ptCount val="1"/>
                <pt idx="0">
                  <v>Корпоративный сектор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cat>
            <strRef>
              <f>(Barometr_1!$Z$5:$Z$53,Barometr_1!$Z$55:$Z$73)</f>
              <strCache>
                <ptCount val="68"/>
                <pt idx="0">
                  <v>2009 кв.2</v>
                </pt>
                <pt idx="1">
                  <v>2009 кв.3</v>
                </pt>
                <pt idx="2">
                  <v>2009 кв.4</v>
                </pt>
                <pt idx="3">
                  <v>2010 кв.1</v>
                </pt>
                <pt idx="4">
                  <v>2010 кв.2</v>
                </pt>
                <pt idx="5">
                  <v>2010 кв.3</v>
                </pt>
                <pt idx="6">
                  <v>2010 кв.4</v>
                </pt>
                <pt idx="7">
                  <v>2011 кв.1</v>
                </pt>
                <pt idx="8">
                  <v>2011 кв.2</v>
                </pt>
                <pt idx="9">
                  <v>2011 кв.3</v>
                </pt>
                <pt idx="10">
                  <v>2011 кв.4</v>
                </pt>
                <pt idx="11">
                  <v>2012 кв.1</v>
                </pt>
                <pt idx="12">
                  <v>2012 кв.2</v>
                </pt>
                <pt idx="13">
                  <v>2012 кв.3</v>
                </pt>
                <pt idx="14">
                  <v>2012 кв.4</v>
                </pt>
                <pt idx="15">
                  <v>2013 кв.1</v>
                </pt>
                <pt idx="16">
                  <v>2013 кв.2</v>
                </pt>
                <pt idx="17">
                  <v>2013 кв.3</v>
                </pt>
                <pt idx="18">
                  <v>2013 кв.4</v>
                </pt>
                <pt idx="19">
                  <v>2014 кв.1</v>
                </pt>
                <pt idx="20">
                  <v>2014 кв.2</v>
                </pt>
                <pt idx="21">
                  <v>2014 кв.3</v>
                </pt>
                <pt idx="22">
                  <v>2014 кв.4</v>
                </pt>
                <pt idx="23">
                  <v>2015 кв.1</v>
                </pt>
                <pt idx="24">
                  <v>2015 кв.2</v>
                </pt>
                <pt idx="25">
                  <v>2015 кв.3</v>
                </pt>
                <pt idx="26">
                  <v>2015 кв.4</v>
                </pt>
                <pt idx="27">
                  <v>2016 кв.1</v>
                </pt>
                <pt idx="28">
                  <v>2016 кв.2</v>
                </pt>
                <pt idx="29">
                  <v>2016 кв.3</v>
                </pt>
                <pt idx="30">
                  <v>2016 кв.4</v>
                </pt>
                <pt idx="31">
                  <v>2017 кв.1</v>
                </pt>
                <pt idx="32">
                  <v>2017 кв.2</v>
                </pt>
                <pt idx="33">
                  <v>2017 кв.3</v>
                </pt>
                <pt idx="34">
                  <v>2017 кв.4</v>
                </pt>
                <pt idx="35">
                  <v>2018 кв.1</v>
                </pt>
                <pt idx="36">
                  <v>2018 кв.2</v>
                </pt>
                <pt idx="37">
                  <v>2018 кв.3</v>
                </pt>
                <pt idx="38">
                  <v>2018 кв.4</v>
                </pt>
                <pt idx="39">
                  <v>2019 кв.1</v>
                </pt>
                <pt idx="40">
                  <v>2019 кв.2</v>
                </pt>
                <pt idx="41">
                  <v>2019 кв.3</v>
                </pt>
                <pt idx="42">
                  <v>2019 кв.4</v>
                </pt>
                <pt idx="43">
                  <v>2020 кв.1</v>
                </pt>
                <pt idx="44">
                  <v>2020 кв.2</v>
                </pt>
                <pt idx="45">
                  <v>2020 кв.3</v>
                </pt>
                <pt idx="46">
                  <v>2020 кв.4</v>
                </pt>
                <pt idx="47">
                  <v>2021 кв.1</v>
                </pt>
                <pt idx="48">
                  <v>2021 кв.2</v>
                </pt>
                <pt idx="49">
                  <v>2021 кв.4</v>
                </pt>
                <pt idx="50">
                  <v>2022 кв.1</v>
                </pt>
                <pt idx="51">
                  <v>2022 кв.2</v>
                </pt>
                <pt idx="52">
                  <v>2022 кв.3</v>
                </pt>
                <pt idx="53">
                  <v>2022 кв.4</v>
                </pt>
                <pt idx="54">
                  <v>2023 кв.1</v>
                </pt>
                <pt idx="55">
                  <v>2023 кв.2</v>
                </pt>
                <pt idx="56">
                  <v>2023 кв.3</v>
                </pt>
                <pt idx="57">
                  <v>2023 кв.4</v>
                </pt>
                <pt idx="58">
                  <v>2024 кв.1</v>
                </pt>
                <pt idx="59">
                  <v>2024 кв.2</v>
                </pt>
                <pt idx="60">
                  <v>2024 кв.3</v>
                </pt>
                <pt idx="61">
                  <v>2024 кв.4</v>
                </pt>
                <pt idx="62">
                  <v>2025 кв.1</v>
                </pt>
                <pt idx="63">
                  <v>2025 кв.2</v>
                </pt>
                <pt idx="64">
                  <v>2025 кв.3</v>
                </pt>
                <pt idx="65">
                  <v>2025 кв.4</v>
                </pt>
                <pt idx="66">
                  <v>2026 кв.1</v>
                </pt>
                <pt idx="67">
                  <v>2026 кв.2</v>
                </pt>
              </strCache>
            </strRef>
          </cat>
          <val>
            <numRef>
              <f>(Barometr_1!$D$5:$D$53,Barometr_1!$D$55:$D$73)</f>
              <numCache>
                <formatCode>0.00</formatCode>
                <ptCount val="68"/>
                <pt idx="0">
                  <v>0.5982998416002477</v>
                </pt>
                <pt idx="1">
                  <v>0.5515098237560068</v>
                </pt>
                <pt idx="2">
                  <v>0.437970782878453</v>
                </pt>
                <pt idx="3">
                  <v>0.362498019947746</v>
                </pt>
                <pt idx="4">
                  <v>0.2877302199497572</v>
                </pt>
                <pt idx="5">
                  <v>0.1757751661212973</v>
                </pt>
                <pt idx="6">
                  <v>0.2729957788603871</v>
                </pt>
                <pt idx="7">
                  <v>0.1244485318078448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0.1058914858096231</v>
                </pt>
                <pt idx="17">
                  <v>0.06210432375152516</v>
                </pt>
                <pt idx="18">
                  <v>0.0427766252405896</v>
                </pt>
                <pt idx="19">
                  <v>0.1464752045017239</v>
                </pt>
                <pt idx="20">
                  <v>0.2340670013813945</v>
                </pt>
                <pt idx="21">
                  <v>0.2153130404656037</v>
                </pt>
                <pt idx="22">
                  <v>0.2008345648016331</v>
                </pt>
                <pt idx="23">
                  <v>0.4073515412557835</v>
                </pt>
                <pt idx="24">
                  <v>0.3605249145012251</v>
                </pt>
                <pt idx="25">
                  <v>0.4100040887528303</v>
                </pt>
                <pt idx="26">
                  <v>0.4557096139774978</v>
                </pt>
                <pt idx="27">
                  <v>0.4049107928490616</v>
                </pt>
                <pt idx="28">
                  <v>0.4021690300469964</v>
                </pt>
                <pt idx="29">
                  <v>0.1884971887245504</v>
                </pt>
                <pt idx="30">
                  <v>0.07239882737399086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0.07107196896214361</v>
                </pt>
                <pt idx="40">
                  <v>0.03514778162163016</v>
                </pt>
                <pt idx="41">
                  <v>0</v>
                </pt>
                <pt idx="42">
                  <v>0</v>
                </pt>
                <pt idx="43">
                  <v>0.2032133183191375</v>
                </pt>
                <pt idx="44">
                  <v>0.4066195795295419</v>
                </pt>
                <pt idx="45">
                  <v>0.3050634664615069</v>
                </pt>
                <pt idx="46">
                  <v>0.2057622929154573</v>
                </pt>
                <pt idx="47">
                  <v>0.02543534616549883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0.001537680113138253</v>
                </pt>
                <pt idx="52">
                  <v>0</v>
                </pt>
                <pt idx="53">
                  <v>0</v>
                </pt>
                <pt idx="54">
                  <v>0.0999766630265144</v>
                </pt>
                <pt idx="55">
                  <v>0.1642365687827367</v>
                </pt>
                <pt idx="56">
                  <v>0.1734437078160177</v>
                </pt>
                <pt idx="57">
                  <v>0.1402791500671183</v>
                </pt>
                <pt idx="58">
                  <v>0.1013367396936559</v>
                </pt>
                <pt idx="59">
                  <v>0.01597043693360543</v>
                </pt>
                <pt idx="60">
                  <v>0</v>
                </pt>
                <pt idx="61">
                  <v>0.02090306984851355</v>
                </pt>
                <pt idx="62">
                  <v>0.06580033491378438</v>
                </pt>
                <pt idx="63">
                  <v>0.1880044704262501</v>
                </pt>
                <pt idx="64">
                  <v>0.2009542232021697</v>
                </pt>
                <pt idx="65">
                  <v>0.167378003853165</v>
                </pt>
                <pt idx="66">
                  <v>0.2131890510969863</v>
                </pt>
                <pt idx="67">
                  <v>0.2074696435923639</v>
                </pt>
              </numCache>
            </numRef>
          </val>
        </ser>
        <ser>
          <idx val="1"/>
          <order val="1"/>
          <tx>
            <strRef>
              <f>Barometr_1!$F$1</f>
              <strCache>
                <ptCount val="1"/>
                <pt idx="0">
                  <v>Сектор домохозяйств</v>
                </pt>
              </strCache>
            </strRef>
          </tx>
          <spPr>
            <a:solidFill>
              <a:schemeClr val="accent2"/>
            </a:solidFill>
            <a:ln w="25400">
              <a:noFill/>
              <a:prstDash val="solid"/>
            </a:ln>
          </spPr>
          <cat>
            <strRef>
              <f>(Barometr_1!$Z$5:$Z$53,Barometr_1!$Z$55:$Z$73)</f>
              <strCache>
                <ptCount val="68"/>
                <pt idx="0">
                  <v>2009 кв.2</v>
                </pt>
                <pt idx="1">
                  <v>2009 кв.3</v>
                </pt>
                <pt idx="2">
                  <v>2009 кв.4</v>
                </pt>
                <pt idx="3">
                  <v>2010 кв.1</v>
                </pt>
                <pt idx="4">
                  <v>2010 кв.2</v>
                </pt>
                <pt idx="5">
                  <v>2010 кв.3</v>
                </pt>
                <pt idx="6">
                  <v>2010 кв.4</v>
                </pt>
                <pt idx="7">
                  <v>2011 кв.1</v>
                </pt>
                <pt idx="8">
                  <v>2011 кв.2</v>
                </pt>
                <pt idx="9">
                  <v>2011 кв.3</v>
                </pt>
                <pt idx="10">
                  <v>2011 кв.4</v>
                </pt>
                <pt idx="11">
                  <v>2012 кв.1</v>
                </pt>
                <pt idx="12">
                  <v>2012 кв.2</v>
                </pt>
                <pt idx="13">
                  <v>2012 кв.3</v>
                </pt>
                <pt idx="14">
                  <v>2012 кв.4</v>
                </pt>
                <pt idx="15">
                  <v>2013 кв.1</v>
                </pt>
                <pt idx="16">
                  <v>2013 кв.2</v>
                </pt>
                <pt idx="17">
                  <v>2013 кв.3</v>
                </pt>
                <pt idx="18">
                  <v>2013 кв.4</v>
                </pt>
                <pt idx="19">
                  <v>2014 кв.1</v>
                </pt>
                <pt idx="20">
                  <v>2014 кв.2</v>
                </pt>
                <pt idx="21">
                  <v>2014 кв.3</v>
                </pt>
                <pt idx="22">
                  <v>2014 кв.4</v>
                </pt>
                <pt idx="23">
                  <v>2015 кв.1</v>
                </pt>
                <pt idx="24">
                  <v>2015 кв.2</v>
                </pt>
                <pt idx="25">
                  <v>2015 кв.3</v>
                </pt>
                <pt idx="26">
                  <v>2015 кв.4</v>
                </pt>
                <pt idx="27">
                  <v>2016 кв.1</v>
                </pt>
                <pt idx="28">
                  <v>2016 кв.2</v>
                </pt>
                <pt idx="29">
                  <v>2016 кв.3</v>
                </pt>
                <pt idx="30">
                  <v>2016 кв.4</v>
                </pt>
                <pt idx="31">
                  <v>2017 кв.1</v>
                </pt>
                <pt idx="32">
                  <v>2017 кв.2</v>
                </pt>
                <pt idx="33">
                  <v>2017 кв.3</v>
                </pt>
                <pt idx="34">
                  <v>2017 кв.4</v>
                </pt>
                <pt idx="35">
                  <v>2018 кв.1</v>
                </pt>
                <pt idx="36">
                  <v>2018 кв.2</v>
                </pt>
                <pt idx="37">
                  <v>2018 кв.3</v>
                </pt>
                <pt idx="38">
                  <v>2018 кв.4</v>
                </pt>
                <pt idx="39">
                  <v>2019 кв.1</v>
                </pt>
                <pt idx="40">
                  <v>2019 кв.2</v>
                </pt>
                <pt idx="41">
                  <v>2019 кв.3</v>
                </pt>
                <pt idx="42">
                  <v>2019 кв.4</v>
                </pt>
                <pt idx="43">
                  <v>2020 кв.1</v>
                </pt>
                <pt idx="44">
                  <v>2020 кв.2</v>
                </pt>
                <pt idx="45">
                  <v>2020 кв.3</v>
                </pt>
                <pt idx="46">
                  <v>2020 кв.4</v>
                </pt>
                <pt idx="47">
                  <v>2021 кв.1</v>
                </pt>
                <pt idx="48">
                  <v>2021 кв.2</v>
                </pt>
                <pt idx="49">
                  <v>2021 кв.4</v>
                </pt>
                <pt idx="50">
                  <v>2022 кв.1</v>
                </pt>
                <pt idx="51">
                  <v>2022 кв.2</v>
                </pt>
                <pt idx="52">
                  <v>2022 кв.3</v>
                </pt>
                <pt idx="53">
                  <v>2022 кв.4</v>
                </pt>
                <pt idx="54">
                  <v>2023 кв.1</v>
                </pt>
                <pt idx="55">
                  <v>2023 кв.2</v>
                </pt>
                <pt idx="56">
                  <v>2023 кв.3</v>
                </pt>
                <pt idx="57">
                  <v>2023 кв.4</v>
                </pt>
                <pt idx="58">
                  <v>2024 кв.1</v>
                </pt>
                <pt idx="59">
                  <v>2024 кв.2</v>
                </pt>
                <pt idx="60">
                  <v>2024 кв.3</v>
                </pt>
                <pt idx="61">
                  <v>2024 кв.4</v>
                </pt>
                <pt idx="62">
                  <v>2025 кв.1</v>
                </pt>
                <pt idx="63">
                  <v>2025 кв.2</v>
                </pt>
                <pt idx="64">
                  <v>2025 кв.3</v>
                </pt>
                <pt idx="65">
                  <v>2025 кв.4</v>
                </pt>
                <pt idx="66">
                  <v>2026 кв.1</v>
                </pt>
                <pt idx="67">
                  <v>2026 кв.2</v>
                </pt>
              </strCache>
            </strRef>
          </cat>
          <val>
            <numRef>
              <f>(Barometr_1!$G$5:$G$53,Barometr_1!$G$55:$G$73)</f>
              <numCache>
                <formatCode>0.00</formatCode>
                <ptCount val="68"/>
                <pt idx="0">
                  <v>0.31547658006118</v>
                </pt>
                <pt idx="1">
                  <v>0.3344845053618834</v>
                </pt>
                <pt idx="2">
                  <v>0.3416422768680177</v>
                </pt>
                <pt idx="3">
                  <v>0.3608922817635048</v>
                </pt>
                <pt idx="4">
                  <v>0.3329698932729397</v>
                </pt>
                <pt idx="5">
                  <v>0.3075795457368052</v>
                </pt>
                <pt idx="6">
                  <v>0.3137398582691115</v>
                </pt>
                <pt idx="7">
                  <v>0.3107946962163922</v>
                </pt>
                <pt idx="8">
                  <v>0.1305848166985815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0.01965779237784767</v>
                </pt>
                <pt idx="19">
                  <v>0.09402780788583356</v>
                </pt>
                <pt idx="20">
                  <v>0.1271142924814069</v>
                </pt>
                <pt idx="21">
                  <v>0.1104976084835395</v>
                </pt>
                <pt idx="22">
                  <v>0.1009043498111801</v>
                </pt>
                <pt idx="23">
                  <v>0.07563999721104868</v>
                </pt>
                <pt idx="24">
                  <v>0.03750981455440704</v>
                </pt>
                <pt idx="25">
                  <v>0.01117353029721008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0.06986143100726544</v>
                </pt>
                <pt idx="36">
                  <v>0.1797970005973469</v>
                </pt>
                <pt idx="37">
                  <v>0.2654799211957071</v>
                </pt>
                <pt idx="38">
                  <v>0.3290316896999233</v>
                </pt>
                <pt idx="39">
                  <v>0.3730274711573808</v>
                </pt>
                <pt idx="40">
                  <v>0.3998565148345153</v>
                </pt>
                <pt idx="41">
                  <v>0.4093784859109015</v>
                </pt>
                <pt idx="42">
                  <v>0.4137311381326313</v>
                </pt>
                <pt idx="43">
                  <v>0.4294978602350164</v>
                </pt>
                <pt idx="44">
                  <v>0.4023628512568396</v>
                </pt>
                <pt idx="45">
                  <v>0.297647588155956</v>
                </pt>
                <pt idx="46">
                  <v>0.1499173956132311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0.05476084494988113</v>
                </pt>
                <pt idx="61">
                  <v>0.1089153749024472</v>
                </pt>
                <pt idx="62">
                  <v>0.165511974909488</v>
                </pt>
                <pt idx="63">
                  <v>0.1822059455906595</v>
                </pt>
                <pt idx="64">
                  <v>0.1454833897545477</v>
                </pt>
                <pt idx="65">
                  <v>0.09769641422852457</v>
                </pt>
                <pt idx="66">
                  <v>0.05577877773704412</v>
                </pt>
                <pt idx="67">
                  <v>0.0165048452605689</v>
                </pt>
              </numCache>
            </numRef>
          </val>
        </ser>
        <ser>
          <idx val="2"/>
          <order val="2"/>
          <tx>
            <strRef>
              <f>Barometr_1!$L$1</f>
              <strCache>
                <ptCount val="1"/>
                <pt idx="0">
                  <v>Банковский сектор</v>
                </pt>
              </strCache>
            </strRef>
          </tx>
          <spPr>
            <a:solidFill>
              <a:schemeClr val="accent3"/>
            </a:solidFill>
            <a:ln w="25400">
              <a:noFill/>
              <a:prstDash val="solid"/>
            </a:ln>
          </spPr>
          <cat>
            <strRef>
              <f>(Barometr_1!$Z$5:$Z$53,Barometr_1!$Z$55:$Z$73)</f>
              <strCache>
                <ptCount val="68"/>
                <pt idx="0">
                  <v>2009 кв.2</v>
                </pt>
                <pt idx="1">
                  <v>2009 кв.3</v>
                </pt>
                <pt idx="2">
                  <v>2009 кв.4</v>
                </pt>
                <pt idx="3">
                  <v>2010 кв.1</v>
                </pt>
                <pt idx="4">
                  <v>2010 кв.2</v>
                </pt>
                <pt idx="5">
                  <v>2010 кв.3</v>
                </pt>
                <pt idx="6">
                  <v>2010 кв.4</v>
                </pt>
                <pt idx="7">
                  <v>2011 кв.1</v>
                </pt>
                <pt idx="8">
                  <v>2011 кв.2</v>
                </pt>
                <pt idx="9">
                  <v>2011 кв.3</v>
                </pt>
                <pt idx="10">
                  <v>2011 кв.4</v>
                </pt>
                <pt idx="11">
                  <v>2012 кв.1</v>
                </pt>
                <pt idx="12">
                  <v>2012 кв.2</v>
                </pt>
                <pt idx="13">
                  <v>2012 кв.3</v>
                </pt>
                <pt idx="14">
                  <v>2012 кв.4</v>
                </pt>
                <pt idx="15">
                  <v>2013 кв.1</v>
                </pt>
                <pt idx="16">
                  <v>2013 кв.2</v>
                </pt>
                <pt idx="17">
                  <v>2013 кв.3</v>
                </pt>
                <pt idx="18">
                  <v>2013 кв.4</v>
                </pt>
                <pt idx="19">
                  <v>2014 кв.1</v>
                </pt>
                <pt idx="20">
                  <v>2014 кв.2</v>
                </pt>
                <pt idx="21">
                  <v>2014 кв.3</v>
                </pt>
                <pt idx="22">
                  <v>2014 кв.4</v>
                </pt>
                <pt idx="23">
                  <v>2015 кв.1</v>
                </pt>
                <pt idx="24">
                  <v>2015 кв.2</v>
                </pt>
                <pt idx="25">
                  <v>2015 кв.3</v>
                </pt>
                <pt idx="26">
                  <v>2015 кв.4</v>
                </pt>
                <pt idx="27">
                  <v>2016 кв.1</v>
                </pt>
                <pt idx="28">
                  <v>2016 кв.2</v>
                </pt>
                <pt idx="29">
                  <v>2016 кв.3</v>
                </pt>
                <pt idx="30">
                  <v>2016 кв.4</v>
                </pt>
                <pt idx="31">
                  <v>2017 кв.1</v>
                </pt>
                <pt idx="32">
                  <v>2017 кв.2</v>
                </pt>
                <pt idx="33">
                  <v>2017 кв.3</v>
                </pt>
                <pt idx="34">
                  <v>2017 кв.4</v>
                </pt>
                <pt idx="35">
                  <v>2018 кв.1</v>
                </pt>
                <pt idx="36">
                  <v>2018 кв.2</v>
                </pt>
                <pt idx="37">
                  <v>2018 кв.3</v>
                </pt>
                <pt idx="38">
                  <v>2018 кв.4</v>
                </pt>
                <pt idx="39">
                  <v>2019 кв.1</v>
                </pt>
                <pt idx="40">
                  <v>2019 кв.2</v>
                </pt>
                <pt idx="41">
                  <v>2019 кв.3</v>
                </pt>
                <pt idx="42">
                  <v>2019 кв.4</v>
                </pt>
                <pt idx="43">
                  <v>2020 кв.1</v>
                </pt>
                <pt idx="44">
                  <v>2020 кв.2</v>
                </pt>
                <pt idx="45">
                  <v>2020 кв.3</v>
                </pt>
                <pt idx="46">
                  <v>2020 кв.4</v>
                </pt>
                <pt idx="47">
                  <v>2021 кв.1</v>
                </pt>
                <pt idx="48">
                  <v>2021 кв.2</v>
                </pt>
                <pt idx="49">
                  <v>2021 кв.4</v>
                </pt>
                <pt idx="50">
                  <v>2022 кв.1</v>
                </pt>
                <pt idx="51">
                  <v>2022 кв.2</v>
                </pt>
                <pt idx="52">
                  <v>2022 кв.3</v>
                </pt>
                <pt idx="53">
                  <v>2022 кв.4</v>
                </pt>
                <pt idx="54">
                  <v>2023 кв.1</v>
                </pt>
                <pt idx="55">
                  <v>2023 кв.2</v>
                </pt>
                <pt idx="56">
                  <v>2023 кв.3</v>
                </pt>
                <pt idx="57">
                  <v>2023 кв.4</v>
                </pt>
                <pt idx="58">
                  <v>2024 кв.1</v>
                </pt>
                <pt idx="59">
                  <v>2024 кв.2</v>
                </pt>
                <pt idx="60">
                  <v>2024 кв.3</v>
                </pt>
                <pt idx="61">
                  <v>2024 кв.4</v>
                </pt>
                <pt idx="62">
                  <v>2025 кв.1</v>
                </pt>
                <pt idx="63">
                  <v>2025 кв.2</v>
                </pt>
                <pt idx="64">
                  <v>2025 кв.3</v>
                </pt>
                <pt idx="65">
                  <v>2025 кв.4</v>
                </pt>
                <pt idx="66">
                  <v>2026 кв.1</v>
                </pt>
                <pt idx="67">
                  <v>2026 кв.2</v>
                </pt>
              </strCache>
            </strRef>
          </cat>
          <val>
            <numRef>
              <f>(Barometr_1!$M$5:$M$53,Barometr_1!$M$55:$M$73)</f>
              <numCache>
                <formatCode>0.00</formatCode>
                <ptCount val="68"/>
                <pt idx="0">
                  <v>0.2759247664403037</v>
                </pt>
                <pt idx="1">
                  <v>0.3654583313273054</v>
                </pt>
                <pt idx="2">
                  <v>0.3857960906659769</v>
                </pt>
                <pt idx="3">
                  <v>0.386814744392284</v>
                </pt>
                <pt idx="4">
                  <v>0.4777150566194827</v>
                </pt>
                <pt idx="5">
                  <v>0.546076033688449</v>
                </pt>
                <pt idx="6">
                  <v>0.6081900113593379</v>
                </pt>
                <pt idx="7">
                  <v>0.6933691120350186</v>
                </pt>
                <pt idx="8">
                  <v>0.885749991827277</v>
                </pt>
                <pt idx="9">
                  <v>0.8567009219673958</v>
                </pt>
                <pt idx="10">
                  <v>0.1722841245609938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0.08621535894847812</v>
                </pt>
                <pt idx="20">
                  <v>0.1551718620241168</v>
                </pt>
                <pt idx="21">
                  <v>0.1234044185675383</v>
                </pt>
                <pt idx="22">
                  <v>0.07214218579523322</v>
                </pt>
                <pt idx="23">
                  <v>0.3992540950920844</v>
                </pt>
                <pt idx="24">
                  <v>0.3449830834787175</v>
                </pt>
                <pt idx="25">
                  <v>0.2719545972469868</v>
                </pt>
                <pt idx="26">
                  <v>0.1750409211000236</v>
                </pt>
                <pt idx="27">
                  <v>0.2531686459271527</v>
                </pt>
                <pt idx="28">
                  <v>0.1742478837121265</v>
                </pt>
                <pt idx="29">
                  <v>0.08482320594972505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0.1264991175709231</v>
                </pt>
                <pt idx="44">
                  <v>0.2855366014156695</v>
                </pt>
                <pt idx="45">
                  <v>0.3282462656262445</v>
                </pt>
                <pt idx="46">
                  <v>0.35594753818667</v>
                </pt>
                <pt idx="47">
                  <v>0.2005850223939792</v>
                </pt>
                <pt idx="48">
                  <v>0.02878135484709371</v>
                </pt>
                <pt idx="49">
                  <v>0</v>
                </pt>
                <pt idx="50">
                  <v>0.03744827574927182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</numCache>
            </numRef>
          </val>
        </ser>
        <ser>
          <idx val="3"/>
          <order val="3"/>
          <tx>
            <strRef>
              <f>Barometr_1!$I$1</f>
              <strCache>
                <ptCount val="1"/>
                <pt idx="0">
                  <v>Сектор государственного управления</v>
                </pt>
              </strCache>
            </strRef>
          </tx>
          <spPr>
            <a:solidFill>
              <a:schemeClr val="accent4"/>
            </a:solidFill>
            <a:ln w="25400">
              <a:noFill/>
              <a:prstDash val="solid"/>
            </a:ln>
          </spPr>
          <cat>
            <strRef>
              <f>(Barometr_1!$Z$5:$Z$53,Barometr_1!$Z$55:$Z$73)</f>
              <strCache>
                <ptCount val="68"/>
                <pt idx="0">
                  <v>2009 кв.2</v>
                </pt>
                <pt idx="1">
                  <v>2009 кв.3</v>
                </pt>
                <pt idx="2">
                  <v>2009 кв.4</v>
                </pt>
                <pt idx="3">
                  <v>2010 кв.1</v>
                </pt>
                <pt idx="4">
                  <v>2010 кв.2</v>
                </pt>
                <pt idx="5">
                  <v>2010 кв.3</v>
                </pt>
                <pt idx="6">
                  <v>2010 кв.4</v>
                </pt>
                <pt idx="7">
                  <v>2011 кв.1</v>
                </pt>
                <pt idx="8">
                  <v>2011 кв.2</v>
                </pt>
                <pt idx="9">
                  <v>2011 кв.3</v>
                </pt>
                <pt idx="10">
                  <v>2011 кв.4</v>
                </pt>
                <pt idx="11">
                  <v>2012 кв.1</v>
                </pt>
                <pt idx="12">
                  <v>2012 кв.2</v>
                </pt>
                <pt idx="13">
                  <v>2012 кв.3</v>
                </pt>
                <pt idx="14">
                  <v>2012 кв.4</v>
                </pt>
                <pt idx="15">
                  <v>2013 кв.1</v>
                </pt>
                <pt idx="16">
                  <v>2013 кв.2</v>
                </pt>
                <pt idx="17">
                  <v>2013 кв.3</v>
                </pt>
                <pt idx="18">
                  <v>2013 кв.4</v>
                </pt>
                <pt idx="19">
                  <v>2014 кв.1</v>
                </pt>
                <pt idx="20">
                  <v>2014 кв.2</v>
                </pt>
                <pt idx="21">
                  <v>2014 кв.3</v>
                </pt>
                <pt idx="22">
                  <v>2014 кв.4</v>
                </pt>
                <pt idx="23">
                  <v>2015 кв.1</v>
                </pt>
                <pt idx="24">
                  <v>2015 кв.2</v>
                </pt>
                <pt idx="25">
                  <v>2015 кв.3</v>
                </pt>
                <pt idx="26">
                  <v>2015 кв.4</v>
                </pt>
                <pt idx="27">
                  <v>2016 кв.1</v>
                </pt>
                <pt idx="28">
                  <v>2016 кв.2</v>
                </pt>
                <pt idx="29">
                  <v>2016 кв.3</v>
                </pt>
                <pt idx="30">
                  <v>2016 кв.4</v>
                </pt>
                <pt idx="31">
                  <v>2017 кв.1</v>
                </pt>
                <pt idx="32">
                  <v>2017 кв.2</v>
                </pt>
                <pt idx="33">
                  <v>2017 кв.3</v>
                </pt>
                <pt idx="34">
                  <v>2017 кв.4</v>
                </pt>
                <pt idx="35">
                  <v>2018 кв.1</v>
                </pt>
                <pt idx="36">
                  <v>2018 кв.2</v>
                </pt>
                <pt idx="37">
                  <v>2018 кв.3</v>
                </pt>
                <pt idx="38">
                  <v>2018 кв.4</v>
                </pt>
                <pt idx="39">
                  <v>2019 кв.1</v>
                </pt>
                <pt idx="40">
                  <v>2019 кв.2</v>
                </pt>
                <pt idx="41">
                  <v>2019 кв.3</v>
                </pt>
                <pt idx="42">
                  <v>2019 кв.4</v>
                </pt>
                <pt idx="43">
                  <v>2020 кв.1</v>
                </pt>
                <pt idx="44">
                  <v>2020 кв.2</v>
                </pt>
                <pt idx="45">
                  <v>2020 кв.3</v>
                </pt>
                <pt idx="46">
                  <v>2020 кв.4</v>
                </pt>
                <pt idx="47">
                  <v>2021 кв.1</v>
                </pt>
                <pt idx="48">
                  <v>2021 кв.2</v>
                </pt>
                <pt idx="49">
                  <v>2021 кв.4</v>
                </pt>
                <pt idx="50">
                  <v>2022 кв.1</v>
                </pt>
                <pt idx="51">
                  <v>2022 кв.2</v>
                </pt>
                <pt idx="52">
                  <v>2022 кв.3</v>
                </pt>
                <pt idx="53">
                  <v>2022 кв.4</v>
                </pt>
                <pt idx="54">
                  <v>2023 кв.1</v>
                </pt>
                <pt idx="55">
                  <v>2023 кв.2</v>
                </pt>
                <pt idx="56">
                  <v>2023 кв.3</v>
                </pt>
                <pt idx="57">
                  <v>2023 кв.4</v>
                </pt>
                <pt idx="58">
                  <v>2024 кв.1</v>
                </pt>
                <pt idx="59">
                  <v>2024 кв.2</v>
                </pt>
                <pt idx="60">
                  <v>2024 кв.3</v>
                </pt>
                <pt idx="61">
                  <v>2024 кв.4</v>
                </pt>
                <pt idx="62">
                  <v>2025 кв.1</v>
                </pt>
                <pt idx="63">
                  <v>2025 кв.2</v>
                </pt>
                <pt idx="64">
                  <v>2025 кв.3</v>
                </pt>
                <pt idx="65">
                  <v>2025 кв.4</v>
                </pt>
                <pt idx="66">
                  <v>2026 кв.1</v>
                </pt>
                <pt idx="67">
                  <v>2026 кв.2</v>
                </pt>
              </strCache>
            </strRef>
          </cat>
          <val>
            <numRef>
              <f>(Barometr_1!$J$5:$J$53,Barometr_1!$J$55:$J$73)</f>
              <numCache>
                <formatCode>0.00</formatCode>
                <ptCount val="68"/>
                <pt idx="0">
                  <v>0.2172159863904057</v>
                </pt>
                <pt idx="1">
                  <v>0.3089952422202409</v>
                </pt>
                <pt idx="2">
                  <v>0.05048067641884992</v>
                </pt>
                <pt idx="3">
                  <v>0.1455937389287687</v>
                </pt>
                <pt idx="4">
                  <v>0.08258306132677083</v>
                </pt>
                <pt idx="5">
                  <v>0.1696743288305645</v>
                </pt>
                <pt idx="6">
                  <v>0.1771402456499094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0.0453504885512724</v>
                </pt>
                <pt idx="15">
                  <v>0.1237646599432524</v>
                </pt>
                <pt idx="16">
                  <v>0.1300418746826989</v>
                </pt>
                <pt idx="17">
                  <v>0.1780278593841041</v>
                </pt>
                <pt idx="18">
                  <v>0.1720448190634002</v>
                </pt>
                <pt idx="19">
                  <v>0.2338285425671221</v>
                </pt>
                <pt idx="20">
                  <v>0.2749687876572293</v>
                </pt>
                <pt idx="21">
                  <v>0.4364421574540059</v>
                </pt>
                <pt idx="22">
                  <v>0.1173430152121841</v>
                </pt>
                <pt idx="23">
                  <v>0.08756791974232439</v>
                </pt>
                <pt idx="24">
                  <v>0</v>
                </pt>
                <pt idx="25">
                  <v>0</v>
                </pt>
                <pt idx="26">
                  <v>0.04657600392212112</v>
                </pt>
                <pt idx="27">
                  <v>0.1317253991672301</v>
                </pt>
                <pt idx="28">
                  <v>0.2476778846052863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0.01911448831271469</v>
                </pt>
                <pt idx="44">
                  <v>0.4371097734223645</v>
                </pt>
                <pt idx="45">
                  <v>0.5702679621185177</v>
                </pt>
                <pt idx="46">
                  <v>0.598003263876591</v>
                </pt>
                <pt idx="47">
                  <v>0.7664517836404051</v>
                </pt>
                <pt idx="48">
                  <v>0.3052868836716142</v>
                </pt>
                <pt idx="49">
                  <v>0</v>
                </pt>
                <pt idx="50">
                  <v>0</v>
                </pt>
                <pt idx="51">
                  <v>0.09725719785124289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</numCache>
            </numRef>
          </val>
        </ser>
        <ser>
          <idx val="4"/>
          <order val="4"/>
          <tx>
            <strRef>
              <f>Barometr_1!$O$1</f>
              <strCache>
                <ptCount val="1"/>
                <pt idx="0">
                  <v>Внешний сектор</v>
                </pt>
              </strCache>
            </strRef>
          </tx>
          <spPr>
            <a:solidFill>
              <a:schemeClr val="accent6"/>
            </a:solidFill>
            <a:ln w="25400">
              <a:noFill/>
              <a:prstDash val="solid"/>
            </a:ln>
          </spPr>
          <cat>
            <strRef>
              <f>(Barometr_1!$Z$5:$Z$53,Barometr_1!$Z$55:$Z$73)</f>
              <strCache>
                <ptCount val="68"/>
                <pt idx="0">
                  <v>2009 кв.2</v>
                </pt>
                <pt idx="1">
                  <v>2009 кв.3</v>
                </pt>
                <pt idx="2">
                  <v>2009 кв.4</v>
                </pt>
                <pt idx="3">
                  <v>2010 кв.1</v>
                </pt>
                <pt idx="4">
                  <v>2010 кв.2</v>
                </pt>
                <pt idx="5">
                  <v>2010 кв.3</v>
                </pt>
                <pt idx="6">
                  <v>2010 кв.4</v>
                </pt>
                <pt idx="7">
                  <v>2011 кв.1</v>
                </pt>
                <pt idx="8">
                  <v>2011 кв.2</v>
                </pt>
                <pt idx="9">
                  <v>2011 кв.3</v>
                </pt>
                <pt idx="10">
                  <v>2011 кв.4</v>
                </pt>
                <pt idx="11">
                  <v>2012 кв.1</v>
                </pt>
                <pt idx="12">
                  <v>2012 кв.2</v>
                </pt>
                <pt idx="13">
                  <v>2012 кв.3</v>
                </pt>
                <pt idx="14">
                  <v>2012 кв.4</v>
                </pt>
                <pt idx="15">
                  <v>2013 кв.1</v>
                </pt>
                <pt idx="16">
                  <v>2013 кв.2</v>
                </pt>
                <pt idx="17">
                  <v>2013 кв.3</v>
                </pt>
                <pt idx="18">
                  <v>2013 кв.4</v>
                </pt>
                <pt idx="19">
                  <v>2014 кв.1</v>
                </pt>
                <pt idx="20">
                  <v>2014 кв.2</v>
                </pt>
                <pt idx="21">
                  <v>2014 кв.3</v>
                </pt>
                <pt idx="22">
                  <v>2014 кв.4</v>
                </pt>
                <pt idx="23">
                  <v>2015 кв.1</v>
                </pt>
                <pt idx="24">
                  <v>2015 кв.2</v>
                </pt>
                <pt idx="25">
                  <v>2015 кв.3</v>
                </pt>
                <pt idx="26">
                  <v>2015 кв.4</v>
                </pt>
                <pt idx="27">
                  <v>2016 кв.1</v>
                </pt>
                <pt idx="28">
                  <v>2016 кв.2</v>
                </pt>
                <pt idx="29">
                  <v>2016 кв.3</v>
                </pt>
                <pt idx="30">
                  <v>2016 кв.4</v>
                </pt>
                <pt idx="31">
                  <v>2017 кв.1</v>
                </pt>
                <pt idx="32">
                  <v>2017 кв.2</v>
                </pt>
                <pt idx="33">
                  <v>2017 кв.3</v>
                </pt>
                <pt idx="34">
                  <v>2017 кв.4</v>
                </pt>
                <pt idx="35">
                  <v>2018 кв.1</v>
                </pt>
                <pt idx="36">
                  <v>2018 кв.2</v>
                </pt>
                <pt idx="37">
                  <v>2018 кв.3</v>
                </pt>
                <pt idx="38">
                  <v>2018 кв.4</v>
                </pt>
                <pt idx="39">
                  <v>2019 кв.1</v>
                </pt>
                <pt idx="40">
                  <v>2019 кв.2</v>
                </pt>
                <pt idx="41">
                  <v>2019 кв.3</v>
                </pt>
                <pt idx="42">
                  <v>2019 кв.4</v>
                </pt>
                <pt idx="43">
                  <v>2020 кв.1</v>
                </pt>
                <pt idx="44">
                  <v>2020 кв.2</v>
                </pt>
                <pt idx="45">
                  <v>2020 кв.3</v>
                </pt>
                <pt idx="46">
                  <v>2020 кв.4</v>
                </pt>
                <pt idx="47">
                  <v>2021 кв.1</v>
                </pt>
                <pt idx="48">
                  <v>2021 кв.2</v>
                </pt>
                <pt idx="49">
                  <v>2021 кв.4</v>
                </pt>
                <pt idx="50">
                  <v>2022 кв.1</v>
                </pt>
                <pt idx="51">
                  <v>2022 кв.2</v>
                </pt>
                <pt idx="52">
                  <v>2022 кв.3</v>
                </pt>
                <pt idx="53">
                  <v>2022 кв.4</v>
                </pt>
                <pt idx="54">
                  <v>2023 кв.1</v>
                </pt>
                <pt idx="55">
                  <v>2023 кв.2</v>
                </pt>
                <pt idx="56">
                  <v>2023 кв.3</v>
                </pt>
                <pt idx="57">
                  <v>2023 кв.4</v>
                </pt>
                <pt idx="58">
                  <v>2024 кв.1</v>
                </pt>
                <pt idx="59">
                  <v>2024 кв.2</v>
                </pt>
                <pt idx="60">
                  <v>2024 кв.3</v>
                </pt>
                <pt idx="61">
                  <v>2024 кв.4</v>
                </pt>
                <pt idx="62">
                  <v>2025 кв.1</v>
                </pt>
                <pt idx="63">
                  <v>2025 кв.2</v>
                </pt>
                <pt idx="64">
                  <v>2025 кв.3</v>
                </pt>
                <pt idx="65">
                  <v>2025 кв.4</v>
                </pt>
                <pt idx="66">
                  <v>2026 кв.1</v>
                </pt>
                <pt idx="67">
                  <v>2026 кв.2</v>
                </pt>
              </strCache>
            </strRef>
          </cat>
          <val>
            <numRef>
              <f>(Barometr_1!$P$5:$P$53,Barometr_1!$P$55:$P$73)</f>
              <numCache>
                <formatCode>0.00</formatCode>
                <ptCount val="68"/>
                <pt idx="0">
                  <v>0.4797369052769463</v>
                </pt>
                <pt idx="1">
                  <v>0.488612451302952</v>
                </pt>
                <pt idx="2">
                  <v>0.5644687324875339</v>
                </pt>
                <pt idx="3">
                  <v>0.367283435328174</v>
                </pt>
                <pt idx="4">
                  <v>0.2799861794120084</v>
                </pt>
                <pt idx="5">
                  <v>0.3696468389098062</v>
                </pt>
                <pt idx="6">
                  <v>0.4291683386114846</v>
                </pt>
                <pt idx="7">
                  <v>0.5782891007159353</v>
                </pt>
                <pt idx="8">
                  <v>0.3215948483842228</v>
                </pt>
                <pt idx="9">
                  <v>0.005460134628867588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0.0315393543320435</v>
                </pt>
                <pt idx="17">
                  <v>0.1437620117038755</v>
                </pt>
                <pt idx="18">
                  <v>0.2267729131469765</v>
                </pt>
                <pt idx="19">
                  <v>0.1382565370795352</v>
                </pt>
                <pt idx="20">
                  <v>0.1010059666672188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0.1143573103320397</v>
                </pt>
                <pt idx="28">
                  <v>0.2850950886030668</v>
                </pt>
                <pt idx="29">
                  <v>0.2817667666192765</v>
                </pt>
                <pt idx="30">
                  <v>0.188817954871022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0.01818706454287628</v>
                </pt>
                <pt idx="44">
                  <v>0.07390446549015109</v>
                </pt>
                <pt idx="45">
                  <v>0.1405254056976316</v>
                </pt>
                <pt idx="46">
                  <v>0.06931997291422902</v>
                </pt>
                <pt idx="47">
                  <v>0.0381403483582666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0.1145213684800674</v>
                </pt>
                <pt idx="57">
                  <v>0.2282673949200666</v>
                </pt>
                <pt idx="58">
                  <v>0.2113076840652708</v>
                </pt>
                <pt idx="59">
                  <v>0.16049547622899</v>
                </pt>
                <pt idx="60">
                  <v>0.180984834726211</v>
                </pt>
                <pt idx="61">
                  <v>0.1240797854659318</v>
                </pt>
                <pt idx="62">
                  <v>0.1310588050679354</v>
                </pt>
                <pt idx="63">
                  <v>0.1208795278161062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</numCache>
            </numRef>
          </val>
        </ser>
        <ser>
          <idx val="5"/>
          <order val="5"/>
          <tx>
            <strRef>
              <f>Barometr_1!$R$1</f>
              <strCache>
                <ptCount val="1"/>
                <pt idx="0">
                  <v>Рынок недвижимости</v>
                </pt>
              </strCache>
            </strRef>
          </tx>
          <spPr>
            <a:solidFill>
              <a:srgbClr val="F04ACC"/>
            </a:solidFill>
            <a:ln>
              <a:noFill/>
              <a:prstDash val="solid"/>
            </a:ln>
          </spPr>
          <cat>
            <strRef>
              <f>(Barometr_1!$Z$5:$Z$53,Barometr_1!$Z$55:$Z$73)</f>
              <strCache>
                <ptCount val="68"/>
                <pt idx="0">
                  <v>2009 кв.2</v>
                </pt>
                <pt idx="1">
                  <v>2009 кв.3</v>
                </pt>
                <pt idx="2">
                  <v>2009 кв.4</v>
                </pt>
                <pt idx="3">
                  <v>2010 кв.1</v>
                </pt>
                <pt idx="4">
                  <v>2010 кв.2</v>
                </pt>
                <pt idx="5">
                  <v>2010 кв.3</v>
                </pt>
                <pt idx="6">
                  <v>2010 кв.4</v>
                </pt>
                <pt idx="7">
                  <v>2011 кв.1</v>
                </pt>
                <pt idx="8">
                  <v>2011 кв.2</v>
                </pt>
                <pt idx="9">
                  <v>2011 кв.3</v>
                </pt>
                <pt idx="10">
                  <v>2011 кв.4</v>
                </pt>
                <pt idx="11">
                  <v>2012 кв.1</v>
                </pt>
                <pt idx="12">
                  <v>2012 кв.2</v>
                </pt>
                <pt idx="13">
                  <v>2012 кв.3</v>
                </pt>
                <pt idx="14">
                  <v>2012 кв.4</v>
                </pt>
                <pt idx="15">
                  <v>2013 кв.1</v>
                </pt>
                <pt idx="16">
                  <v>2013 кв.2</v>
                </pt>
                <pt idx="17">
                  <v>2013 кв.3</v>
                </pt>
                <pt idx="18">
                  <v>2013 кв.4</v>
                </pt>
                <pt idx="19">
                  <v>2014 кв.1</v>
                </pt>
                <pt idx="20">
                  <v>2014 кв.2</v>
                </pt>
                <pt idx="21">
                  <v>2014 кв.3</v>
                </pt>
                <pt idx="22">
                  <v>2014 кв.4</v>
                </pt>
                <pt idx="23">
                  <v>2015 кв.1</v>
                </pt>
                <pt idx="24">
                  <v>2015 кв.2</v>
                </pt>
                <pt idx="25">
                  <v>2015 кв.3</v>
                </pt>
                <pt idx="26">
                  <v>2015 кв.4</v>
                </pt>
                <pt idx="27">
                  <v>2016 кв.1</v>
                </pt>
                <pt idx="28">
                  <v>2016 кв.2</v>
                </pt>
                <pt idx="29">
                  <v>2016 кв.3</v>
                </pt>
                <pt idx="30">
                  <v>2016 кв.4</v>
                </pt>
                <pt idx="31">
                  <v>2017 кв.1</v>
                </pt>
                <pt idx="32">
                  <v>2017 кв.2</v>
                </pt>
                <pt idx="33">
                  <v>2017 кв.3</v>
                </pt>
                <pt idx="34">
                  <v>2017 кв.4</v>
                </pt>
                <pt idx="35">
                  <v>2018 кв.1</v>
                </pt>
                <pt idx="36">
                  <v>2018 кв.2</v>
                </pt>
                <pt idx="37">
                  <v>2018 кв.3</v>
                </pt>
                <pt idx="38">
                  <v>2018 кв.4</v>
                </pt>
                <pt idx="39">
                  <v>2019 кв.1</v>
                </pt>
                <pt idx="40">
                  <v>2019 кв.2</v>
                </pt>
                <pt idx="41">
                  <v>2019 кв.3</v>
                </pt>
                <pt idx="42">
                  <v>2019 кв.4</v>
                </pt>
                <pt idx="43">
                  <v>2020 кв.1</v>
                </pt>
                <pt idx="44">
                  <v>2020 кв.2</v>
                </pt>
                <pt idx="45">
                  <v>2020 кв.3</v>
                </pt>
                <pt idx="46">
                  <v>2020 кв.4</v>
                </pt>
                <pt idx="47">
                  <v>2021 кв.1</v>
                </pt>
                <pt idx="48">
                  <v>2021 кв.2</v>
                </pt>
                <pt idx="49">
                  <v>2021 кв.4</v>
                </pt>
                <pt idx="50">
                  <v>2022 кв.1</v>
                </pt>
                <pt idx="51">
                  <v>2022 кв.2</v>
                </pt>
                <pt idx="52">
                  <v>2022 кв.3</v>
                </pt>
                <pt idx="53">
                  <v>2022 кв.4</v>
                </pt>
                <pt idx="54">
                  <v>2023 кв.1</v>
                </pt>
                <pt idx="55">
                  <v>2023 кв.2</v>
                </pt>
                <pt idx="56">
                  <v>2023 кв.3</v>
                </pt>
                <pt idx="57">
                  <v>2023 кв.4</v>
                </pt>
                <pt idx="58">
                  <v>2024 кв.1</v>
                </pt>
                <pt idx="59">
                  <v>2024 кв.2</v>
                </pt>
                <pt idx="60">
                  <v>2024 кв.3</v>
                </pt>
                <pt idx="61">
                  <v>2024 кв.4</v>
                </pt>
                <pt idx="62">
                  <v>2025 кв.1</v>
                </pt>
                <pt idx="63">
                  <v>2025 кв.2</v>
                </pt>
                <pt idx="64">
                  <v>2025 кв.3</v>
                </pt>
                <pt idx="65">
                  <v>2025 кв.4</v>
                </pt>
                <pt idx="66">
                  <v>2026 кв.1</v>
                </pt>
                <pt idx="67">
                  <v>2026 кв.2</v>
                </pt>
              </strCache>
            </strRef>
          </cat>
          <val>
            <numRef>
              <f>(Barometr_1!$S$5:$S$53,Barometr_1!$S$55:$S$73)</f>
              <numCache>
                <formatCode>0.00</formatCode>
                <ptCount val="68"/>
                <pt idx="0">
                  <v>0.440944584674857</v>
                </pt>
                <pt idx="1">
                  <v>0.2924696813275811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0.186324647661318</v>
                </pt>
                <pt idx="14">
                  <v>0.06961280186943788</v>
                </pt>
                <pt idx="15">
                  <v>0.1229620043067917</v>
                </pt>
                <pt idx="16">
                  <v>0.09918883644257991</v>
                </pt>
                <pt idx="17">
                  <v>0</v>
                </pt>
                <pt idx="18">
                  <v>0.06365988106289375</v>
                </pt>
                <pt idx="19">
                  <v>0.006863396528339845</v>
                </pt>
                <pt idx="20">
                  <v>0.2207401582846279</v>
                </pt>
                <pt idx="21">
                  <v>0.3361954585107418</v>
                </pt>
                <pt idx="22">
                  <v>0.3062848847575048</v>
                </pt>
                <pt idx="23">
                  <v>0.3999747798737662</v>
                </pt>
                <pt idx="24">
                  <v>0.34211722977836</v>
                </pt>
                <pt idx="25">
                  <v>0.306303130530215</v>
                </pt>
                <pt idx="26">
                  <v>0.3170633434109126</v>
                </pt>
                <pt idx="27">
                  <v>0.2728089271058384</v>
                </pt>
                <pt idx="28">
                  <v>0.1677527160607308</v>
                </pt>
                <pt idx="29">
                  <v>0.03928874504000788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0.09931106203003162</v>
                </pt>
                <pt idx="39">
                  <v>0.3117250846085897</v>
                </pt>
                <pt idx="40">
                  <v>0.3670419912765943</v>
                </pt>
                <pt idx="41">
                  <v>0.2554025615648321</v>
                </pt>
                <pt idx="42">
                  <v>0.2991854471619586</v>
                </pt>
                <pt idx="43">
                  <v>0.2425768881887983</v>
                </pt>
                <pt idx="44">
                  <v>0.1734039625775372</v>
                </pt>
                <pt idx="45">
                  <v>0.1495566980798736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0.07447877515750367</v>
                </pt>
                <pt idx="58">
                  <v>0.2704142827302095</v>
                </pt>
                <pt idx="59">
                  <v>0.2151577988521742</v>
                </pt>
                <pt idx="60">
                  <v>0.2561047945145782</v>
                </pt>
                <pt idx="61">
                  <v>0.2556089722276793</v>
                </pt>
                <pt idx="62">
                  <v>0.2077372954317649</v>
                </pt>
                <pt idx="63">
                  <v>0.2801371060146699</v>
                </pt>
                <pt idx="64">
                  <v>0.3360735876391551</v>
                </pt>
                <pt idx="65">
                  <v>0.2034477760966601</v>
                </pt>
                <pt idx="66">
                  <v>0.392671017603227</v>
                </pt>
                <pt idx="67">
                  <v>0.4639351499932052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lineChart>
        <grouping val="standard"/>
        <varyColors val="0"/>
        <ser>
          <idx val="6"/>
          <order val="6"/>
          <tx>
            <strRef>
              <f>Barometr_1!$U$1</f>
              <strCache>
                <ptCount val="1"/>
                <pt idx="0">
                  <v>Барометр финансовых уязвимостей</v>
                </pt>
              </strCache>
            </strRef>
          </tx>
          <spPr>
            <a:ln w="28575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(Barometr_1!$Z$5:$Z$53,Barometr_1!$Z$55:$Z$73)</f>
              <strCache>
                <ptCount val="68"/>
                <pt idx="0">
                  <v>2009 кв.2</v>
                </pt>
                <pt idx="1">
                  <v>2009 кв.3</v>
                </pt>
                <pt idx="2">
                  <v>2009 кв.4</v>
                </pt>
                <pt idx="3">
                  <v>2010 кв.1</v>
                </pt>
                <pt idx="4">
                  <v>2010 кв.2</v>
                </pt>
                <pt idx="5">
                  <v>2010 кв.3</v>
                </pt>
                <pt idx="6">
                  <v>2010 кв.4</v>
                </pt>
                <pt idx="7">
                  <v>2011 кв.1</v>
                </pt>
                <pt idx="8">
                  <v>2011 кв.2</v>
                </pt>
                <pt idx="9">
                  <v>2011 кв.3</v>
                </pt>
                <pt idx="10">
                  <v>2011 кв.4</v>
                </pt>
                <pt idx="11">
                  <v>2012 кв.1</v>
                </pt>
                <pt idx="12">
                  <v>2012 кв.2</v>
                </pt>
                <pt idx="13">
                  <v>2012 кв.3</v>
                </pt>
                <pt idx="14">
                  <v>2012 кв.4</v>
                </pt>
                <pt idx="15">
                  <v>2013 кв.1</v>
                </pt>
                <pt idx="16">
                  <v>2013 кв.2</v>
                </pt>
                <pt idx="17">
                  <v>2013 кв.3</v>
                </pt>
                <pt idx="18">
                  <v>2013 кв.4</v>
                </pt>
                <pt idx="19">
                  <v>2014 кв.1</v>
                </pt>
                <pt idx="20">
                  <v>2014 кв.2</v>
                </pt>
                <pt idx="21">
                  <v>2014 кв.3</v>
                </pt>
                <pt idx="22">
                  <v>2014 кв.4</v>
                </pt>
                <pt idx="23">
                  <v>2015 кв.1</v>
                </pt>
                <pt idx="24">
                  <v>2015 кв.2</v>
                </pt>
                <pt idx="25">
                  <v>2015 кв.3</v>
                </pt>
                <pt idx="26">
                  <v>2015 кв.4</v>
                </pt>
                <pt idx="27">
                  <v>2016 кв.1</v>
                </pt>
                <pt idx="28">
                  <v>2016 кв.2</v>
                </pt>
                <pt idx="29">
                  <v>2016 кв.3</v>
                </pt>
                <pt idx="30">
                  <v>2016 кв.4</v>
                </pt>
                <pt idx="31">
                  <v>2017 кв.1</v>
                </pt>
                <pt idx="32">
                  <v>2017 кв.2</v>
                </pt>
                <pt idx="33">
                  <v>2017 кв.3</v>
                </pt>
                <pt idx="34">
                  <v>2017 кв.4</v>
                </pt>
                <pt idx="35">
                  <v>2018 кв.1</v>
                </pt>
                <pt idx="36">
                  <v>2018 кв.2</v>
                </pt>
                <pt idx="37">
                  <v>2018 кв.3</v>
                </pt>
                <pt idx="38">
                  <v>2018 кв.4</v>
                </pt>
                <pt idx="39">
                  <v>2019 кв.1</v>
                </pt>
                <pt idx="40">
                  <v>2019 кв.2</v>
                </pt>
                <pt idx="41">
                  <v>2019 кв.3</v>
                </pt>
                <pt idx="42">
                  <v>2019 кв.4</v>
                </pt>
                <pt idx="43">
                  <v>2020 кв.1</v>
                </pt>
                <pt idx="44">
                  <v>2020 кв.2</v>
                </pt>
                <pt idx="45">
                  <v>2020 кв.3</v>
                </pt>
                <pt idx="46">
                  <v>2020 кв.4</v>
                </pt>
                <pt idx="47">
                  <v>2021 кв.1</v>
                </pt>
                <pt idx="48">
                  <v>2021 кв.2</v>
                </pt>
                <pt idx="49">
                  <v>2021 кв.4</v>
                </pt>
                <pt idx="50">
                  <v>2022 кв.1</v>
                </pt>
                <pt idx="51">
                  <v>2022 кв.2</v>
                </pt>
                <pt idx="52">
                  <v>2022 кв.3</v>
                </pt>
                <pt idx="53">
                  <v>2022 кв.4</v>
                </pt>
                <pt idx="54">
                  <v>2023 кв.1</v>
                </pt>
                <pt idx="55">
                  <v>2023 кв.2</v>
                </pt>
                <pt idx="56">
                  <v>2023 кв.3</v>
                </pt>
                <pt idx="57">
                  <v>2023 кв.4</v>
                </pt>
                <pt idx="58">
                  <v>2024 кв.1</v>
                </pt>
                <pt idx="59">
                  <v>2024 кв.2</v>
                </pt>
                <pt idx="60">
                  <v>2024 кв.3</v>
                </pt>
                <pt idx="61">
                  <v>2024 кв.4</v>
                </pt>
                <pt idx="62">
                  <v>2025 кв.1</v>
                </pt>
                <pt idx="63">
                  <v>2025 кв.2</v>
                </pt>
                <pt idx="64">
                  <v>2025 кв.3</v>
                </pt>
                <pt idx="65">
                  <v>2025 кв.4</v>
                </pt>
                <pt idx="66">
                  <v>2026 кв.1</v>
                </pt>
                <pt idx="67">
                  <v>2026 кв.2</v>
                </pt>
              </strCache>
            </strRef>
          </cat>
          <val>
            <numRef>
              <f>(Barometr_1!$V$5:$V$53,Barometr_1!$V$55:$V$73)</f>
              <numCache>
                <formatCode>0.00</formatCode>
                <ptCount val="68"/>
                <pt idx="0">
                  <v>2.32759866444394</v>
                </pt>
                <pt idx="1">
                  <v>2.34153003529597</v>
                </pt>
                <pt idx="2">
                  <v>1.780358559318832</v>
                </pt>
                <pt idx="3">
                  <v>1.623082220360478</v>
                </pt>
                <pt idx="4">
                  <v>1.460984410580959</v>
                </pt>
                <pt idx="5">
                  <v>1.568751913286922</v>
                </pt>
                <pt idx="6">
                  <v>1.80123423275023</v>
                </pt>
                <pt idx="7">
                  <v>1.706901440775191</v>
                </pt>
                <pt idx="8">
                  <v>1.337929656910081</v>
                </pt>
                <pt idx="9">
                  <v>0.8621610565962634</v>
                </pt>
                <pt idx="10">
                  <v>0.1722841245609938</v>
                </pt>
                <pt idx="11">
                  <v>0</v>
                </pt>
                <pt idx="12">
                  <v>0</v>
                </pt>
                <pt idx="13">
                  <v>0.186324647661318</v>
                </pt>
                <pt idx="14">
                  <v>0.1149632904207103</v>
                </pt>
                <pt idx="15">
                  <v>0.2467266642500441</v>
                </pt>
                <pt idx="16">
                  <v>0.3666615512669454</v>
                </pt>
                <pt idx="17">
                  <v>0.3838941948395047</v>
                </pt>
                <pt idx="18">
                  <v>0.5249120308917077</v>
                </pt>
                <pt idx="19">
                  <v>0.7056668475110327</v>
                </pt>
                <pt idx="20">
                  <v>1.113068068495994</v>
                </pt>
                <pt idx="21">
                  <v>1.221852683481429</v>
                </pt>
                <pt idx="22">
                  <v>0.7975090003777352</v>
                </pt>
                <pt idx="23">
                  <v>1.369788333175007</v>
                </pt>
                <pt idx="24">
                  <v>1.08513504231271</v>
                </pt>
                <pt idx="25">
                  <v>0.9994353468272423</v>
                </pt>
                <pt idx="26">
                  <v>0.994389882410555</v>
                </pt>
                <pt idx="27">
                  <v>1.176971075381323</v>
                </pt>
                <pt idx="28">
                  <v>1.276942603028207</v>
                </pt>
                <pt idx="29">
                  <v>0.5943759063335599</v>
                </pt>
                <pt idx="30">
                  <v>0.2612167822450128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0.06986143100726544</v>
                </pt>
                <pt idx="36">
                  <v>0.1797970005973469</v>
                </pt>
                <pt idx="37">
                  <v>0.2654799211957071</v>
                </pt>
                <pt idx="38">
                  <v>0.428342751729955</v>
                </pt>
                <pt idx="39">
                  <v>0.7558245247281141</v>
                </pt>
                <pt idx="40">
                  <v>0.8020462877327399</v>
                </pt>
                <pt idx="41">
                  <v>0.6647810474757336</v>
                </pt>
                <pt idx="42">
                  <v>0.7129165852945898</v>
                </pt>
                <pt idx="43">
                  <v>1.039088737169466</v>
                </pt>
                <pt idx="44">
                  <v>1.778937233692104</v>
                </pt>
                <pt idx="45">
                  <v>1.79130738613973</v>
                </pt>
                <pt idx="46">
                  <v>1.378950463506178</v>
                </pt>
                <pt idx="47">
                  <v>1.03061250055815</v>
                </pt>
                <pt idx="48">
                  <v>0.3340682385187079</v>
                </pt>
                <pt idx="49">
                  <v>0</v>
                </pt>
                <pt idx="50">
                  <v>0.03744827574927182</v>
                </pt>
                <pt idx="51">
                  <v>0.09879487796438113</v>
                </pt>
                <pt idx="52">
                  <v>0</v>
                </pt>
                <pt idx="53">
                  <v>0</v>
                </pt>
                <pt idx="54">
                  <v>0.0999766630265144</v>
                </pt>
                <pt idx="55">
                  <v>0.1642365687827367</v>
                </pt>
                <pt idx="56">
                  <v>0.2879650762960851</v>
                </pt>
                <pt idx="57">
                  <v>0.4430253201446886</v>
                </pt>
                <pt idx="58">
                  <v>0.5830587064891362</v>
                </pt>
                <pt idx="59">
                  <v>0.3916237120147696</v>
                </pt>
                <pt idx="60">
                  <v>0.4918504741906703</v>
                </pt>
                <pt idx="61">
                  <v>0.5095072024445719</v>
                </pt>
                <pt idx="62">
                  <v>0.5701084103229725</v>
                </pt>
                <pt idx="63">
                  <v>0.7712270498476858</v>
                </pt>
                <pt idx="64">
                  <v>0.6825112005958724</v>
                </pt>
                <pt idx="65">
                  <v>0.4685221941783497</v>
                </pt>
                <pt idx="66">
                  <v>0.6616388464372576</v>
                </pt>
                <pt idx="67">
                  <v>0.687909638846138</v>
                </pt>
              </numCache>
            </numRef>
          </val>
          <smooth val="0"/>
        </ser>
        <ser>
          <idx val="7"/>
          <order val="7"/>
          <tx>
            <strRef>
              <f>Barometr_1!$Y$3</f>
              <strCache>
                <ptCount val="1"/>
                <pt idx="0">
                  <v xml:space="preserve"> Критическое значение Барометра </v>
                </pt>
              </strCache>
            </strRef>
          </tx>
          <spPr>
            <a:ln w="22225" cap="rnd">
              <a:solidFill>
                <a:srgbClr val="FF0000"/>
              </a:solidFill>
              <a:prstDash val="sysDash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(Barometr_1!$Z$5:$Z$53,Barometr_1!$Z$55:$Z$73)</f>
              <strCache>
                <ptCount val="68"/>
                <pt idx="0">
                  <v>2009 кв.2</v>
                </pt>
                <pt idx="1">
                  <v>2009 кв.3</v>
                </pt>
                <pt idx="2">
                  <v>2009 кв.4</v>
                </pt>
                <pt idx="3">
                  <v>2010 кв.1</v>
                </pt>
                <pt idx="4">
                  <v>2010 кв.2</v>
                </pt>
                <pt idx="5">
                  <v>2010 кв.3</v>
                </pt>
                <pt idx="6">
                  <v>2010 кв.4</v>
                </pt>
                <pt idx="7">
                  <v>2011 кв.1</v>
                </pt>
                <pt idx="8">
                  <v>2011 кв.2</v>
                </pt>
                <pt idx="9">
                  <v>2011 кв.3</v>
                </pt>
                <pt idx="10">
                  <v>2011 кв.4</v>
                </pt>
                <pt idx="11">
                  <v>2012 кв.1</v>
                </pt>
                <pt idx="12">
                  <v>2012 кв.2</v>
                </pt>
                <pt idx="13">
                  <v>2012 кв.3</v>
                </pt>
                <pt idx="14">
                  <v>2012 кв.4</v>
                </pt>
                <pt idx="15">
                  <v>2013 кв.1</v>
                </pt>
                <pt idx="16">
                  <v>2013 кв.2</v>
                </pt>
                <pt idx="17">
                  <v>2013 кв.3</v>
                </pt>
                <pt idx="18">
                  <v>2013 кв.4</v>
                </pt>
                <pt idx="19">
                  <v>2014 кв.1</v>
                </pt>
                <pt idx="20">
                  <v>2014 кв.2</v>
                </pt>
                <pt idx="21">
                  <v>2014 кв.3</v>
                </pt>
                <pt idx="22">
                  <v>2014 кв.4</v>
                </pt>
                <pt idx="23">
                  <v>2015 кв.1</v>
                </pt>
                <pt idx="24">
                  <v>2015 кв.2</v>
                </pt>
                <pt idx="25">
                  <v>2015 кв.3</v>
                </pt>
                <pt idx="26">
                  <v>2015 кв.4</v>
                </pt>
                <pt idx="27">
                  <v>2016 кв.1</v>
                </pt>
                <pt idx="28">
                  <v>2016 кв.2</v>
                </pt>
                <pt idx="29">
                  <v>2016 кв.3</v>
                </pt>
                <pt idx="30">
                  <v>2016 кв.4</v>
                </pt>
                <pt idx="31">
                  <v>2017 кв.1</v>
                </pt>
                <pt idx="32">
                  <v>2017 кв.2</v>
                </pt>
                <pt idx="33">
                  <v>2017 кв.3</v>
                </pt>
                <pt idx="34">
                  <v>2017 кв.4</v>
                </pt>
                <pt idx="35">
                  <v>2018 кв.1</v>
                </pt>
                <pt idx="36">
                  <v>2018 кв.2</v>
                </pt>
                <pt idx="37">
                  <v>2018 кв.3</v>
                </pt>
                <pt idx="38">
                  <v>2018 кв.4</v>
                </pt>
                <pt idx="39">
                  <v>2019 кв.1</v>
                </pt>
                <pt idx="40">
                  <v>2019 кв.2</v>
                </pt>
                <pt idx="41">
                  <v>2019 кв.3</v>
                </pt>
                <pt idx="42">
                  <v>2019 кв.4</v>
                </pt>
                <pt idx="43">
                  <v>2020 кв.1</v>
                </pt>
                <pt idx="44">
                  <v>2020 кв.2</v>
                </pt>
                <pt idx="45">
                  <v>2020 кв.3</v>
                </pt>
                <pt idx="46">
                  <v>2020 кв.4</v>
                </pt>
                <pt idx="47">
                  <v>2021 кв.1</v>
                </pt>
                <pt idx="48">
                  <v>2021 кв.2</v>
                </pt>
                <pt idx="49">
                  <v>2021 кв.4</v>
                </pt>
                <pt idx="50">
                  <v>2022 кв.1</v>
                </pt>
                <pt idx="51">
                  <v>2022 кв.2</v>
                </pt>
                <pt idx="52">
                  <v>2022 кв.3</v>
                </pt>
                <pt idx="53">
                  <v>2022 кв.4</v>
                </pt>
                <pt idx="54">
                  <v>2023 кв.1</v>
                </pt>
                <pt idx="55">
                  <v>2023 кв.2</v>
                </pt>
                <pt idx="56">
                  <v>2023 кв.3</v>
                </pt>
                <pt idx="57">
                  <v>2023 кв.4</v>
                </pt>
                <pt idx="58">
                  <v>2024 кв.1</v>
                </pt>
                <pt idx="59">
                  <v>2024 кв.2</v>
                </pt>
                <pt idx="60">
                  <v>2024 кв.3</v>
                </pt>
                <pt idx="61">
                  <v>2024 кв.4</v>
                </pt>
                <pt idx="62">
                  <v>2025 кв.1</v>
                </pt>
                <pt idx="63">
                  <v>2025 кв.2</v>
                </pt>
                <pt idx="64">
                  <v>2025 кв.3</v>
                </pt>
                <pt idx="65">
                  <v>2025 кв.4</v>
                </pt>
                <pt idx="66">
                  <v>2026 кв.1</v>
                </pt>
                <pt idx="67">
                  <v>2026 кв.2</v>
                </pt>
              </strCache>
            </strRef>
          </cat>
          <val>
            <numRef>
              <f>(Barometr_1!$Y$5:$Y$53,Barometr_1!$Y$55:$Y$73)</f>
              <numCache>
                <formatCode>0.00</formatCode>
                <ptCount val="68"/>
                <pt idx="0">
                  <v>1.5</v>
                </pt>
                <pt idx="1">
                  <v>1.5</v>
                </pt>
                <pt idx="2">
                  <v>1.5</v>
                </pt>
                <pt idx="3">
                  <v>1.5</v>
                </pt>
                <pt idx="4">
                  <v>1.5</v>
                </pt>
                <pt idx="5">
                  <v>1.5</v>
                </pt>
                <pt idx="6">
                  <v>1.5</v>
                </pt>
                <pt idx="7">
                  <v>1.5</v>
                </pt>
                <pt idx="8">
                  <v>1.5</v>
                </pt>
                <pt idx="9">
                  <v>1.5</v>
                </pt>
                <pt idx="10">
                  <v>1.5</v>
                </pt>
                <pt idx="11">
                  <v>1.5</v>
                </pt>
                <pt idx="12">
                  <v>1.5</v>
                </pt>
                <pt idx="13">
                  <v>1.5</v>
                </pt>
                <pt idx="14">
                  <v>1.5</v>
                </pt>
                <pt idx="15">
                  <v>1.5</v>
                </pt>
                <pt idx="16">
                  <v>1.5</v>
                </pt>
                <pt idx="17">
                  <v>1.5</v>
                </pt>
                <pt idx="18">
                  <v>1.5</v>
                </pt>
                <pt idx="19">
                  <v>1.5</v>
                </pt>
                <pt idx="20">
                  <v>1.5</v>
                </pt>
                <pt idx="21">
                  <v>1.5</v>
                </pt>
                <pt idx="22">
                  <v>1.5</v>
                </pt>
                <pt idx="23">
                  <v>1.5</v>
                </pt>
                <pt idx="24">
                  <v>1.5</v>
                </pt>
                <pt idx="25">
                  <v>1.5</v>
                </pt>
                <pt idx="26">
                  <v>1.5</v>
                </pt>
                <pt idx="27">
                  <v>1.5</v>
                </pt>
                <pt idx="28">
                  <v>1.5</v>
                </pt>
                <pt idx="29">
                  <v>1.5</v>
                </pt>
                <pt idx="30">
                  <v>1.5</v>
                </pt>
                <pt idx="31">
                  <v>1.5</v>
                </pt>
                <pt idx="32">
                  <v>1.5</v>
                </pt>
                <pt idx="33">
                  <v>1.5</v>
                </pt>
                <pt idx="34">
                  <v>1.5</v>
                </pt>
                <pt idx="35">
                  <v>1.5</v>
                </pt>
                <pt idx="36">
                  <v>1.5</v>
                </pt>
                <pt idx="37">
                  <v>1.5</v>
                </pt>
                <pt idx="38">
                  <v>1.5</v>
                </pt>
                <pt idx="39">
                  <v>1.5</v>
                </pt>
                <pt idx="40">
                  <v>1.5</v>
                </pt>
                <pt idx="41">
                  <v>1.5</v>
                </pt>
                <pt idx="42">
                  <v>1.5</v>
                </pt>
                <pt idx="43">
                  <v>1.5</v>
                </pt>
                <pt idx="44">
                  <v>1.5</v>
                </pt>
                <pt idx="45">
                  <v>1.5</v>
                </pt>
                <pt idx="46">
                  <v>1.5</v>
                </pt>
                <pt idx="47">
                  <v>1.5</v>
                </pt>
                <pt idx="48">
                  <v>1.5</v>
                </pt>
                <pt idx="49">
                  <v>1.5</v>
                </pt>
                <pt idx="50">
                  <v>1.5</v>
                </pt>
                <pt idx="51">
                  <v>1.5</v>
                </pt>
                <pt idx="52">
                  <v>1.5</v>
                </pt>
                <pt idx="53">
                  <v>1.5</v>
                </pt>
                <pt idx="54">
                  <v>1.5</v>
                </pt>
                <pt idx="55">
                  <v>1.5</v>
                </pt>
                <pt idx="56">
                  <v>1.5</v>
                </pt>
                <pt idx="57">
                  <v>1.5</v>
                </pt>
                <pt idx="58">
                  <v>1.5</v>
                </pt>
                <pt idx="59">
                  <v>1.5</v>
                </pt>
                <pt idx="60">
                  <v>1.5</v>
                </pt>
                <pt idx="61">
                  <v>1.5</v>
                </pt>
                <pt idx="62">
                  <v>1.5</v>
                </pt>
                <pt idx="63">
                  <v>1.5</v>
                </pt>
                <pt idx="64">
                  <v>1.5</v>
                </pt>
                <pt idx="65">
                  <v>1.5</v>
                </pt>
                <pt idx="66">
                  <v>1.5</v>
                </pt>
                <pt idx="67">
                  <v>1.5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885899472"/>
        <axId val="1981925232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catAx>
        <axId val="188589947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981925232"/>
        <crosses val="autoZero"/>
        <auto val="1"/>
        <lblAlgn val="ctr"/>
        <lblOffset val="100"/>
        <noMultiLvlLbl val="0"/>
      </catAx>
      <valAx>
        <axId val="1981925232"/>
        <scaling>
          <orientation val="minMax"/>
        </scaling>
        <delete val="0"/>
        <axPos val="l"/>
        <numFmt formatCode="0.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885899472"/>
        <crosses val="autoZero"/>
        <crossBetween val="between"/>
      </valAx>
    </plotArea>
    <plotVisOnly val="1"/>
    <dispBlanksAs val="gap"/>
  </chart>
  <spPr>
    <a:noFill/>
    <a:ln w="9525" cap="flat" cmpd="sng" algn="ctr">
      <a:noFill/>
      <a:prstDash val="solid"/>
      <a:round/>
    </a:ln>
  </spPr>
</chartSpace>
</file>

<file path=xl/charts/chart20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670222107984361"/>
          <y val="0.07568226113919707"/>
          <w val="0.9184272206977866"/>
          <h val="0.5716166854272062"/>
        </manualLayout>
      </layout>
      <areaChart>
        <grouping val="stacked"/>
        <varyColors val="0"/>
        <ser>
          <idx val="6"/>
          <order val="0"/>
          <tx>
            <strRef>
              <f>Barometr_1!$C$1</f>
              <strCache>
                <ptCount val="1"/>
                <pt idx="0">
                  <v>Корпоративный сектор</v>
                </pt>
              </strCache>
            </strRef>
          </tx>
          <spPr>
            <a:solidFill>
              <a:schemeClr val="accent1">
                <a:alpha val="50000"/>
              </a:schemeClr>
            </a:solidFill>
            <a:ln>
              <a:noFill/>
              <a:prstDash val="solid"/>
            </a:ln>
          </spPr>
          <cat>
            <strRef>
              <f>Barometr_1!$Z$5:$Z$73</f>
              <strCache>
                <ptCount val="69"/>
                <pt idx="0">
                  <v>2009 кв.2</v>
                </pt>
                <pt idx="1">
                  <v>2009 кв.3</v>
                </pt>
                <pt idx="2">
                  <v>2009 кв.4</v>
                </pt>
                <pt idx="3">
                  <v>2010 кв.1</v>
                </pt>
                <pt idx="4">
                  <v>2010 кв.2</v>
                </pt>
                <pt idx="5">
                  <v>2010 кв.3</v>
                </pt>
                <pt idx="6">
                  <v>2010 кв.4</v>
                </pt>
                <pt idx="7">
                  <v>2011 кв.1</v>
                </pt>
                <pt idx="8">
                  <v>2011 кв.2</v>
                </pt>
                <pt idx="9">
                  <v>2011 кв.3</v>
                </pt>
                <pt idx="10">
                  <v>2011 кв.4</v>
                </pt>
                <pt idx="11">
                  <v>2012 кв.1</v>
                </pt>
                <pt idx="12">
                  <v>2012 кв.2</v>
                </pt>
                <pt idx="13">
                  <v>2012 кв.3</v>
                </pt>
                <pt idx="14">
                  <v>2012 кв.4</v>
                </pt>
                <pt idx="15">
                  <v>2013 кв.1</v>
                </pt>
                <pt idx="16">
                  <v>2013 кв.2</v>
                </pt>
                <pt idx="17">
                  <v>2013 кв.3</v>
                </pt>
                <pt idx="18">
                  <v>2013 кв.4</v>
                </pt>
                <pt idx="19">
                  <v>2014 кв.1</v>
                </pt>
                <pt idx="20">
                  <v>2014 кв.2</v>
                </pt>
                <pt idx="21">
                  <v>2014 кв.3</v>
                </pt>
                <pt idx="22">
                  <v>2014 кв.4</v>
                </pt>
                <pt idx="23">
                  <v>2015 кв.1</v>
                </pt>
                <pt idx="24">
                  <v>2015 кв.2</v>
                </pt>
                <pt idx="25">
                  <v>2015 кв.3</v>
                </pt>
                <pt idx="26">
                  <v>2015 кв.4</v>
                </pt>
                <pt idx="27">
                  <v>2016 кв.1</v>
                </pt>
                <pt idx="28">
                  <v>2016 кв.2</v>
                </pt>
                <pt idx="29">
                  <v>2016 кв.3</v>
                </pt>
                <pt idx="30">
                  <v>2016 кв.4</v>
                </pt>
                <pt idx="31">
                  <v>2017 кв.1</v>
                </pt>
                <pt idx="32">
                  <v>2017 кв.2</v>
                </pt>
                <pt idx="33">
                  <v>2017 кв.3</v>
                </pt>
                <pt idx="34">
                  <v>2017 кв.4</v>
                </pt>
                <pt idx="35">
                  <v>2018 кв.1</v>
                </pt>
                <pt idx="36">
                  <v>2018 кв.2</v>
                </pt>
                <pt idx="37">
                  <v>2018 кв.3</v>
                </pt>
                <pt idx="38">
                  <v>2018 кв.4</v>
                </pt>
                <pt idx="39">
                  <v>2019 кв.1</v>
                </pt>
                <pt idx="40">
                  <v>2019 кв.2</v>
                </pt>
                <pt idx="41">
                  <v>2019 кв.3</v>
                </pt>
                <pt idx="42">
                  <v>2019 кв.4</v>
                </pt>
                <pt idx="43">
                  <v>2020 кв.1</v>
                </pt>
                <pt idx="44">
                  <v>2020 кв.2</v>
                </pt>
                <pt idx="45">
                  <v>2020 кв.3</v>
                </pt>
                <pt idx="46">
                  <v>2020 кв.4</v>
                </pt>
                <pt idx="47">
                  <v>2021 кв.1</v>
                </pt>
                <pt idx="48">
                  <v>2021 кв.2</v>
                </pt>
                <pt idx="49">
                  <v>2021 кв.3</v>
                </pt>
                <pt idx="50">
                  <v>2021 кв.4</v>
                </pt>
                <pt idx="51">
                  <v>2022 кв.1</v>
                </pt>
                <pt idx="52">
                  <v>2022 кв.2</v>
                </pt>
                <pt idx="53">
                  <v>2022 кв.3</v>
                </pt>
                <pt idx="54">
                  <v>2022 кв.4</v>
                </pt>
                <pt idx="55">
                  <v>2023 кв.1</v>
                </pt>
                <pt idx="56">
                  <v>2023 кв.2</v>
                </pt>
                <pt idx="57">
                  <v>2023 кв.3</v>
                </pt>
                <pt idx="58">
                  <v>2023 кв.4</v>
                </pt>
                <pt idx="59">
                  <v>2024 кв.1</v>
                </pt>
                <pt idx="60">
                  <v>2024 кв.2</v>
                </pt>
                <pt idx="61">
                  <v>2024 кв.3</v>
                </pt>
                <pt idx="62">
                  <v>2024 кв.4</v>
                </pt>
                <pt idx="63">
                  <v>2025 кв.1</v>
                </pt>
                <pt idx="64">
                  <v>2025 кв.2</v>
                </pt>
                <pt idx="65">
                  <v>2025 кв.3</v>
                </pt>
                <pt idx="66">
                  <v>2025 кв.4</v>
                </pt>
                <pt idx="67">
                  <v>2026 кв.1</v>
                </pt>
                <pt idx="68">
                  <v>2026 кв.2</v>
                </pt>
              </strCache>
            </strRef>
          </cat>
          <val>
            <numRef>
              <f>Barometr_1!$E$5:$E$73</f>
              <numCache>
                <formatCode>0.00</formatCode>
                <ptCount val="6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-0.03495349539500615</v>
                </pt>
                <pt idx="9">
                  <v>-0.01525448635359645</v>
                </pt>
                <pt idx="10">
                  <v>-0.1109904971012691</v>
                </pt>
                <pt idx="11">
                  <v>-0.2094157765622641</v>
                </pt>
                <pt idx="12">
                  <v>-0.4635989419032965</v>
                </pt>
                <pt idx="13">
                  <v>-0.434992880945074</v>
                </pt>
                <pt idx="14">
                  <v>-0.4383534123074244</v>
                </pt>
                <pt idx="15">
                  <v>-0.1148469440856271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-0.08727318729324085</v>
                </pt>
                <pt idx="32">
                  <v>-0.1818596762932261</v>
                </pt>
                <pt idx="33">
                  <v>-0.1789789970726789</v>
                </pt>
                <pt idx="34">
                  <v>-0.1612007961997929</v>
                </pt>
                <pt idx="35">
                  <v>-0.1259920578463361</v>
                </pt>
                <pt idx="36">
                  <v>-0.06680239477083998</v>
                </pt>
                <pt idx="37">
                  <v>-0.03585423833479194</v>
                </pt>
                <pt idx="38">
                  <v>-0.0004263608016007534</v>
                </pt>
                <pt idx="39">
                  <v>0</v>
                </pt>
                <pt idx="40">
                  <v>0</v>
                </pt>
                <pt idx="41">
                  <v>-0.01628073953081081</v>
                </pt>
                <pt idx="42">
                  <v>-0.01305384190815274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-0.2019300716646641</v>
                </pt>
                <pt idx="49">
                  <v>-0.2487051698024761</v>
                </pt>
                <pt idx="50">
                  <v>-0.2910727078195071</v>
                </pt>
                <pt idx="51">
                  <v>-0.1835255019587963</v>
                </pt>
                <pt idx="52">
                  <v>0</v>
                </pt>
                <pt idx="53">
                  <v>-0.01146298072481398</v>
                </pt>
                <pt idx="54">
                  <v>-0.02165539655402096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-0.01838917818204639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</numCache>
            </numRef>
          </val>
        </ser>
        <ser>
          <idx val="7"/>
          <order val="1"/>
          <tx>
            <strRef>
              <f>Barometr_1!$F$1</f>
              <strCache>
                <ptCount val="1"/>
                <pt idx="0">
                  <v>Сектор домохозяйств</v>
                </pt>
              </strCache>
            </strRef>
          </tx>
          <spPr>
            <a:solidFill>
              <a:schemeClr val="accent2">
                <a:alpha val="50000"/>
              </a:schemeClr>
            </a:solidFill>
            <a:ln>
              <a:noFill/>
              <a:prstDash val="solid"/>
            </a:ln>
          </spPr>
          <cat>
            <strRef>
              <f>Barometr_1!$Z$5:$Z$73</f>
              <strCache>
                <ptCount val="69"/>
                <pt idx="0">
                  <v>2009 кв.2</v>
                </pt>
                <pt idx="1">
                  <v>2009 кв.3</v>
                </pt>
                <pt idx="2">
                  <v>2009 кв.4</v>
                </pt>
                <pt idx="3">
                  <v>2010 кв.1</v>
                </pt>
                <pt idx="4">
                  <v>2010 кв.2</v>
                </pt>
                <pt idx="5">
                  <v>2010 кв.3</v>
                </pt>
                <pt idx="6">
                  <v>2010 кв.4</v>
                </pt>
                <pt idx="7">
                  <v>2011 кв.1</v>
                </pt>
                <pt idx="8">
                  <v>2011 кв.2</v>
                </pt>
                <pt idx="9">
                  <v>2011 кв.3</v>
                </pt>
                <pt idx="10">
                  <v>2011 кв.4</v>
                </pt>
                <pt idx="11">
                  <v>2012 кв.1</v>
                </pt>
                <pt idx="12">
                  <v>2012 кв.2</v>
                </pt>
                <pt idx="13">
                  <v>2012 кв.3</v>
                </pt>
                <pt idx="14">
                  <v>2012 кв.4</v>
                </pt>
                <pt idx="15">
                  <v>2013 кв.1</v>
                </pt>
                <pt idx="16">
                  <v>2013 кв.2</v>
                </pt>
                <pt idx="17">
                  <v>2013 кв.3</v>
                </pt>
                <pt idx="18">
                  <v>2013 кв.4</v>
                </pt>
                <pt idx="19">
                  <v>2014 кв.1</v>
                </pt>
                <pt idx="20">
                  <v>2014 кв.2</v>
                </pt>
                <pt idx="21">
                  <v>2014 кв.3</v>
                </pt>
                <pt idx="22">
                  <v>2014 кв.4</v>
                </pt>
                <pt idx="23">
                  <v>2015 кв.1</v>
                </pt>
                <pt idx="24">
                  <v>2015 кв.2</v>
                </pt>
                <pt idx="25">
                  <v>2015 кв.3</v>
                </pt>
                <pt idx="26">
                  <v>2015 кв.4</v>
                </pt>
                <pt idx="27">
                  <v>2016 кв.1</v>
                </pt>
                <pt idx="28">
                  <v>2016 кв.2</v>
                </pt>
                <pt idx="29">
                  <v>2016 кв.3</v>
                </pt>
                <pt idx="30">
                  <v>2016 кв.4</v>
                </pt>
                <pt idx="31">
                  <v>2017 кв.1</v>
                </pt>
                <pt idx="32">
                  <v>2017 кв.2</v>
                </pt>
                <pt idx="33">
                  <v>2017 кв.3</v>
                </pt>
                <pt idx="34">
                  <v>2017 кв.4</v>
                </pt>
                <pt idx="35">
                  <v>2018 кв.1</v>
                </pt>
                <pt idx="36">
                  <v>2018 кв.2</v>
                </pt>
                <pt idx="37">
                  <v>2018 кв.3</v>
                </pt>
                <pt idx="38">
                  <v>2018 кв.4</v>
                </pt>
                <pt idx="39">
                  <v>2019 кв.1</v>
                </pt>
                <pt idx="40">
                  <v>2019 кв.2</v>
                </pt>
                <pt idx="41">
                  <v>2019 кв.3</v>
                </pt>
                <pt idx="42">
                  <v>2019 кв.4</v>
                </pt>
                <pt idx="43">
                  <v>2020 кв.1</v>
                </pt>
                <pt idx="44">
                  <v>2020 кв.2</v>
                </pt>
                <pt idx="45">
                  <v>2020 кв.3</v>
                </pt>
                <pt idx="46">
                  <v>2020 кв.4</v>
                </pt>
                <pt idx="47">
                  <v>2021 кв.1</v>
                </pt>
                <pt idx="48">
                  <v>2021 кв.2</v>
                </pt>
                <pt idx="49">
                  <v>2021 кв.3</v>
                </pt>
                <pt idx="50">
                  <v>2021 кв.4</v>
                </pt>
                <pt idx="51">
                  <v>2022 кв.1</v>
                </pt>
                <pt idx="52">
                  <v>2022 кв.2</v>
                </pt>
                <pt idx="53">
                  <v>2022 кв.3</v>
                </pt>
                <pt idx="54">
                  <v>2022 кв.4</v>
                </pt>
                <pt idx="55">
                  <v>2023 кв.1</v>
                </pt>
                <pt idx="56">
                  <v>2023 кв.2</v>
                </pt>
                <pt idx="57">
                  <v>2023 кв.3</v>
                </pt>
                <pt idx="58">
                  <v>2023 кв.4</v>
                </pt>
                <pt idx="59">
                  <v>2024 кв.1</v>
                </pt>
                <pt idx="60">
                  <v>2024 кв.2</v>
                </pt>
                <pt idx="61">
                  <v>2024 кв.3</v>
                </pt>
                <pt idx="62">
                  <v>2024 кв.4</v>
                </pt>
                <pt idx="63">
                  <v>2025 кв.1</v>
                </pt>
                <pt idx="64">
                  <v>2025 кв.2</v>
                </pt>
                <pt idx="65">
                  <v>2025 кв.3</v>
                </pt>
                <pt idx="66">
                  <v>2025 кв.4</v>
                </pt>
                <pt idx="67">
                  <v>2026 кв.1</v>
                </pt>
                <pt idx="68">
                  <v>2026 кв.2</v>
                </pt>
              </strCache>
            </strRef>
          </cat>
          <val>
            <numRef>
              <f>Barometr_1!$H$5:$H$73</f>
              <numCache>
                <formatCode>0.00</formatCode>
                <ptCount val="6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-0.1234900465208398</v>
                </pt>
                <pt idx="10">
                  <v>-0.4847059439006277</v>
                </pt>
                <pt idx="11">
                  <v>-0.6772883068082416</v>
                </pt>
                <pt idx="12">
                  <v>-0.8332420527371219</v>
                </pt>
                <pt idx="13">
                  <v>-0.8506488977630081</v>
                </pt>
                <pt idx="14">
                  <v>-0.7332668748090008</v>
                </pt>
                <pt idx="15">
                  <v>-0.5780217811798878</v>
                </pt>
                <pt idx="16">
                  <v>-0.3568281335671242</v>
                </pt>
                <pt idx="17">
                  <v>-0.1589961365832447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-0.02913744911955049</v>
                </pt>
                <pt idx="27">
                  <v>-0.09337753771616543</v>
                </pt>
                <pt idx="28">
                  <v>-0.155624563061622</v>
                </pt>
                <pt idx="29">
                  <v>-0.2063647899643997</v>
                </pt>
                <pt idx="30">
                  <v>-0.2258068909113347</v>
                </pt>
                <pt idx="31">
                  <v>-0.2100966565033709</v>
                </pt>
                <pt idx="32">
                  <v>-0.1778642295343209</v>
                </pt>
                <pt idx="33">
                  <v>-0.1158269557058718</v>
                </pt>
                <pt idx="34">
                  <v>-0.03483771223010426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-0.05188800048058186</v>
                </pt>
                <pt idx="48">
                  <v>-0.198808378625953</v>
                </pt>
                <pt idx="49">
                  <v>-0.2795115384552033</v>
                </pt>
                <pt idx="50">
                  <v>-0.3406299499132976</v>
                </pt>
                <pt idx="51">
                  <v>-0.3731062062530371</v>
                </pt>
                <pt idx="52">
                  <v>-0.4064358746197858</v>
                </pt>
                <pt idx="53">
                  <v>-0.4367187287671704</v>
                </pt>
                <pt idx="54">
                  <v>-0.3794533859881508</v>
                </pt>
                <pt idx="55">
                  <v>-0.3172583151089748</v>
                </pt>
                <pt idx="56">
                  <v>-0.2502664483790379</v>
                </pt>
                <pt idx="57">
                  <v>-0.1554465307361632</v>
                </pt>
                <pt idx="58">
                  <v>-0.1009605719788543</v>
                </pt>
                <pt idx="59">
                  <v>-0.04957175581018747</v>
                </pt>
                <pt idx="60">
                  <v>-8.161656935977771e-05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</numCache>
            </numRef>
          </val>
        </ser>
        <ser>
          <idx val="8"/>
          <order val="2"/>
          <tx>
            <strRef>
              <f>Barometr_1!$L$1</f>
              <strCache>
                <ptCount val="1"/>
                <pt idx="0">
                  <v>Банковский сектор</v>
                </pt>
              </strCache>
            </strRef>
          </tx>
          <spPr>
            <a:solidFill>
              <a:schemeClr val="accent3">
                <a:alpha val="50000"/>
              </a:schemeClr>
            </a:solidFill>
            <a:ln>
              <a:noFill/>
              <a:prstDash val="solid"/>
            </a:ln>
          </spPr>
          <cat>
            <strRef>
              <f>Barometr_1!$Z$5:$Z$73</f>
              <strCache>
                <ptCount val="69"/>
                <pt idx="0">
                  <v>2009 кв.2</v>
                </pt>
                <pt idx="1">
                  <v>2009 кв.3</v>
                </pt>
                <pt idx="2">
                  <v>2009 кв.4</v>
                </pt>
                <pt idx="3">
                  <v>2010 кв.1</v>
                </pt>
                <pt idx="4">
                  <v>2010 кв.2</v>
                </pt>
                <pt idx="5">
                  <v>2010 кв.3</v>
                </pt>
                <pt idx="6">
                  <v>2010 кв.4</v>
                </pt>
                <pt idx="7">
                  <v>2011 кв.1</v>
                </pt>
                <pt idx="8">
                  <v>2011 кв.2</v>
                </pt>
                <pt idx="9">
                  <v>2011 кв.3</v>
                </pt>
                <pt idx="10">
                  <v>2011 кв.4</v>
                </pt>
                <pt idx="11">
                  <v>2012 кв.1</v>
                </pt>
                <pt idx="12">
                  <v>2012 кв.2</v>
                </pt>
                <pt idx="13">
                  <v>2012 кв.3</v>
                </pt>
                <pt idx="14">
                  <v>2012 кв.4</v>
                </pt>
                <pt idx="15">
                  <v>2013 кв.1</v>
                </pt>
                <pt idx="16">
                  <v>2013 кв.2</v>
                </pt>
                <pt idx="17">
                  <v>2013 кв.3</v>
                </pt>
                <pt idx="18">
                  <v>2013 кв.4</v>
                </pt>
                <pt idx="19">
                  <v>2014 кв.1</v>
                </pt>
                <pt idx="20">
                  <v>2014 кв.2</v>
                </pt>
                <pt idx="21">
                  <v>2014 кв.3</v>
                </pt>
                <pt idx="22">
                  <v>2014 кв.4</v>
                </pt>
                <pt idx="23">
                  <v>2015 кв.1</v>
                </pt>
                <pt idx="24">
                  <v>2015 кв.2</v>
                </pt>
                <pt idx="25">
                  <v>2015 кв.3</v>
                </pt>
                <pt idx="26">
                  <v>2015 кв.4</v>
                </pt>
                <pt idx="27">
                  <v>2016 кв.1</v>
                </pt>
                <pt idx="28">
                  <v>2016 кв.2</v>
                </pt>
                <pt idx="29">
                  <v>2016 кв.3</v>
                </pt>
                <pt idx="30">
                  <v>2016 кв.4</v>
                </pt>
                <pt idx="31">
                  <v>2017 кв.1</v>
                </pt>
                <pt idx="32">
                  <v>2017 кв.2</v>
                </pt>
                <pt idx="33">
                  <v>2017 кв.3</v>
                </pt>
                <pt idx="34">
                  <v>2017 кв.4</v>
                </pt>
                <pt idx="35">
                  <v>2018 кв.1</v>
                </pt>
                <pt idx="36">
                  <v>2018 кв.2</v>
                </pt>
                <pt idx="37">
                  <v>2018 кв.3</v>
                </pt>
                <pt idx="38">
                  <v>2018 кв.4</v>
                </pt>
                <pt idx="39">
                  <v>2019 кв.1</v>
                </pt>
                <pt idx="40">
                  <v>2019 кв.2</v>
                </pt>
                <pt idx="41">
                  <v>2019 кв.3</v>
                </pt>
                <pt idx="42">
                  <v>2019 кв.4</v>
                </pt>
                <pt idx="43">
                  <v>2020 кв.1</v>
                </pt>
                <pt idx="44">
                  <v>2020 кв.2</v>
                </pt>
                <pt idx="45">
                  <v>2020 кв.3</v>
                </pt>
                <pt idx="46">
                  <v>2020 кв.4</v>
                </pt>
                <pt idx="47">
                  <v>2021 кв.1</v>
                </pt>
                <pt idx="48">
                  <v>2021 кв.2</v>
                </pt>
                <pt idx="49">
                  <v>2021 кв.3</v>
                </pt>
                <pt idx="50">
                  <v>2021 кв.4</v>
                </pt>
                <pt idx="51">
                  <v>2022 кв.1</v>
                </pt>
                <pt idx="52">
                  <v>2022 кв.2</v>
                </pt>
                <pt idx="53">
                  <v>2022 кв.3</v>
                </pt>
                <pt idx="54">
                  <v>2022 кв.4</v>
                </pt>
                <pt idx="55">
                  <v>2023 кв.1</v>
                </pt>
                <pt idx="56">
                  <v>2023 кв.2</v>
                </pt>
                <pt idx="57">
                  <v>2023 кв.3</v>
                </pt>
                <pt idx="58">
                  <v>2023 кв.4</v>
                </pt>
                <pt idx="59">
                  <v>2024 кв.1</v>
                </pt>
                <pt idx="60">
                  <v>2024 кв.2</v>
                </pt>
                <pt idx="61">
                  <v>2024 кв.3</v>
                </pt>
                <pt idx="62">
                  <v>2024 кв.4</v>
                </pt>
                <pt idx="63">
                  <v>2025 кв.1</v>
                </pt>
                <pt idx="64">
                  <v>2025 кв.2</v>
                </pt>
                <pt idx="65">
                  <v>2025 кв.3</v>
                </pt>
                <pt idx="66">
                  <v>2025 кв.4</v>
                </pt>
                <pt idx="67">
                  <v>2026 кв.1</v>
                </pt>
                <pt idx="68">
                  <v>2026 кв.2</v>
                </pt>
              </strCache>
            </strRef>
          </cat>
          <val>
            <numRef>
              <f>Barometr_1!$N$5:$N$73</f>
              <numCache>
                <formatCode>0.00</formatCode>
                <ptCount val="6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-0.4874032815754487</v>
                </pt>
                <pt idx="12">
                  <v>-0.6928521220165021</v>
                </pt>
                <pt idx="13">
                  <v>-0.7261315726292571</v>
                </pt>
                <pt idx="14">
                  <v>-0.6718506534292394</v>
                </pt>
                <pt idx="15">
                  <v>-0.4355948580019938</v>
                </pt>
                <pt idx="16">
                  <v>-0.3250952855578501</v>
                </pt>
                <pt idx="17">
                  <v>-0.1695615262421178</v>
                </pt>
                <pt idx="18">
                  <v>-0.01599155996400874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-0.05429194801134333</v>
                </pt>
                <pt idx="31">
                  <v>-0.29241691226509</v>
                </pt>
                <pt idx="32">
                  <v>-0.3826331899839336</v>
                </pt>
                <pt idx="33">
                  <v>-0.3662324877443081</v>
                </pt>
                <pt idx="34">
                  <v>-0.3071406530683485</v>
                </pt>
                <pt idx="35">
                  <v>-0.2730409641949755</v>
                </pt>
                <pt idx="36">
                  <v>-0.173968339527058</v>
                </pt>
                <pt idx="37">
                  <v>-0.1286691785188189</v>
                </pt>
                <pt idx="38">
                  <v>-0.05388939510378549</v>
                </pt>
                <pt idx="39">
                  <v>-0.01678568699326779</v>
                </pt>
                <pt idx="40">
                  <v>-0.00640306461781214</v>
                </pt>
                <pt idx="41">
                  <v>-0.0175045123905925</v>
                </pt>
                <pt idx="42">
                  <v>-0.05039618012457912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-0.02588389779296044</v>
                </pt>
                <pt idx="50">
                  <v>-0.08738054308330852</v>
                </pt>
                <pt idx="51">
                  <v>0</v>
                </pt>
                <pt idx="52">
                  <v>-0.1029733353012694</v>
                </pt>
                <pt idx="53">
                  <v>-0.3470590076728048</v>
                </pt>
                <pt idx="54">
                  <v>-0.4679651010700366</v>
                </pt>
                <pt idx="55">
                  <v>-0.4227467521681596</v>
                </pt>
                <pt idx="56">
                  <v>-0.3197632591660774</v>
                </pt>
                <pt idx="57">
                  <v>-0.2079396648687345</v>
                </pt>
                <pt idx="58">
                  <v>-0.09837825025892906</v>
                </pt>
                <pt idx="59">
                  <v>-0.1174374959889977</v>
                </pt>
                <pt idx="60">
                  <v>-0.0963682786067861</v>
                </pt>
                <pt idx="61">
                  <v>-0.08896349215547142</v>
                </pt>
                <pt idx="62">
                  <v>-0.0474263064532696</v>
                </pt>
                <pt idx="63">
                  <v>-0.01047179819044447</v>
                </pt>
                <pt idx="64">
                  <v>-0.02752997253255198</v>
                </pt>
                <pt idx="65">
                  <v>-0.07636759272787844</v>
                </pt>
                <pt idx="66">
                  <v>-0.09903337973306567</v>
                </pt>
                <pt idx="67">
                  <v>-0.09427370456099507</v>
                </pt>
                <pt idx="68">
                  <v>-0.08984992333736457</v>
                </pt>
              </numCache>
            </numRef>
          </val>
        </ser>
        <ser>
          <idx val="9"/>
          <order val="3"/>
          <tx>
            <strRef>
              <f>Barometr_1!$I$1</f>
              <strCache>
                <ptCount val="1"/>
                <pt idx="0">
                  <v>Сектор государственного управления</v>
                </pt>
              </strCache>
            </strRef>
          </tx>
          <spPr>
            <a:solidFill>
              <a:schemeClr val="accent4">
                <a:alpha val="50000"/>
              </a:schemeClr>
            </a:solidFill>
            <a:ln>
              <a:noFill/>
              <a:prstDash val="solid"/>
            </a:ln>
          </spPr>
          <cat>
            <strRef>
              <f>Barometr_1!$Z$5:$Z$73</f>
              <strCache>
                <ptCount val="69"/>
                <pt idx="0">
                  <v>2009 кв.2</v>
                </pt>
                <pt idx="1">
                  <v>2009 кв.3</v>
                </pt>
                <pt idx="2">
                  <v>2009 кв.4</v>
                </pt>
                <pt idx="3">
                  <v>2010 кв.1</v>
                </pt>
                <pt idx="4">
                  <v>2010 кв.2</v>
                </pt>
                <pt idx="5">
                  <v>2010 кв.3</v>
                </pt>
                <pt idx="6">
                  <v>2010 кв.4</v>
                </pt>
                <pt idx="7">
                  <v>2011 кв.1</v>
                </pt>
                <pt idx="8">
                  <v>2011 кв.2</v>
                </pt>
                <pt idx="9">
                  <v>2011 кв.3</v>
                </pt>
                <pt idx="10">
                  <v>2011 кв.4</v>
                </pt>
                <pt idx="11">
                  <v>2012 кв.1</v>
                </pt>
                <pt idx="12">
                  <v>2012 кв.2</v>
                </pt>
                <pt idx="13">
                  <v>2012 кв.3</v>
                </pt>
                <pt idx="14">
                  <v>2012 кв.4</v>
                </pt>
                <pt idx="15">
                  <v>2013 кв.1</v>
                </pt>
                <pt idx="16">
                  <v>2013 кв.2</v>
                </pt>
                <pt idx="17">
                  <v>2013 кв.3</v>
                </pt>
                <pt idx="18">
                  <v>2013 кв.4</v>
                </pt>
                <pt idx="19">
                  <v>2014 кв.1</v>
                </pt>
                <pt idx="20">
                  <v>2014 кв.2</v>
                </pt>
                <pt idx="21">
                  <v>2014 кв.3</v>
                </pt>
                <pt idx="22">
                  <v>2014 кв.4</v>
                </pt>
                <pt idx="23">
                  <v>2015 кв.1</v>
                </pt>
                <pt idx="24">
                  <v>2015 кв.2</v>
                </pt>
                <pt idx="25">
                  <v>2015 кв.3</v>
                </pt>
                <pt idx="26">
                  <v>2015 кв.4</v>
                </pt>
                <pt idx="27">
                  <v>2016 кв.1</v>
                </pt>
                <pt idx="28">
                  <v>2016 кв.2</v>
                </pt>
                <pt idx="29">
                  <v>2016 кв.3</v>
                </pt>
                <pt idx="30">
                  <v>2016 кв.4</v>
                </pt>
                <pt idx="31">
                  <v>2017 кв.1</v>
                </pt>
                <pt idx="32">
                  <v>2017 кв.2</v>
                </pt>
                <pt idx="33">
                  <v>2017 кв.3</v>
                </pt>
                <pt idx="34">
                  <v>2017 кв.4</v>
                </pt>
                <pt idx="35">
                  <v>2018 кв.1</v>
                </pt>
                <pt idx="36">
                  <v>2018 кв.2</v>
                </pt>
                <pt idx="37">
                  <v>2018 кв.3</v>
                </pt>
                <pt idx="38">
                  <v>2018 кв.4</v>
                </pt>
                <pt idx="39">
                  <v>2019 кв.1</v>
                </pt>
                <pt idx="40">
                  <v>2019 кв.2</v>
                </pt>
                <pt idx="41">
                  <v>2019 кв.3</v>
                </pt>
                <pt idx="42">
                  <v>2019 кв.4</v>
                </pt>
                <pt idx="43">
                  <v>2020 кв.1</v>
                </pt>
                <pt idx="44">
                  <v>2020 кв.2</v>
                </pt>
                <pt idx="45">
                  <v>2020 кв.3</v>
                </pt>
                <pt idx="46">
                  <v>2020 кв.4</v>
                </pt>
                <pt idx="47">
                  <v>2021 кв.1</v>
                </pt>
                <pt idx="48">
                  <v>2021 кв.2</v>
                </pt>
                <pt idx="49">
                  <v>2021 кв.3</v>
                </pt>
                <pt idx="50">
                  <v>2021 кв.4</v>
                </pt>
                <pt idx="51">
                  <v>2022 кв.1</v>
                </pt>
                <pt idx="52">
                  <v>2022 кв.2</v>
                </pt>
                <pt idx="53">
                  <v>2022 кв.3</v>
                </pt>
                <pt idx="54">
                  <v>2022 кв.4</v>
                </pt>
                <pt idx="55">
                  <v>2023 кв.1</v>
                </pt>
                <pt idx="56">
                  <v>2023 кв.2</v>
                </pt>
                <pt idx="57">
                  <v>2023 кв.3</v>
                </pt>
                <pt idx="58">
                  <v>2023 кв.4</v>
                </pt>
                <pt idx="59">
                  <v>2024 кв.1</v>
                </pt>
                <pt idx="60">
                  <v>2024 кв.2</v>
                </pt>
                <pt idx="61">
                  <v>2024 кв.3</v>
                </pt>
                <pt idx="62">
                  <v>2024 кв.4</v>
                </pt>
                <pt idx="63">
                  <v>2025 кв.1</v>
                </pt>
                <pt idx="64">
                  <v>2025 кв.2</v>
                </pt>
                <pt idx="65">
                  <v>2025 кв.3</v>
                </pt>
                <pt idx="66">
                  <v>2025 кв.4</v>
                </pt>
                <pt idx="67">
                  <v>2026 кв.1</v>
                </pt>
                <pt idx="68">
                  <v>2026 кв.2</v>
                </pt>
              </strCache>
            </strRef>
          </cat>
          <val>
            <numRef>
              <f>Barometr_1!$K$5:$K$73</f>
              <numCache>
                <formatCode>0.00</formatCode>
                <ptCount val="6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-0.03866267181340366</v>
                </pt>
                <pt idx="8">
                  <v>-0.2387204367554131</v>
                </pt>
                <pt idx="9">
                  <v>-0.3211905261026224</v>
                </pt>
                <pt idx="10">
                  <v>-0.3074844236286957</v>
                </pt>
                <pt idx="11">
                  <v>-0.3528748372840307</v>
                </pt>
                <pt idx="12">
                  <v>-0.2085461854545379</v>
                </pt>
                <pt idx="13">
                  <v>-0.1963681835359666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-0.1898759962034266</v>
                </pt>
                <pt idx="25">
                  <v>-0.1614002680488111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-0.09196221172408037</v>
                </pt>
                <pt idx="30">
                  <v>-0.1102871668531254</v>
                </pt>
                <pt idx="31">
                  <v>-0.1419179383806502</v>
                </pt>
                <pt idx="32">
                  <v>-0.2318591876507102</v>
                </pt>
                <pt idx="33">
                  <v>-0.3000762736464209</v>
                </pt>
                <pt idx="34">
                  <v>-0.3354371132648636</v>
                </pt>
                <pt idx="35">
                  <v>-0.3861860011793689</v>
                </pt>
                <pt idx="36">
                  <v>-0.442195690479777</v>
                </pt>
                <pt idx="37">
                  <v>-0.2505268921523962</v>
                </pt>
                <pt idx="38">
                  <v>-0.2755278726953403</v>
                </pt>
                <pt idx="39">
                  <v>-0.3339237506515784</v>
                </pt>
                <pt idx="40">
                  <v>-0.2503018709357241</v>
                </pt>
                <pt idx="41">
                  <v>-0.2308795234467679</v>
                </pt>
                <pt idx="42">
                  <v>-0.1335343887533632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-0.00196226611897414</v>
                </pt>
                <pt idx="51">
                  <v>-0.05620970240238155</v>
                </pt>
                <pt idx="52">
                  <v>0</v>
                </pt>
                <pt idx="53">
                  <v>-0.08084438170643803</v>
                </pt>
                <pt idx="54">
                  <v>-0.01266039516242601</v>
                </pt>
                <pt idx="55">
                  <v>-0.01636135558096931</v>
                </pt>
                <pt idx="56">
                  <v>-0.2437571275314569</v>
                </pt>
                <pt idx="57">
                  <v>-0.1843653014983344</v>
                </pt>
                <pt idx="58">
                  <v>-0.2073767320483766</v>
                </pt>
                <pt idx="59">
                  <v>-0.2784492973459807</v>
                </pt>
                <pt idx="60">
                  <v>-0.1009721502571814</v>
                </pt>
                <pt idx="61">
                  <v>-0.1832673128619549</v>
                </pt>
                <pt idx="62">
                  <v>-0.2352319191736819</v>
                </pt>
                <pt idx="63">
                  <v>-0.2150024908310055</v>
                </pt>
                <pt idx="64">
                  <v>-0.1946228984038897</v>
                </pt>
                <pt idx="65">
                  <v>-0.0869693737706507</v>
                </pt>
                <pt idx="66">
                  <v>-0.0106243064387294</v>
                </pt>
                <pt idx="67">
                  <v>-0.01784458554289064</v>
                </pt>
                <pt idx="68">
                  <v>-0.2471524840682587</v>
                </pt>
              </numCache>
            </numRef>
          </val>
        </ser>
        <ser>
          <idx val="10"/>
          <order val="4"/>
          <tx>
            <strRef>
              <f>Barometr_1!$O$1</f>
              <strCache>
                <ptCount val="1"/>
                <pt idx="0">
                  <v>Внешний сектор</v>
                </pt>
              </strCache>
            </strRef>
          </tx>
          <spPr>
            <a:solidFill>
              <a:schemeClr val="accent6">
                <a:alpha val="50000"/>
              </a:schemeClr>
            </a:solidFill>
            <a:ln>
              <a:noFill/>
              <a:prstDash val="solid"/>
            </a:ln>
          </spPr>
          <cat>
            <strRef>
              <f>Barometr_1!$Z$5:$Z$73</f>
              <strCache>
                <ptCount val="69"/>
                <pt idx="0">
                  <v>2009 кв.2</v>
                </pt>
                <pt idx="1">
                  <v>2009 кв.3</v>
                </pt>
                <pt idx="2">
                  <v>2009 кв.4</v>
                </pt>
                <pt idx="3">
                  <v>2010 кв.1</v>
                </pt>
                <pt idx="4">
                  <v>2010 кв.2</v>
                </pt>
                <pt idx="5">
                  <v>2010 кв.3</v>
                </pt>
                <pt idx="6">
                  <v>2010 кв.4</v>
                </pt>
                <pt idx="7">
                  <v>2011 кв.1</v>
                </pt>
                <pt idx="8">
                  <v>2011 кв.2</v>
                </pt>
                <pt idx="9">
                  <v>2011 кв.3</v>
                </pt>
                <pt idx="10">
                  <v>2011 кв.4</v>
                </pt>
                <pt idx="11">
                  <v>2012 кв.1</v>
                </pt>
                <pt idx="12">
                  <v>2012 кв.2</v>
                </pt>
                <pt idx="13">
                  <v>2012 кв.3</v>
                </pt>
                <pt idx="14">
                  <v>2012 кв.4</v>
                </pt>
                <pt idx="15">
                  <v>2013 кв.1</v>
                </pt>
                <pt idx="16">
                  <v>2013 кв.2</v>
                </pt>
                <pt idx="17">
                  <v>2013 кв.3</v>
                </pt>
                <pt idx="18">
                  <v>2013 кв.4</v>
                </pt>
                <pt idx="19">
                  <v>2014 кв.1</v>
                </pt>
                <pt idx="20">
                  <v>2014 кв.2</v>
                </pt>
                <pt idx="21">
                  <v>2014 кв.3</v>
                </pt>
                <pt idx="22">
                  <v>2014 кв.4</v>
                </pt>
                <pt idx="23">
                  <v>2015 кв.1</v>
                </pt>
                <pt idx="24">
                  <v>2015 кв.2</v>
                </pt>
                <pt idx="25">
                  <v>2015 кв.3</v>
                </pt>
                <pt idx="26">
                  <v>2015 кв.4</v>
                </pt>
                <pt idx="27">
                  <v>2016 кв.1</v>
                </pt>
                <pt idx="28">
                  <v>2016 кв.2</v>
                </pt>
                <pt idx="29">
                  <v>2016 кв.3</v>
                </pt>
                <pt idx="30">
                  <v>2016 кв.4</v>
                </pt>
                <pt idx="31">
                  <v>2017 кв.1</v>
                </pt>
                <pt idx="32">
                  <v>2017 кв.2</v>
                </pt>
                <pt idx="33">
                  <v>2017 кв.3</v>
                </pt>
                <pt idx="34">
                  <v>2017 кв.4</v>
                </pt>
                <pt idx="35">
                  <v>2018 кв.1</v>
                </pt>
                <pt idx="36">
                  <v>2018 кв.2</v>
                </pt>
                <pt idx="37">
                  <v>2018 кв.3</v>
                </pt>
                <pt idx="38">
                  <v>2018 кв.4</v>
                </pt>
                <pt idx="39">
                  <v>2019 кв.1</v>
                </pt>
                <pt idx="40">
                  <v>2019 кв.2</v>
                </pt>
                <pt idx="41">
                  <v>2019 кв.3</v>
                </pt>
                <pt idx="42">
                  <v>2019 кв.4</v>
                </pt>
                <pt idx="43">
                  <v>2020 кв.1</v>
                </pt>
                <pt idx="44">
                  <v>2020 кв.2</v>
                </pt>
                <pt idx="45">
                  <v>2020 кв.3</v>
                </pt>
                <pt idx="46">
                  <v>2020 кв.4</v>
                </pt>
                <pt idx="47">
                  <v>2021 кв.1</v>
                </pt>
                <pt idx="48">
                  <v>2021 кв.2</v>
                </pt>
                <pt idx="49">
                  <v>2021 кв.3</v>
                </pt>
                <pt idx="50">
                  <v>2021 кв.4</v>
                </pt>
                <pt idx="51">
                  <v>2022 кв.1</v>
                </pt>
                <pt idx="52">
                  <v>2022 кв.2</v>
                </pt>
                <pt idx="53">
                  <v>2022 кв.3</v>
                </pt>
                <pt idx="54">
                  <v>2022 кв.4</v>
                </pt>
                <pt idx="55">
                  <v>2023 кв.1</v>
                </pt>
                <pt idx="56">
                  <v>2023 кв.2</v>
                </pt>
                <pt idx="57">
                  <v>2023 кв.3</v>
                </pt>
                <pt idx="58">
                  <v>2023 кв.4</v>
                </pt>
                <pt idx="59">
                  <v>2024 кв.1</v>
                </pt>
                <pt idx="60">
                  <v>2024 кв.2</v>
                </pt>
                <pt idx="61">
                  <v>2024 кв.3</v>
                </pt>
                <pt idx="62">
                  <v>2024 кв.4</v>
                </pt>
                <pt idx="63">
                  <v>2025 кв.1</v>
                </pt>
                <pt idx="64">
                  <v>2025 кв.2</v>
                </pt>
                <pt idx="65">
                  <v>2025 кв.3</v>
                </pt>
                <pt idx="66">
                  <v>2025 кв.4</v>
                </pt>
                <pt idx="67">
                  <v>2026 кв.1</v>
                </pt>
                <pt idx="68">
                  <v>2026 кв.2</v>
                </pt>
              </strCache>
            </strRef>
          </cat>
          <val>
            <numRef>
              <f>Barometr_1!$Q$5:$Q$73</f>
              <numCache>
                <formatCode>0.00</formatCode>
                <ptCount val="6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-0.2306331157824839</v>
                </pt>
                <pt idx="11">
                  <v>-0.3861826629123436</v>
                </pt>
                <pt idx="12">
                  <v>-0.459247876232752</v>
                </pt>
                <pt idx="13">
                  <v>-0.4972640115040143</v>
                </pt>
                <pt idx="14">
                  <v>-0.5057890163378088</v>
                </pt>
                <pt idx="15">
                  <v>-0.2085681234989639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-0.05373903172133971</v>
                </pt>
                <pt idx="22">
                  <v>-0.1545107546881654</v>
                </pt>
                <pt idx="23">
                  <v>-0.1909361579022733</v>
                </pt>
                <pt idx="24">
                  <v>-0.2618527862285455</v>
                </pt>
                <pt idx="25">
                  <v>-0.1814889335940809</v>
                </pt>
                <pt idx="26">
                  <v>-0.0349456241867673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-0.0443205498411556</v>
                </pt>
                <pt idx="32">
                  <v>-0.150342765482067</v>
                </pt>
                <pt idx="33">
                  <v>-0.1215496112468408</v>
                </pt>
                <pt idx="34">
                  <v>-0.1513783511614289</v>
                </pt>
                <pt idx="35">
                  <v>-0.1052686889840023</v>
                </pt>
                <pt idx="36">
                  <v>-0.1560253832022189</v>
                </pt>
                <pt idx="37">
                  <v>-0.2426972407622268</v>
                </pt>
                <pt idx="38">
                  <v>-0.3271599422446827</v>
                </pt>
                <pt idx="39">
                  <v>-0.2950867549480301</v>
                </pt>
                <pt idx="40">
                  <v>-0.2135163985360314</v>
                </pt>
                <pt idx="41">
                  <v>-0.1823183856548843</v>
                </pt>
                <pt idx="42">
                  <v>-0.01697491270477845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-0.1158949794774464</v>
                </pt>
                <pt idx="49">
                  <v>-0.1648772561359449</v>
                </pt>
                <pt idx="50">
                  <v>-0.2986753544637384</v>
                </pt>
                <pt idx="51">
                  <v>-0.2731190618949053</v>
                </pt>
                <pt idx="52">
                  <v>-0.2348799562838538</v>
                </pt>
                <pt idx="53">
                  <v>-0.2970036734795327</v>
                </pt>
                <pt idx="54">
                  <v>-0.2208663278456087</v>
                </pt>
                <pt idx="55">
                  <v>-0.1828820365178366</v>
                </pt>
                <pt idx="56">
                  <v>-0.04719468674983512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-0.006942530211312709</v>
                </pt>
                <pt idx="66">
                  <v>-0.06867208831695004</v>
                </pt>
                <pt idx="67">
                  <v>-0.1176231111012695</v>
                </pt>
                <pt idx="68">
                  <v>-0.1268764517919976</v>
                </pt>
              </numCache>
            </numRef>
          </val>
        </ser>
        <ser>
          <idx val="11"/>
          <order val="5"/>
          <tx>
            <strRef>
              <f>Barometr_1!$R$1</f>
              <strCache>
                <ptCount val="1"/>
                <pt idx="0">
                  <v>Рынок недвижимости</v>
                </pt>
              </strCache>
            </strRef>
          </tx>
          <spPr>
            <a:solidFill>
              <a:srgbClr val="F04ACC"/>
            </a:solidFill>
            <a:ln>
              <a:noFill/>
              <a:prstDash val="solid"/>
            </a:ln>
          </spPr>
          <cat>
            <strRef>
              <f>Barometr_1!$Z$5:$Z$73</f>
              <strCache>
                <ptCount val="69"/>
                <pt idx="0">
                  <v>2009 кв.2</v>
                </pt>
                <pt idx="1">
                  <v>2009 кв.3</v>
                </pt>
                <pt idx="2">
                  <v>2009 кв.4</v>
                </pt>
                <pt idx="3">
                  <v>2010 кв.1</v>
                </pt>
                <pt idx="4">
                  <v>2010 кв.2</v>
                </pt>
                <pt idx="5">
                  <v>2010 кв.3</v>
                </pt>
                <pt idx="6">
                  <v>2010 кв.4</v>
                </pt>
                <pt idx="7">
                  <v>2011 кв.1</v>
                </pt>
                <pt idx="8">
                  <v>2011 кв.2</v>
                </pt>
                <pt idx="9">
                  <v>2011 кв.3</v>
                </pt>
                <pt idx="10">
                  <v>2011 кв.4</v>
                </pt>
                <pt idx="11">
                  <v>2012 кв.1</v>
                </pt>
                <pt idx="12">
                  <v>2012 кв.2</v>
                </pt>
                <pt idx="13">
                  <v>2012 кв.3</v>
                </pt>
                <pt idx="14">
                  <v>2012 кв.4</v>
                </pt>
                <pt idx="15">
                  <v>2013 кв.1</v>
                </pt>
                <pt idx="16">
                  <v>2013 кв.2</v>
                </pt>
                <pt idx="17">
                  <v>2013 кв.3</v>
                </pt>
                <pt idx="18">
                  <v>2013 кв.4</v>
                </pt>
                <pt idx="19">
                  <v>2014 кв.1</v>
                </pt>
                <pt idx="20">
                  <v>2014 кв.2</v>
                </pt>
                <pt idx="21">
                  <v>2014 кв.3</v>
                </pt>
                <pt idx="22">
                  <v>2014 кв.4</v>
                </pt>
                <pt idx="23">
                  <v>2015 кв.1</v>
                </pt>
                <pt idx="24">
                  <v>2015 кв.2</v>
                </pt>
                <pt idx="25">
                  <v>2015 кв.3</v>
                </pt>
                <pt idx="26">
                  <v>2015 кв.4</v>
                </pt>
                <pt idx="27">
                  <v>2016 кв.1</v>
                </pt>
                <pt idx="28">
                  <v>2016 кв.2</v>
                </pt>
                <pt idx="29">
                  <v>2016 кв.3</v>
                </pt>
                <pt idx="30">
                  <v>2016 кв.4</v>
                </pt>
                <pt idx="31">
                  <v>2017 кв.1</v>
                </pt>
                <pt idx="32">
                  <v>2017 кв.2</v>
                </pt>
                <pt idx="33">
                  <v>2017 кв.3</v>
                </pt>
                <pt idx="34">
                  <v>2017 кв.4</v>
                </pt>
                <pt idx="35">
                  <v>2018 кв.1</v>
                </pt>
                <pt idx="36">
                  <v>2018 кв.2</v>
                </pt>
                <pt idx="37">
                  <v>2018 кв.3</v>
                </pt>
                <pt idx="38">
                  <v>2018 кв.4</v>
                </pt>
                <pt idx="39">
                  <v>2019 кв.1</v>
                </pt>
                <pt idx="40">
                  <v>2019 кв.2</v>
                </pt>
                <pt idx="41">
                  <v>2019 кв.3</v>
                </pt>
                <pt idx="42">
                  <v>2019 кв.4</v>
                </pt>
                <pt idx="43">
                  <v>2020 кв.1</v>
                </pt>
                <pt idx="44">
                  <v>2020 кв.2</v>
                </pt>
                <pt idx="45">
                  <v>2020 кв.3</v>
                </pt>
                <pt idx="46">
                  <v>2020 кв.4</v>
                </pt>
                <pt idx="47">
                  <v>2021 кв.1</v>
                </pt>
                <pt idx="48">
                  <v>2021 кв.2</v>
                </pt>
                <pt idx="49">
                  <v>2021 кв.3</v>
                </pt>
                <pt idx="50">
                  <v>2021 кв.4</v>
                </pt>
                <pt idx="51">
                  <v>2022 кв.1</v>
                </pt>
                <pt idx="52">
                  <v>2022 кв.2</v>
                </pt>
                <pt idx="53">
                  <v>2022 кв.3</v>
                </pt>
                <pt idx="54">
                  <v>2022 кв.4</v>
                </pt>
                <pt idx="55">
                  <v>2023 кв.1</v>
                </pt>
                <pt idx="56">
                  <v>2023 кв.2</v>
                </pt>
                <pt idx="57">
                  <v>2023 кв.3</v>
                </pt>
                <pt idx="58">
                  <v>2023 кв.4</v>
                </pt>
                <pt idx="59">
                  <v>2024 кв.1</v>
                </pt>
                <pt idx="60">
                  <v>2024 кв.2</v>
                </pt>
                <pt idx="61">
                  <v>2024 кв.3</v>
                </pt>
                <pt idx="62">
                  <v>2024 кв.4</v>
                </pt>
                <pt idx="63">
                  <v>2025 кв.1</v>
                </pt>
                <pt idx="64">
                  <v>2025 кв.2</v>
                </pt>
                <pt idx="65">
                  <v>2025 кв.3</v>
                </pt>
                <pt idx="66">
                  <v>2025 кв.4</v>
                </pt>
                <pt idx="67">
                  <v>2026 кв.1</v>
                </pt>
                <pt idx="68">
                  <v>2026 кв.2</v>
                </pt>
              </strCache>
            </strRef>
          </cat>
          <val>
            <numRef>
              <f>Barometr_1!$T$5:$T$73</f>
              <numCache>
                <formatCode>0.00</formatCode>
                <ptCount val="69"/>
                <pt idx="0">
                  <v>0</v>
                </pt>
                <pt idx="1">
                  <v>0</v>
                </pt>
                <pt idx="2">
                  <v>-0.07357335273186469</v>
                </pt>
                <pt idx="3">
                  <v>-0.6397631064040761</v>
                </pt>
                <pt idx="4">
                  <v>-0.7110534879732078</v>
                </pt>
                <pt idx="5">
                  <v>-0.6191848106378086</v>
                </pt>
                <pt idx="6">
                  <v>-0.3344681917507516</v>
                </pt>
                <pt idx="7">
                  <v>-0.3594702420497269</v>
                </pt>
                <pt idx="8">
                  <v>-0.2529966323714262</v>
                </pt>
                <pt idx="9">
                  <v>-0.339927696377802</v>
                </pt>
                <pt idx="10">
                  <v>-0.378747523221055</v>
                </pt>
                <pt idx="11">
                  <v>-0.1863690604821314</v>
                </pt>
                <pt idx="12">
                  <v>-0.1732221716247463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-0.04252696441193116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-0.0709476503274722</v>
                </pt>
                <pt idx="31">
                  <v>-0.2808919445124595</v>
                </pt>
                <pt idx="32">
                  <v>-0.4491094613629725</v>
                </pt>
                <pt idx="33">
                  <v>-0.5192901424733306</v>
                </pt>
                <pt idx="34">
                  <v>-0.5445304171614799</v>
                </pt>
                <pt idx="35">
                  <v>-0.4904622596877221</v>
                </pt>
                <pt idx="36">
                  <v>-0.2530392386307382</v>
                </pt>
                <pt idx="37">
                  <v>-0.03464520600055186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-0.08223294098116374</v>
                </pt>
                <pt idx="47">
                  <v>-0.02402334802591022</v>
                </pt>
                <pt idx="48">
                  <v>-0.0612286966339694</v>
                </pt>
                <pt idx="49">
                  <v>-0.08232481038211008</v>
                </pt>
                <pt idx="50">
                  <v>-0.1380261742705278</v>
                </pt>
                <pt idx="51">
                  <v>-0.3117638709864821</v>
                </pt>
                <pt idx="52">
                  <v>-0.4046425302176446</v>
                </pt>
                <pt idx="53">
                  <v>-0.2759679376226834</v>
                </pt>
                <pt idx="54">
                  <v>-0.234592748195721</v>
                </pt>
                <pt idx="55">
                  <v>-0.3289433491550995</v>
                </pt>
                <pt idx="56">
                  <v>-0.1465647566109065</v>
                </pt>
                <pt idx="57">
                  <v>-0.1781694163284195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  <spPr>
    <a:noFill/>
    <a:ln w="9525" cap="flat" cmpd="sng" algn="ctr">
      <a:noFill/>
      <a:prstDash val="solid"/>
      <a:round/>
    </a:ln>
  </spPr>
</chartSpace>
</file>

<file path=xl/charts/chart2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906409695388047"/>
          <y val="0.459198637404367"/>
          <w val="0.9181895023563856"/>
          <h val="0.5064083877813146"/>
        </manualLayout>
      </layout>
      <areaChart>
        <grouping val="stacked"/>
        <varyColors val="0"/>
        <ser>
          <idx val="0"/>
          <order val="0"/>
          <tx>
            <v>Корпоративный сектор</v>
          </tx>
          <spPr>
            <a:solidFill>
              <a:schemeClr val="accent1"/>
            </a:solidFill>
            <a:ln>
              <a:noFill/>
              <a:prstDash val="solid"/>
            </a:ln>
          </spPr>
          <cat>
            <numLit>
              <formatCode>General</formatCode>
              <ptCount val="60"/>
              <pt idx="0">
                <v>39814</v>
              </pt>
              <pt idx="1">
                <v>39904</v>
              </pt>
              <pt idx="2">
                <v>39995</v>
              </pt>
              <pt idx="3">
                <v>40087</v>
              </pt>
              <pt idx="4">
                <v>40179</v>
              </pt>
              <pt idx="5">
                <v>40269</v>
              </pt>
              <pt idx="6">
                <v>40360</v>
              </pt>
              <pt idx="7">
                <v>40452</v>
              </pt>
              <pt idx="8">
                <v>40544</v>
              </pt>
              <pt idx="9">
                <v>40634</v>
              </pt>
              <pt idx="10">
                <v>40725</v>
              </pt>
              <pt idx="11">
                <v>40817</v>
              </pt>
              <pt idx="12">
                <v>40909</v>
              </pt>
              <pt idx="13">
                <v>41000</v>
              </pt>
              <pt idx="14">
                <v>41091</v>
              </pt>
              <pt idx="15">
                <v>41183</v>
              </pt>
              <pt idx="16">
                <v>41275</v>
              </pt>
              <pt idx="17">
                <v>41365</v>
              </pt>
              <pt idx="18">
                <v>41456</v>
              </pt>
              <pt idx="19">
                <v>41548</v>
              </pt>
              <pt idx="20">
                <v>41640</v>
              </pt>
              <pt idx="21">
                <v>41730</v>
              </pt>
              <pt idx="22">
                <v>41821</v>
              </pt>
              <pt idx="23">
                <v>41913</v>
              </pt>
              <pt idx="24">
                <v>42005</v>
              </pt>
              <pt idx="25">
                <v>42095</v>
              </pt>
              <pt idx="26">
                <v>42186</v>
              </pt>
              <pt idx="27">
                <v>42278</v>
              </pt>
              <pt idx="28">
                <v>42370</v>
              </pt>
              <pt idx="29">
                <v>42461</v>
              </pt>
              <pt idx="30">
                <v>42552</v>
              </pt>
              <pt idx="31">
                <v>42644</v>
              </pt>
              <pt idx="32">
                <v>42736</v>
              </pt>
              <pt idx="33">
                <v>42826</v>
              </pt>
              <pt idx="34">
                <v>42917</v>
              </pt>
              <pt idx="35">
                <v>43009</v>
              </pt>
              <pt idx="36">
                <v>43101</v>
              </pt>
              <pt idx="37">
                <v>43191</v>
              </pt>
              <pt idx="38">
                <v>43282</v>
              </pt>
              <pt idx="39">
                <v>43374</v>
              </pt>
              <pt idx="40">
                <v>43466</v>
              </pt>
              <pt idx="41">
                <v>43556</v>
              </pt>
              <pt idx="42">
                <v>43647</v>
              </pt>
              <pt idx="43">
                <v>43739</v>
              </pt>
              <pt idx="44">
                <v>43831</v>
              </pt>
              <pt idx="45">
                <v>43922</v>
              </pt>
              <pt idx="46">
                <v>44013</v>
              </pt>
              <pt idx="47">
                <v>44105</v>
              </pt>
              <pt idx="48">
                <v>44197</v>
              </pt>
              <pt idx="49">
                <v>44287</v>
              </pt>
              <pt idx="50">
                <v>44378</v>
              </pt>
              <pt idx="51">
                <v>44470</v>
              </pt>
              <pt idx="52">
                <v>44562</v>
              </pt>
              <pt idx="53">
                <v>44652</v>
              </pt>
              <pt idx="54">
                <v>44743</v>
              </pt>
              <pt idx="55">
                <v>44835</v>
              </pt>
              <pt idx="56">
                <v>44927</v>
              </pt>
              <pt idx="57">
                <v>45017</v>
              </pt>
              <pt idx="58">
                <v>45108</v>
              </pt>
              <pt idx="59">
                <v>45200</v>
              </pt>
            </numLit>
          </cat>
          <val>
            <numLit>
              <formatCode>General</formatCode>
              <ptCount val="60"/>
              <pt idx="0">
                <v>0.3427912654693146</v>
              </pt>
              <pt idx="1">
                <v>0.5975683427923919</v>
              </pt>
              <pt idx="2">
                <v>0.5506400456342291</v>
              </pt>
              <pt idx="3">
                <v>0.4378023396375967</v>
              </pt>
              <pt idx="4">
                <v>0.3624620166980381</v>
              </pt>
              <pt idx="5">
                <v>0.287669554566742</v>
              </pt>
              <pt idx="6">
                <v>0.1756461179216851</v>
              </pt>
              <pt idx="7">
                <v>0.2731898816845695</v>
              </pt>
              <pt idx="8">
                <v>0.1249500750370124</v>
              </pt>
              <pt idx="9">
                <v>0</v>
              </pt>
              <pt idx="10">
                <v>0</v>
              </pt>
              <pt idx="11">
                <v>0</v>
              </pt>
              <pt idx="12">
                <v>0</v>
              </pt>
              <pt idx="13">
                <v>0</v>
              </pt>
              <pt idx="14">
                <v>0</v>
              </pt>
              <pt idx="15">
                <v>0</v>
              </pt>
              <pt idx="16">
                <v>0</v>
              </pt>
              <pt idx="17">
                <v>0.105048882145648</v>
              </pt>
              <pt idx="18">
                <v>0.06102561659188258</v>
              </pt>
              <pt idx="19">
                <v>0.04227335406458892</v>
              </pt>
              <pt idx="20">
                <v>0.1458515451285473</v>
              </pt>
              <pt idx="21">
                <v>0.2332936331991289</v>
              </pt>
              <pt idx="22">
                <v>0.2142392917982409</v>
              </pt>
              <pt idx="23">
                <v>0.1999696838940756</v>
              </pt>
              <pt idx="24">
                <v>0.4068496219860282</v>
              </pt>
              <pt idx="25">
                <v>0.3601626593938625</v>
              </pt>
              <pt idx="26">
                <v>0.4098851330940023</v>
              </pt>
              <pt idx="27">
                <v>0.4558002180808575</v>
              </pt>
              <pt idx="28">
                <v>0.405497911096712</v>
              </pt>
              <pt idx="29">
                <v>0.4025435881737249</v>
              </pt>
              <pt idx="30">
                <v>0.1887897681396869</v>
              </pt>
              <pt idx="31">
                <v>0.07246589429755482</v>
              </pt>
              <pt idx="32">
                <v>0</v>
              </pt>
              <pt idx="33">
                <v>0</v>
              </pt>
              <pt idx="34">
                <v>0</v>
              </pt>
              <pt idx="35">
                <v>0</v>
              </pt>
              <pt idx="36">
                <v>0</v>
              </pt>
              <pt idx="37">
                <v>0</v>
              </pt>
              <pt idx="38">
                <v>0</v>
              </pt>
              <pt idx="39">
                <v>0</v>
              </pt>
              <pt idx="40">
                <v>0.07038547440972938</v>
              </pt>
              <pt idx="41">
                <v>0.03444921050626333</v>
              </pt>
              <pt idx="42">
                <v>0</v>
              </pt>
              <pt idx="43">
                <v>0</v>
              </pt>
              <pt idx="44">
                <v>0.2028203028105167</v>
              </pt>
              <pt idx="45">
                <v>0.4062405760554452</v>
              </pt>
              <pt idx="46">
                <v>0.3048804298702033</v>
              </pt>
              <pt idx="47">
                <v>0.205935142414595</v>
              </pt>
              <pt idx="48">
                <v>0.02576321553345067</v>
              </pt>
              <pt idx="49">
                <v>0</v>
              </pt>
              <pt idx="50">
                <v>0</v>
              </pt>
              <pt idx="51">
                <v>0</v>
              </pt>
              <pt idx="52">
                <v>0</v>
              </pt>
              <pt idx="53">
                <v>0.001499117876437093</v>
              </pt>
              <pt idx="54">
                <v>0</v>
              </pt>
              <pt idx="55">
                <v>0</v>
              </pt>
              <pt idx="56">
                <v>0.09969909822819428</v>
              </pt>
              <pt idx="57">
                <v>0.1639618587560118</v>
              </pt>
              <pt idx="58">
                <v>0.1734468721388944</v>
              </pt>
              <pt idx="59">
                <v>0.140628534954277</v>
              </pt>
            </numLit>
          </val>
        </ser>
        <ser>
          <idx val="1"/>
          <order val="1"/>
          <tx>
            <v>Сектор домохозяйств</v>
          </tx>
          <spPr>
            <a:solidFill>
              <a:schemeClr val="accent2"/>
            </a:solidFill>
            <a:ln w="25400">
              <a:noFill/>
              <a:prstDash val="solid"/>
            </a:ln>
          </spPr>
          <cat>
            <numLit>
              <formatCode>General</formatCode>
              <ptCount val="60"/>
              <pt idx="0">
                <v>39814</v>
              </pt>
              <pt idx="1">
                <v>39904</v>
              </pt>
              <pt idx="2">
                <v>39995</v>
              </pt>
              <pt idx="3">
                <v>40087</v>
              </pt>
              <pt idx="4">
                <v>40179</v>
              </pt>
              <pt idx="5">
                <v>40269</v>
              </pt>
              <pt idx="6">
                <v>40360</v>
              </pt>
              <pt idx="7">
                <v>40452</v>
              </pt>
              <pt idx="8">
                <v>40544</v>
              </pt>
              <pt idx="9">
                <v>40634</v>
              </pt>
              <pt idx="10">
                <v>40725</v>
              </pt>
              <pt idx="11">
                <v>40817</v>
              </pt>
              <pt idx="12">
                <v>40909</v>
              </pt>
              <pt idx="13">
                <v>41000</v>
              </pt>
              <pt idx="14">
                <v>41091</v>
              </pt>
              <pt idx="15">
                <v>41183</v>
              </pt>
              <pt idx="16">
                <v>41275</v>
              </pt>
              <pt idx="17">
                <v>41365</v>
              </pt>
              <pt idx="18">
                <v>41456</v>
              </pt>
              <pt idx="19">
                <v>41548</v>
              </pt>
              <pt idx="20">
                <v>41640</v>
              </pt>
              <pt idx="21">
                <v>41730</v>
              </pt>
              <pt idx="22">
                <v>41821</v>
              </pt>
              <pt idx="23">
                <v>41913</v>
              </pt>
              <pt idx="24">
                <v>42005</v>
              </pt>
              <pt idx="25">
                <v>42095</v>
              </pt>
              <pt idx="26">
                <v>42186</v>
              </pt>
              <pt idx="27">
                <v>42278</v>
              </pt>
              <pt idx="28">
                <v>42370</v>
              </pt>
              <pt idx="29">
                <v>42461</v>
              </pt>
              <pt idx="30">
                <v>42552</v>
              </pt>
              <pt idx="31">
                <v>42644</v>
              </pt>
              <pt idx="32">
                <v>42736</v>
              </pt>
              <pt idx="33">
                <v>42826</v>
              </pt>
              <pt idx="34">
                <v>42917</v>
              </pt>
              <pt idx="35">
                <v>43009</v>
              </pt>
              <pt idx="36">
                <v>43101</v>
              </pt>
              <pt idx="37">
                <v>43191</v>
              </pt>
              <pt idx="38">
                <v>43282</v>
              </pt>
              <pt idx="39">
                <v>43374</v>
              </pt>
              <pt idx="40">
                <v>43466</v>
              </pt>
              <pt idx="41">
                <v>43556</v>
              </pt>
              <pt idx="42">
                <v>43647</v>
              </pt>
              <pt idx="43">
                <v>43739</v>
              </pt>
              <pt idx="44">
                <v>43831</v>
              </pt>
              <pt idx="45">
                <v>43922</v>
              </pt>
              <pt idx="46">
                <v>44013</v>
              </pt>
              <pt idx="47">
                <v>44105</v>
              </pt>
              <pt idx="48">
                <v>44197</v>
              </pt>
              <pt idx="49">
                <v>44287</v>
              </pt>
              <pt idx="50">
                <v>44378</v>
              </pt>
              <pt idx="51">
                <v>44470</v>
              </pt>
              <pt idx="52">
                <v>44562</v>
              </pt>
              <pt idx="53">
                <v>44652</v>
              </pt>
              <pt idx="54">
                <v>44743</v>
              </pt>
              <pt idx="55">
                <v>44835</v>
              </pt>
              <pt idx="56">
                <v>44927</v>
              </pt>
              <pt idx="57">
                <v>45017</v>
              </pt>
              <pt idx="58">
                <v>45108</v>
              </pt>
              <pt idx="59">
                <v>45200</v>
              </pt>
            </numLit>
          </cat>
          <val>
            <numLit>
              <formatCode>General</formatCode>
              <ptCount val="60"/>
              <pt idx="0">
                <v>0.2350683781221488</v>
              </pt>
              <pt idx="1">
                <v>0.3169299612019256</v>
              </pt>
              <pt idx="2">
                <v>0.3361177527152471</v>
              </pt>
              <pt idx="3">
                <v>0.3429891616763689</v>
              </pt>
              <pt idx="4">
                <v>0.3618599008353058</v>
              </pt>
              <pt idx="5">
                <v>0.3336224812037684</v>
              </pt>
              <pt idx="6">
                <v>0.3081282174027822</v>
              </pt>
              <pt idx="7">
                <v>0.3139636467849903</v>
              </pt>
              <pt idx="8">
                <v>0.3101041868816366</v>
              </pt>
              <pt idx="9">
                <v>0.1298918453101739</v>
              </pt>
              <pt idx="10">
                <v>0</v>
              </pt>
              <pt idx="11">
                <v>0</v>
              </pt>
              <pt idx="12">
                <v>0</v>
              </pt>
              <pt idx="13">
                <v>0</v>
              </pt>
              <pt idx="14">
                <v>0</v>
              </pt>
              <pt idx="15">
                <v>0</v>
              </pt>
              <pt idx="16">
                <v>0</v>
              </pt>
              <pt idx="17">
                <v>0</v>
              </pt>
              <pt idx="18">
                <v>0</v>
              </pt>
              <pt idx="19">
                <v>0.01758055475394947</v>
              </pt>
              <pt idx="20">
                <v>0.092004457593716</v>
              </pt>
              <pt idx="21">
                <v>0.1252683982116921</v>
              </pt>
              <pt idx="22">
                <v>0.1087176764826733</v>
              </pt>
              <pt idx="23">
                <v>0.09935935258535494</v>
              </pt>
              <pt idx="24">
                <v>0.07495697587906855</v>
              </pt>
              <pt idx="25">
                <v>0.03752005179003447</v>
              </pt>
              <pt idx="26">
                <v>0.01188575761328597</v>
              </pt>
              <pt idx="27">
                <v>0</v>
              </pt>
              <pt idx="28">
                <v>0</v>
              </pt>
              <pt idx="29">
                <v>0</v>
              </pt>
              <pt idx="30">
                <v>0</v>
              </pt>
              <pt idx="31">
                <v>0</v>
              </pt>
              <pt idx="32">
                <v>0</v>
              </pt>
              <pt idx="33">
                <v>0</v>
              </pt>
              <pt idx="34">
                <v>0</v>
              </pt>
              <pt idx="35">
                <v>0</v>
              </pt>
              <pt idx="36">
                <v>0.0700702258033282</v>
              </pt>
              <pt idx="37">
                <v>0.1800821537603283</v>
              </pt>
              <pt idx="38">
                <v>0.2650325163797206</v>
              </pt>
              <pt idx="39">
                <v>0.3287338562863151</v>
              </pt>
              <pt idx="40">
                <v>0.3726658198839973</v>
              </pt>
              <pt idx="41">
                <v>0.3997849961983942</v>
              </pt>
              <pt idx="42">
                <v>0.4093621238188651</v>
              </pt>
              <pt idx="43">
                <v>0.4138301950172776</v>
              </pt>
              <pt idx="44">
                <v>0.4298589311004098</v>
              </pt>
              <pt idx="45">
                <v>0.4030908838536086</v>
              </pt>
              <pt idx="46">
                <v>0.2982305716121878</v>
              </pt>
              <pt idx="47">
                <v>0.149831223856275</v>
              </pt>
              <pt idx="48">
                <v>0</v>
              </pt>
              <pt idx="49">
                <v>0</v>
              </pt>
              <pt idx="50">
                <v>0</v>
              </pt>
              <pt idx="51">
                <v>0</v>
              </pt>
              <pt idx="52">
                <v>0</v>
              </pt>
              <pt idx="53">
                <v>0</v>
              </pt>
              <pt idx="54">
                <v>0</v>
              </pt>
              <pt idx="55">
                <v>0</v>
              </pt>
              <pt idx="56">
                <v>0</v>
              </pt>
              <pt idx="57">
                <v>0</v>
              </pt>
              <pt idx="58">
                <v>0</v>
              </pt>
              <pt idx="59">
                <v>0</v>
              </pt>
            </numLit>
          </val>
        </ser>
        <ser>
          <idx val="2"/>
          <order val="2"/>
          <tx>
            <v>Банковский сектор</v>
          </tx>
          <spPr>
            <a:solidFill>
              <a:schemeClr val="accent3"/>
            </a:solidFill>
            <a:ln w="25400">
              <a:noFill/>
              <a:prstDash val="solid"/>
            </a:ln>
          </spPr>
          <cat>
            <numLit>
              <formatCode>General</formatCode>
              <ptCount val="60"/>
              <pt idx="0">
                <v>39814</v>
              </pt>
              <pt idx="1">
                <v>39904</v>
              </pt>
              <pt idx="2">
                <v>39995</v>
              </pt>
              <pt idx="3">
                <v>40087</v>
              </pt>
              <pt idx="4">
                <v>40179</v>
              </pt>
              <pt idx="5">
                <v>40269</v>
              </pt>
              <pt idx="6">
                <v>40360</v>
              </pt>
              <pt idx="7">
                <v>40452</v>
              </pt>
              <pt idx="8">
                <v>40544</v>
              </pt>
              <pt idx="9">
                <v>40634</v>
              </pt>
              <pt idx="10">
                <v>40725</v>
              </pt>
              <pt idx="11">
                <v>40817</v>
              </pt>
              <pt idx="12">
                <v>40909</v>
              </pt>
              <pt idx="13">
                <v>41000</v>
              </pt>
              <pt idx="14">
                <v>41091</v>
              </pt>
              <pt idx="15">
                <v>41183</v>
              </pt>
              <pt idx="16">
                <v>41275</v>
              </pt>
              <pt idx="17">
                <v>41365</v>
              </pt>
              <pt idx="18">
                <v>41456</v>
              </pt>
              <pt idx="19">
                <v>41548</v>
              </pt>
              <pt idx="20">
                <v>41640</v>
              </pt>
              <pt idx="21">
                <v>41730</v>
              </pt>
              <pt idx="22">
                <v>41821</v>
              </pt>
              <pt idx="23">
                <v>41913</v>
              </pt>
              <pt idx="24">
                <v>42005</v>
              </pt>
              <pt idx="25">
                <v>42095</v>
              </pt>
              <pt idx="26">
                <v>42186</v>
              </pt>
              <pt idx="27">
                <v>42278</v>
              </pt>
              <pt idx="28">
                <v>42370</v>
              </pt>
              <pt idx="29">
                <v>42461</v>
              </pt>
              <pt idx="30">
                <v>42552</v>
              </pt>
              <pt idx="31">
                <v>42644</v>
              </pt>
              <pt idx="32">
                <v>42736</v>
              </pt>
              <pt idx="33">
                <v>42826</v>
              </pt>
              <pt idx="34">
                <v>42917</v>
              </pt>
              <pt idx="35">
                <v>43009</v>
              </pt>
              <pt idx="36">
                <v>43101</v>
              </pt>
              <pt idx="37">
                <v>43191</v>
              </pt>
              <pt idx="38">
                <v>43282</v>
              </pt>
              <pt idx="39">
                <v>43374</v>
              </pt>
              <pt idx="40">
                <v>43466</v>
              </pt>
              <pt idx="41">
                <v>43556</v>
              </pt>
              <pt idx="42">
                <v>43647</v>
              </pt>
              <pt idx="43">
                <v>43739</v>
              </pt>
              <pt idx="44">
                <v>43831</v>
              </pt>
              <pt idx="45">
                <v>43922</v>
              </pt>
              <pt idx="46">
                <v>44013</v>
              </pt>
              <pt idx="47">
                <v>44105</v>
              </pt>
              <pt idx="48">
                <v>44197</v>
              </pt>
              <pt idx="49">
                <v>44287</v>
              </pt>
              <pt idx="50">
                <v>44378</v>
              </pt>
              <pt idx="51">
                <v>44470</v>
              </pt>
              <pt idx="52">
                <v>44562</v>
              </pt>
              <pt idx="53">
                <v>44652</v>
              </pt>
              <pt idx="54">
                <v>44743</v>
              </pt>
              <pt idx="55">
                <v>44835</v>
              </pt>
              <pt idx="56">
                <v>44927</v>
              </pt>
              <pt idx="57">
                <v>45017</v>
              </pt>
              <pt idx="58">
                <v>45108</v>
              </pt>
              <pt idx="59">
                <v>45200</v>
              </pt>
            </numLit>
          </cat>
          <val>
            <numLit>
              <formatCode>General</formatCode>
              <ptCount val="60"/>
              <pt idx="0">
                <v>0.2645635604295968</v>
              </pt>
              <pt idx="1">
                <v>0.2767770850066211</v>
              </pt>
              <pt idx="2">
                <v>0.3662347535612994</v>
              </pt>
              <pt idx="3">
                <v>0.3863129416901669</v>
              </pt>
              <pt idx="4">
                <v>0.3869395372377287</v>
              </pt>
              <pt idx="5">
                <v>0.4779260938657412</v>
              </pt>
              <pt idx="6">
                <v>0.5459628501430007</v>
              </pt>
              <pt idx="7">
                <v>0.607922183640781</v>
              </pt>
              <pt idx="8">
                <v>0.6917983553214059</v>
              </pt>
              <pt idx="9">
                <v>0.8840658264403354</v>
              </pt>
              <pt idx="10">
                <v>0.8549094250513917</v>
              </pt>
              <pt idx="11">
                <v>0.1734243768820606</v>
              </pt>
              <pt idx="12">
                <v>0</v>
              </pt>
              <pt idx="13">
                <v>0</v>
              </pt>
              <pt idx="14">
                <v>0</v>
              </pt>
              <pt idx="15">
                <v>0</v>
              </pt>
              <pt idx="16">
                <v>0</v>
              </pt>
              <pt idx="17">
                <v>0</v>
              </pt>
              <pt idx="18">
                <v>0</v>
              </pt>
              <pt idx="19">
                <v>0</v>
              </pt>
              <pt idx="20">
                <v>0.08663625703224867</v>
              </pt>
              <pt idx="21">
                <v>0.1553639641377819</v>
              </pt>
              <pt idx="22">
                <v>0.1234079698951455</v>
              </pt>
              <pt idx="23">
                <v>0.0726647723670896</v>
              </pt>
              <pt idx="24">
                <v>0.3991031877740219</v>
              </pt>
              <pt idx="25">
                <v>0.3444881677208163</v>
              </pt>
              <pt idx="26">
                <v>0.2712493686767129</v>
              </pt>
              <pt idx="27">
                <v>0.1747491462607539</v>
              </pt>
              <pt idx="28">
                <v>0.2521049775089647</v>
              </pt>
              <pt idx="29">
                <v>0.1735891580002583</v>
              </pt>
              <pt idx="30">
                <v>0.08443278947193111</v>
              </pt>
              <pt idx="31">
                <v>0</v>
              </pt>
              <pt idx="32">
                <v>0</v>
              </pt>
              <pt idx="33">
                <v>0</v>
              </pt>
              <pt idx="34">
                <v>0</v>
              </pt>
              <pt idx="35">
                <v>0</v>
              </pt>
              <pt idx="36">
                <v>0</v>
              </pt>
              <pt idx="37">
                <v>0</v>
              </pt>
              <pt idx="38">
                <v>0</v>
              </pt>
              <pt idx="39">
                <v>0</v>
              </pt>
              <pt idx="40">
                <v>0</v>
              </pt>
              <pt idx="41">
                <v>0</v>
              </pt>
              <pt idx="42">
                <v>0</v>
              </pt>
              <pt idx="43">
                <v>0</v>
              </pt>
              <pt idx="44">
                <v>0.126274509468152</v>
              </pt>
              <pt idx="45">
                <v>0.2852020473276459</v>
              </pt>
              <pt idx="46">
                <v>0.3280777698570541</v>
              </pt>
              <pt idx="47">
                <v>0.3563417395785687</v>
              </pt>
              <pt idx="48">
                <v>0.2007302650630822</v>
              </pt>
              <pt idx="49">
                <v>0.02897520266133126</v>
              </pt>
              <pt idx="50">
                <v>0</v>
              </pt>
              <pt idx="51">
                <v>0</v>
              </pt>
              <pt idx="52">
                <v>0.03732225348189679</v>
              </pt>
              <pt idx="53">
                <v>0</v>
              </pt>
              <pt idx="54">
                <v>0</v>
              </pt>
              <pt idx="55">
                <v>0</v>
              </pt>
              <pt idx="56">
                <v>0</v>
              </pt>
              <pt idx="57">
                <v>0</v>
              </pt>
              <pt idx="58">
                <v>0</v>
              </pt>
              <pt idx="59">
                <v>0</v>
              </pt>
            </numLit>
          </val>
        </ser>
        <ser>
          <idx val="3"/>
          <order val="3"/>
          <tx>
            <v>Сектор государственного управления</v>
          </tx>
          <spPr>
            <a:solidFill>
              <a:schemeClr val="accent4"/>
            </a:solidFill>
            <a:ln w="25400">
              <a:noFill/>
              <a:prstDash val="solid"/>
            </a:ln>
          </spPr>
          <cat>
            <numLit>
              <formatCode>General</formatCode>
              <ptCount val="60"/>
              <pt idx="0">
                <v>39814</v>
              </pt>
              <pt idx="1">
                <v>39904</v>
              </pt>
              <pt idx="2">
                <v>39995</v>
              </pt>
              <pt idx="3">
                <v>40087</v>
              </pt>
              <pt idx="4">
                <v>40179</v>
              </pt>
              <pt idx="5">
                <v>40269</v>
              </pt>
              <pt idx="6">
                <v>40360</v>
              </pt>
              <pt idx="7">
                <v>40452</v>
              </pt>
              <pt idx="8">
                <v>40544</v>
              </pt>
              <pt idx="9">
                <v>40634</v>
              </pt>
              <pt idx="10">
                <v>40725</v>
              </pt>
              <pt idx="11">
                <v>40817</v>
              </pt>
              <pt idx="12">
                <v>40909</v>
              </pt>
              <pt idx="13">
                <v>41000</v>
              </pt>
              <pt idx="14">
                <v>41091</v>
              </pt>
              <pt idx="15">
                <v>41183</v>
              </pt>
              <pt idx="16">
                <v>41275</v>
              </pt>
              <pt idx="17">
                <v>41365</v>
              </pt>
              <pt idx="18">
                <v>41456</v>
              </pt>
              <pt idx="19">
                <v>41548</v>
              </pt>
              <pt idx="20">
                <v>41640</v>
              </pt>
              <pt idx="21">
                <v>41730</v>
              </pt>
              <pt idx="22">
                <v>41821</v>
              </pt>
              <pt idx="23">
                <v>41913</v>
              </pt>
              <pt idx="24">
                <v>42005</v>
              </pt>
              <pt idx="25">
                <v>42095</v>
              </pt>
              <pt idx="26">
                <v>42186</v>
              </pt>
              <pt idx="27">
                <v>42278</v>
              </pt>
              <pt idx="28">
                <v>42370</v>
              </pt>
              <pt idx="29">
                <v>42461</v>
              </pt>
              <pt idx="30">
                <v>42552</v>
              </pt>
              <pt idx="31">
                <v>42644</v>
              </pt>
              <pt idx="32">
                <v>42736</v>
              </pt>
              <pt idx="33">
                <v>42826</v>
              </pt>
              <pt idx="34">
                <v>42917</v>
              </pt>
              <pt idx="35">
                <v>43009</v>
              </pt>
              <pt idx="36">
                <v>43101</v>
              </pt>
              <pt idx="37">
                <v>43191</v>
              </pt>
              <pt idx="38">
                <v>43282</v>
              </pt>
              <pt idx="39">
                <v>43374</v>
              </pt>
              <pt idx="40">
                <v>43466</v>
              </pt>
              <pt idx="41">
                <v>43556</v>
              </pt>
              <pt idx="42">
                <v>43647</v>
              </pt>
              <pt idx="43">
                <v>43739</v>
              </pt>
              <pt idx="44">
                <v>43831</v>
              </pt>
              <pt idx="45">
                <v>43922</v>
              </pt>
              <pt idx="46">
                <v>44013</v>
              </pt>
              <pt idx="47">
                <v>44105</v>
              </pt>
              <pt idx="48">
                <v>44197</v>
              </pt>
              <pt idx="49">
                <v>44287</v>
              </pt>
              <pt idx="50">
                <v>44378</v>
              </pt>
              <pt idx="51">
                <v>44470</v>
              </pt>
              <pt idx="52">
                <v>44562</v>
              </pt>
              <pt idx="53">
                <v>44652</v>
              </pt>
              <pt idx="54">
                <v>44743</v>
              </pt>
              <pt idx="55">
                <v>44835</v>
              </pt>
              <pt idx="56">
                <v>44927</v>
              </pt>
              <pt idx="57">
                <v>45017</v>
              </pt>
              <pt idx="58">
                <v>45108</v>
              </pt>
              <pt idx="59">
                <v>45200</v>
              </pt>
            </numLit>
          </cat>
          <val>
            <numLit>
              <formatCode>General</formatCode>
              <ptCount val="60"/>
              <pt idx="0">
                <v>0.001213693970447466</v>
              </pt>
              <pt idx="1">
                <v>0.2172473920426456</v>
              </pt>
              <pt idx="2">
                <v>0.3090538126325822</v>
              </pt>
              <pt idx="3">
                <v>0.05056198373079027</v>
              </pt>
              <pt idx="4">
                <v>0.1456527501314964</v>
              </pt>
              <pt idx="5">
                <v>0.08262935163384978</v>
              </pt>
              <pt idx="6">
                <v>0.1697023622723136</v>
              </pt>
              <pt idx="7">
                <v>0.1771420131449536</v>
              </pt>
              <pt idx="8">
                <v>0</v>
              </pt>
              <pt idx="9">
                <v>0</v>
              </pt>
              <pt idx="10">
                <v>0</v>
              </pt>
              <pt idx="11">
                <v>0</v>
              </pt>
              <pt idx="12">
                <v>0</v>
              </pt>
              <pt idx="13">
                <v>0</v>
              </pt>
              <pt idx="14">
                <v>0</v>
              </pt>
              <pt idx="15">
                <v>0.04530496210578105</v>
              </pt>
              <pt idx="16">
                <v>0.1237133917713643</v>
              </pt>
              <pt idx="17">
                <v>0.1299784228812209</v>
              </pt>
              <pt idx="18">
                <v>0.1779552670812548</v>
              </pt>
              <pt idx="19">
                <v>0.1719600805161828</v>
              </pt>
              <pt idx="20">
                <v>0.233750086797579</v>
              </pt>
              <pt idx="21">
                <v>0.2748925301700433</v>
              </pt>
              <pt idx="22">
                <v>0.4363839230973247</v>
              </pt>
              <pt idx="23">
                <v>0.1172741135364308</v>
              </pt>
              <pt idx="24">
                <v>0.08755638614684341</v>
              </pt>
              <pt idx="25">
                <v>0</v>
              </pt>
              <pt idx="26">
                <v>0</v>
              </pt>
              <pt idx="27">
                <v>0.04669678512715839</v>
              </pt>
              <pt idx="28">
                <v>0.1318903311015668</v>
              </pt>
              <pt idx="29">
                <v>0.2478187181836884</v>
              </pt>
              <pt idx="30">
                <v>0</v>
              </pt>
              <pt idx="31">
                <v>0</v>
              </pt>
              <pt idx="32">
                <v>0</v>
              </pt>
              <pt idx="33">
                <v>0</v>
              </pt>
              <pt idx="34">
                <v>0</v>
              </pt>
              <pt idx="35">
                <v>0</v>
              </pt>
              <pt idx="36">
                <v>0</v>
              </pt>
              <pt idx="37">
                <v>0</v>
              </pt>
              <pt idx="38">
                <v>0</v>
              </pt>
              <pt idx="39">
                <v>0</v>
              </pt>
              <pt idx="40">
                <v>0</v>
              </pt>
              <pt idx="41">
                <v>0</v>
              </pt>
              <pt idx="42">
                <v>0</v>
              </pt>
              <pt idx="43">
                <v>0</v>
              </pt>
              <pt idx="44">
                <v>0.01908341421559586</v>
              </pt>
              <pt idx="45">
                <v>0.4370987836467009</v>
              </pt>
              <pt idx="46">
                <v>0.5703176620321814</v>
              </pt>
              <pt idx="47">
                <v>0.5980576457463738</v>
              </pt>
              <pt idx="48">
                <v>0.7665298296392652</v>
              </pt>
              <pt idx="49">
                <v>0.3053216664936538</v>
              </pt>
              <pt idx="50">
                <v>0.1201334675915205</v>
              </pt>
              <pt idx="51">
                <v>0</v>
              </pt>
              <pt idx="52">
                <v>0</v>
              </pt>
              <pt idx="53">
                <v>0.09728969812840489</v>
              </pt>
              <pt idx="54">
                <v>0</v>
              </pt>
              <pt idx="55">
                <v>0</v>
              </pt>
              <pt idx="56">
                <v>0</v>
              </pt>
              <pt idx="57">
                <v>0</v>
              </pt>
              <pt idx="58">
                <v>0</v>
              </pt>
              <pt idx="59">
                <v>0</v>
              </pt>
            </numLit>
          </val>
        </ser>
        <ser>
          <idx val="4"/>
          <order val="4"/>
          <tx>
            <v>Внешний сектор</v>
          </tx>
          <spPr>
            <a:solidFill>
              <a:schemeClr val="accent6"/>
            </a:solidFill>
            <a:ln w="25400">
              <a:noFill/>
              <a:prstDash val="solid"/>
            </a:ln>
          </spPr>
          <cat>
            <numLit>
              <formatCode>General</formatCode>
              <ptCount val="60"/>
              <pt idx="0">
                <v>39814</v>
              </pt>
              <pt idx="1">
                <v>39904</v>
              </pt>
              <pt idx="2">
                <v>39995</v>
              </pt>
              <pt idx="3">
                <v>40087</v>
              </pt>
              <pt idx="4">
                <v>40179</v>
              </pt>
              <pt idx="5">
                <v>40269</v>
              </pt>
              <pt idx="6">
                <v>40360</v>
              </pt>
              <pt idx="7">
                <v>40452</v>
              </pt>
              <pt idx="8">
                <v>40544</v>
              </pt>
              <pt idx="9">
                <v>40634</v>
              </pt>
              <pt idx="10">
                <v>40725</v>
              </pt>
              <pt idx="11">
                <v>40817</v>
              </pt>
              <pt idx="12">
                <v>40909</v>
              </pt>
              <pt idx="13">
                <v>41000</v>
              </pt>
              <pt idx="14">
                <v>41091</v>
              </pt>
              <pt idx="15">
                <v>41183</v>
              </pt>
              <pt idx="16">
                <v>41275</v>
              </pt>
              <pt idx="17">
                <v>41365</v>
              </pt>
              <pt idx="18">
                <v>41456</v>
              </pt>
              <pt idx="19">
                <v>41548</v>
              </pt>
              <pt idx="20">
                <v>41640</v>
              </pt>
              <pt idx="21">
                <v>41730</v>
              </pt>
              <pt idx="22">
                <v>41821</v>
              </pt>
              <pt idx="23">
                <v>41913</v>
              </pt>
              <pt idx="24">
                <v>42005</v>
              </pt>
              <pt idx="25">
                <v>42095</v>
              </pt>
              <pt idx="26">
                <v>42186</v>
              </pt>
              <pt idx="27">
                <v>42278</v>
              </pt>
              <pt idx="28">
                <v>42370</v>
              </pt>
              <pt idx="29">
                <v>42461</v>
              </pt>
              <pt idx="30">
                <v>42552</v>
              </pt>
              <pt idx="31">
                <v>42644</v>
              </pt>
              <pt idx="32">
                <v>42736</v>
              </pt>
              <pt idx="33">
                <v>42826</v>
              </pt>
              <pt idx="34">
                <v>42917</v>
              </pt>
              <pt idx="35">
                <v>43009</v>
              </pt>
              <pt idx="36">
                <v>43101</v>
              </pt>
              <pt idx="37">
                <v>43191</v>
              </pt>
              <pt idx="38">
                <v>43282</v>
              </pt>
              <pt idx="39">
                <v>43374</v>
              </pt>
              <pt idx="40">
                <v>43466</v>
              </pt>
              <pt idx="41">
                <v>43556</v>
              </pt>
              <pt idx="42">
                <v>43647</v>
              </pt>
              <pt idx="43">
                <v>43739</v>
              </pt>
              <pt idx="44">
                <v>43831</v>
              </pt>
              <pt idx="45">
                <v>43922</v>
              </pt>
              <pt idx="46">
                <v>44013</v>
              </pt>
              <pt idx="47">
                <v>44105</v>
              </pt>
              <pt idx="48">
                <v>44197</v>
              </pt>
              <pt idx="49">
                <v>44287</v>
              </pt>
              <pt idx="50">
                <v>44378</v>
              </pt>
              <pt idx="51">
                <v>44470</v>
              </pt>
              <pt idx="52">
                <v>44562</v>
              </pt>
              <pt idx="53">
                <v>44652</v>
              </pt>
              <pt idx="54">
                <v>44743</v>
              </pt>
              <pt idx="55">
                <v>44835</v>
              </pt>
              <pt idx="56">
                <v>44927</v>
              </pt>
              <pt idx="57">
                <v>45017</v>
              </pt>
              <pt idx="58">
                <v>45108</v>
              </pt>
              <pt idx="59">
                <v>45200</v>
              </pt>
            </numLit>
          </cat>
          <val>
            <numLit>
              <formatCode>General</formatCode>
              <ptCount val="60"/>
              <pt idx="0">
                <v>0.323249830057469</v>
              </pt>
              <pt idx="1">
                <v>0.4797196681128601</v>
              </pt>
              <pt idx="2">
                <v>0.4886493417216402</v>
              </pt>
              <pt idx="3">
                <v>0.564566724591737</v>
              </pt>
              <pt idx="4">
                <v>0.3673785278509613</v>
              </pt>
              <pt idx="5">
                <v>0.280049907359157</v>
              </pt>
              <pt idx="6">
                <v>0.3696960013177301</v>
              </pt>
              <pt idx="7">
                <v>0.4292107632275889</v>
              </pt>
              <pt idx="8">
                <v>0.5783279948553781</v>
              </pt>
              <pt idx="9">
                <v>0.3216250848264524</v>
              </pt>
              <pt idx="10">
                <v>0.005478745669050106</v>
              </pt>
              <pt idx="11">
                <v>0</v>
              </pt>
              <pt idx="12">
                <v>0</v>
              </pt>
              <pt idx="13">
                <v>0</v>
              </pt>
              <pt idx="14">
                <v>0</v>
              </pt>
              <pt idx="15">
                <v>0</v>
              </pt>
              <pt idx="16">
                <v>0</v>
              </pt>
              <pt idx="17">
                <v>0.03144340871272493</v>
              </pt>
              <pt idx="18">
                <v>0.1436672290630617</v>
              </pt>
              <pt idx="19">
                <v>0.2267056913636586</v>
              </pt>
              <pt idx="20">
                <v>0.13819467569339</v>
              </pt>
              <pt idx="21">
                <v>0.1009522483287586</v>
              </pt>
              <pt idx="22">
                <v>0</v>
              </pt>
              <pt idx="23">
                <v>0</v>
              </pt>
              <pt idx="24">
                <v>0</v>
              </pt>
              <pt idx="25">
                <v>0</v>
              </pt>
              <pt idx="26">
                <v>0</v>
              </pt>
              <pt idx="27">
                <v>0</v>
              </pt>
              <pt idx="28">
                <v>0.1145133030996468</v>
              </pt>
              <pt idx="29">
                <v>0.2852846647840224</v>
              </pt>
              <pt idx="30">
                <v>0.2819531481475488</v>
              </pt>
              <pt idx="31">
                <v>0.1889668229522787</v>
              </pt>
              <pt idx="32">
                <v>0</v>
              </pt>
              <pt idx="33">
                <v>0</v>
              </pt>
              <pt idx="34">
                <v>0</v>
              </pt>
              <pt idx="35">
                <v>0</v>
              </pt>
              <pt idx="36">
                <v>0</v>
              </pt>
              <pt idx="37">
                <v>0</v>
              </pt>
              <pt idx="38">
                <v>0</v>
              </pt>
              <pt idx="39">
                <v>0</v>
              </pt>
              <pt idx="40">
                <v>0</v>
              </pt>
              <pt idx="41">
                <v>0</v>
              </pt>
              <pt idx="42">
                <v>0</v>
              </pt>
              <pt idx="43">
                <v>0</v>
              </pt>
              <pt idx="44">
                <v>0.01816005648768894</v>
              </pt>
              <pt idx="45">
                <v>0.07390608980467203</v>
              </pt>
              <pt idx="46">
                <v>0.140568871033953</v>
              </pt>
              <pt idx="47">
                <v>0.06939665140655701</v>
              </pt>
              <pt idx="48">
                <v>0.03822877936566557</v>
              </pt>
              <pt idx="49">
                <v>0</v>
              </pt>
              <pt idx="50">
                <v>0</v>
              </pt>
              <pt idx="51">
                <v>0</v>
              </pt>
              <pt idx="52">
                <v>0</v>
              </pt>
              <pt idx="53">
                <v>0</v>
              </pt>
              <pt idx="54">
                <v>0</v>
              </pt>
              <pt idx="55">
                <v>0</v>
              </pt>
              <pt idx="56">
                <v>0</v>
              </pt>
              <pt idx="57">
                <v>0</v>
              </pt>
              <pt idx="58">
                <v>0.1143165137757719</v>
              </pt>
              <pt idx="59">
                <v>0.2280803674689512</v>
              </pt>
            </numLit>
          </val>
        </ser>
        <ser>
          <idx val="5"/>
          <order val="5"/>
          <tx>
            <v>Рынок недвижимости</v>
          </tx>
          <spPr>
            <a:solidFill>
              <a:srgbClr val="F04ACC"/>
            </a:solidFill>
            <a:ln>
              <a:noFill/>
              <a:prstDash val="solid"/>
            </a:ln>
          </spPr>
          <val>
            <numLit>
              <formatCode>General</formatCode>
              <ptCount val="60"/>
              <pt idx="0">
                <v>0.3845184063835777</v>
              </pt>
              <pt idx="1">
                <v>0.4413485219059358</v>
              </pt>
              <pt idx="2">
                <v>0.2927465976150915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  <pt idx="9">
                <v>0</v>
              </pt>
              <pt idx="10">
                <v>0</v>
              </pt>
              <pt idx="11">
                <v>0</v>
              </pt>
              <pt idx="12">
                <v>0</v>
              </pt>
              <pt idx="13">
                <v>0</v>
              </pt>
              <pt idx="14">
                <v>0.1865850961865467</v>
              </pt>
              <pt idx="15">
                <v>0.06995055541115773</v>
              </pt>
              <pt idx="16">
                <v>0.1234517254029353</v>
              </pt>
              <pt idx="17">
                <v>0.0995306101099158</v>
              </pt>
              <pt idx="18">
                <v>0</v>
              </pt>
              <pt idx="19">
                <v>0.0633212231403152</v>
              </pt>
              <pt idx="20">
                <v>0.006259732346786482</v>
              </pt>
              <pt idx="21">
                <v>0.2202497259582969</v>
              </pt>
              <pt idx="22">
                <v>0.3360546269058282</v>
              </pt>
              <pt idx="23">
                <v>0.306235888781643</v>
              </pt>
              <pt idx="24">
                <v>0.4001303891001722</v>
              </pt>
              <pt idx="25">
                <v>0.3427145976369704</v>
              </pt>
              <pt idx="26">
                <v>0.3071244762421501</v>
              </pt>
              <pt idx="27">
                <v>0.3167240036598252</v>
              </pt>
              <pt idx="28">
                <v>0.2724049741309806</v>
              </pt>
              <pt idx="29">
                <v>0.1673911598190422</v>
              </pt>
              <pt idx="30">
                <v>0.03868605126886947</v>
              </pt>
              <pt idx="31">
                <v>0</v>
              </pt>
              <pt idx="32">
                <v>0</v>
              </pt>
              <pt idx="33">
                <v>0</v>
              </pt>
              <pt idx="34">
                <v>0</v>
              </pt>
              <pt idx="35">
                <v>0</v>
              </pt>
              <pt idx="36">
                <v>0</v>
              </pt>
              <pt idx="37">
                <v>0</v>
              </pt>
              <pt idx="38">
                <v>0</v>
              </pt>
              <pt idx="39">
                <v>0.09975658278136179</v>
              </pt>
              <pt idx="40">
                <v>0.3120808052252123</v>
              </pt>
              <pt idx="41">
                <v>0.3673673659219825</v>
              </pt>
              <pt idx="42">
                <v>0.2555964767966277</v>
              </pt>
              <pt idx="43">
                <v>0.2993417927794836</v>
              </pt>
              <pt idx="44">
                <v>0.2424832192008489</v>
              </pt>
              <pt idx="45">
                <v>0.1731196358786697</v>
              </pt>
              <pt idx="46">
                <v>0.1489721373787928</v>
              </pt>
              <pt idx="47">
                <v>0</v>
              </pt>
              <pt idx="48">
                <v>0</v>
              </pt>
              <pt idx="49">
                <v>0</v>
              </pt>
              <pt idx="50">
                <v>0</v>
              </pt>
              <pt idx="51">
                <v>0</v>
              </pt>
              <pt idx="52">
                <v>0</v>
              </pt>
              <pt idx="53">
                <v>0</v>
              </pt>
              <pt idx="54">
                <v>0</v>
              </pt>
              <pt idx="55">
                <v>0</v>
              </pt>
              <pt idx="56">
                <v>0</v>
              </pt>
              <pt idx="57">
                <v>0</v>
              </pt>
              <pt idx="58">
                <v>0</v>
              </pt>
              <pt idx="59">
                <v>0.07375343337947023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lineChart>
        <grouping val="standard"/>
        <varyColors val="0"/>
        <ser>
          <idx val="6"/>
          <order val="6"/>
          <tx>
            <v>Барометр финансовых уязвимостей</v>
          </tx>
          <spPr>
            <a:ln w="28575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Lit>
              <formatCode>General</formatCode>
              <ptCount val="60"/>
              <pt idx="0">
                <v>39814</v>
              </pt>
              <pt idx="1">
                <v>39904</v>
              </pt>
              <pt idx="2">
                <v>39995</v>
              </pt>
              <pt idx="3">
                <v>40087</v>
              </pt>
              <pt idx="4">
                <v>40179</v>
              </pt>
              <pt idx="5">
                <v>40269</v>
              </pt>
              <pt idx="6">
                <v>40360</v>
              </pt>
              <pt idx="7">
                <v>40452</v>
              </pt>
              <pt idx="8">
                <v>40544</v>
              </pt>
              <pt idx="9">
                <v>40634</v>
              </pt>
              <pt idx="10">
                <v>40725</v>
              </pt>
              <pt idx="11">
                <v>40817</v>
              </pt>
              <pt idx="12">
                <v>40909</v>
              </pt>
              <pt idx="13">
                <v>41000</v>
              </pt>
              <pt idx="14">
                <v>41091</v>
              </pt>
              <pt idx="15">
                <v>41183</v>
              </pt>
              <pt idx="16">
                <v>41275</v>
              </pt>
              <pt idx="17">
                <v>41365</v>
              </pt>
              <pt idx="18">
                <v>41456</v>
              </pt>
              <pt idx="19">
                <v>41548</v>
              </pt>
              <pt idx="20">
                <v>41640</v>
              </pt>
              <pt idx="21">
                <v>41730</v>
              </pt>
              <pt idx="22">
                <v>41821</v>
              </pt>
              <pt idx="23">
                <v>41913</v>
              </pt>
              <pt idx="24">
                <v>42005</v>
              </pt>
              <pt idx="25">
                <v>42095</v>
              </pt>
              <pt idx="26">
                <v>42186</v>
              </pt>
              <pt idx="27">
                <v>42278</v>
              </pt>
              <pt idx="28">
                <v>42370</v>
              </pt>
              <pt idx="29">
                <v>42461</v>
              </pt>
              <pt idx="30">
                <v>42552</v>
              </pt>
              <pt idx="31">
                <v>42644</v>
              </pt>
              <pt idx="32">
                <v>42736</v>
              </pt>
              <pt idx="33">
                <v>42826</v>
              </pt>
              <pt idx="34">
                <v>42917</v>
              </pt>
              <pt idx="35">
                <v>43009</v>
              </pt>
              <pt idx="36">
                <v>43101</v>
              </pt>
              <pt idx="37">
                <v>43191</v>
              </pt>
              <pt idx="38">
                <v>43282</v>
              </pt>
              <pt idx="39">
                <v>43374</v>
              </pt>
              <pt idx="40">
                <v>43466</v>
              </pt>
              <pt idx="41">
                <v>43556</v>
              </pt>
              <pt idx="42">
                <v>43647</v>
              </pt>
              <pt idx="43">
                <v>43739</v>
              </pt>
              <pt idx="44">
                <v>43831</v>
              </pt>
              <pt idx="45">
                <v>43922</v>
              </pt>
              <pt idx="46">
                <v>44013</v>
              </pt>
              <pt idx="47">
                <v>44105</v>
              </pt>
              <pt idx="48">
                <v>44197</v>
              </pt>
              <pt idx="49">
                <v>44287</v>
              </pt>
              <pt idx="50">
                <v>44378</v>
              </pt>
              <pt idx="51">
                <v>44470</v>
              </pt>
              <pt idx="52">
                <v>44562</v>
              </pt>
              <pt idx="53">
                <v>44652</v>
              </pt>
              <pt idx="54">
                <v>44743</v>
              </pt>
              <pt idx="55">
                <v>44835</v>
              </pt>
              <pt idx="56">
                <v>44927</v>
              </pt>
              <pt idx="57">
                <v>45017</v>
              </pt>
              <pt idx="58">
                <v>45108</v>
              </pt>
              <pt idx="59">
                <v>45200</v>
              </pt>
            </numLit>
          </cat>
          <val>
            <numLit>
              <formatCode>General</formatCode>
              <ptCount val="60"/>
              <pt idx="0">
                <v>1.551405134432554</v>
              </pt>
              <pt idx="1">
                <v>2.32959097106238</v>
              </pt>
              <pt idx="2">
                <v>2.343442303880089</v>
              </pt>
              <pt idx="3">
                <v>1.78223315132666</v>
              </pt>
              <pt idx="4">
                <v>1.62429273275353</v>
              </pt>
              <pt idx="5">
                <v>1.461897388629259</v>
              </pt>
              <pt idx="6">
                <v>1.569135549057512</v>
              </pt>
              <pt idx="7">
                <v>1.801428488482884</v>
              </pt>
              <pt idx="8">
                <v>1.705180612095433</v>
              </pt>
              <pt idx="9">
                <v>1.335582756576962</v>
              </pt>
              <pt idx="10">
                <v>0.8603881707204418</v>
              </pt>
              <pt idx="11">
                <v>0.1734243768820606</v>
              </pt>
              <pt idx="12">
                <v>0</v>
              </pt>
              <pt idx="13">
                <v>0</v>
              </pt>
              <pt idx="14">
                <v>0.1865850961865467</v>
              </pt>
              <pt idx="15">
                <v>0.1152555175169388</v>
              </pt>
              <pt idx="16">
                <v>0.2471651171742996</v>
              </pt>
              <pt idx="17">
                <v>0.3660013238495097</v>
              </pt>
              <pt idx="18">
                <v>0.3826481127361991</v>
              </pt>
              <pt idx="19">
                <v>0.521840903838695</v>
              </pt>
              <pt idx="20">
                <v>0.7026967545922675</v>
              </pt>
              <pt idx="21">
                <v>1.110020500005702</v>
              </pt>
              <pt idx="22">
                <v>1.218803488179212</v>
              </pt>
              <pt idx="23">
                <v>0.795503811164594</v>
              </pt>
              <pt idx="24">
                <v>1.368596560886134</v>
              </pt>
              <pt idx="25">
                <v>1.084885476541684</v>
              </pt>
              <pt idx="26">
                <v>1.000144735626151</v>
              </pt>
              <pt idx="27">
                <v>0.9939701531285949</v>
              </pt>
              <pt idx="28">
                <v>1.176411496937871</v>
              </pt>
              <pt idx="29">
                <v>1.276627288960736</v>
              </pt>
              <pt idx="30">
                <v>0.5938617570280363</v>
              </pt>
              <pt idx="31">
                <v>0.2614327172498335</v>
              </pt>
              <pt idx="32">
                <v>0</v>
              </pt>
              <pt idx="33">
                <v>0</v>
              </pt>
              <pt idx="34">
                <v>0</v>
              </pt>
              <pt idx="35">
                <v>0</v>
              </pt>
              <pt idx="36">
                <v>0.0700702258033282</v>
              </pt>
              <pt idx="37">
                <v>0.1800821537603283</v>
              </pt>
              <pt idx="38">
                <v>0.2650325163797206</v>
              </pt>
              <pt idx="39">
                <v>0.4284904390676769</v>
              </pt>
              <pt idx="40">
                <v>0.755132099518939</v>
              </pt>
              <pt idx="41">
                <v>0.8016015726266401</v>
              </pt>
              <pt idx="42">
                <v>0.6649586006154928</v>
              </pt>
              <pt idx="43">
                <v>0.7131719877967613</v>
              </pt>
              <pt idx="44">
                <v>1.038680433283212</v>
              </pt>
              <pt idx="45">
                <v>1.778658016566742</v>
              </pt>
              <pt idx="46">
                <v>1.791047441784372</v>
              </pt>
              <pt idx="47">
                <v>1.379562403002369</v>
              </pt>
              <pt idx="48">
                <v>1.031252089601464</v>
              </pt>
              <pt idx="49">
                <v>0.3342968691549851</v>
              </pt>
              <pt idx="50">
                <v>0.1201334675915205</v>
              </pt>
              <pt idx="51">
                <v>0</v>
              </pt>
              <pt idx="52">
                <v>0.03732225348189679</v>
              </pt>
              <pt idx="53">
                <v>0.09878881600484199</v>
              </pt>
              <pt idx="54">
                <v>0</v>
              </pt>
              <pt idx="55">
                <v>0</v>
              </pt>
              <pt idx="56">
                <v>0.09969909822819428</v>
              </pt>
              <pt idx="57">
                <v>0.1639618587560118</v>
              </pt>
              <pt idx="58">
                <v>0.2877633859146663</v>
              </pt>
              <pt idx="59">
                <v>0.4424623358026984</v>
              </pt>
            </numLit>
          </val>
          <smooth val="0"/>
        </ser>
        <ser>
          <idx val="7"/>
          <order val="7"/>
          <tx>
            <v>Критическое значение Барометра</v>
          </tx>
          <spPr>
            <a:ln w="22225" cap="rnd">
              <a:solidFill>
                <a:srgbClr val="FF0000"/>
              </a:solidFill>
              <a:prstDash val="sysDash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Lit>
              <formatCode>General</formatCode>
              <ptCount val="60"/>
              <pt idx="0">
                <v>1.5</v>
              </pt>
              <pt idx="1">
                <v>1.5</v>
              </pt>
              <pt idx="2">
                <v>1.5</v>
              </pt>
              <pt idx="3">
                <v>1.5</v>
              </pt>
              <pt idx="4">
                <v>1.5</v>
              </pt>
              <pt idx="5">
                <v>1.5</v>
              </pt>
              <pt idx="6">
                <v>1.5</v>
              </pt>
              <pt idx="7">
                <v>1.5</v>
              </pt>
              <pt idx="8">
                <v>1.5</v>
              </pt>
              <pt idx="9">
                <v>1.5</v>
              </pt>
              <pt idx="10">
                <v>1.5</v>
              </pt>
              <pt idx="11">
                <v>1.5</v>
              </pt>
              <pt idx="12">
                <v>1.5</v>
              </pt>
              <pt idx="13">
                <v>1.5</v>
              </pt>
              <pt idx="14">
                <v>1.5</v>
              </pt>
              <pt idx="15">
                <v>1.5</v>
              </pt>
              <pt idx="16">
                <v>1.5</v>
              </pt>
              <pt idx="17">
                <v>1.5</v>
              </pt>
              <pt idx="18">
                <v>1.5</v>
              </pt>
              <pt idx="19">
                <v>1.5</v>
              </pt>
              <pt idx="20">
                <v>1.5</v>
              </pt>
              <pt idx="21">
                <v>1.5</v>
              </pt>
              <pt idx="22">
                <v>1.5</v>
              </pt>
              <pt idx="23">
                <v>1.5</v>
              </pt>
              <pt idx="24">
                <v>1.5</v>
              </pt>
              <pt idx="25">
                <v>1.5</v>
              </pt>
              <pt idx="26">
                <v>1.5</v>
              </pt>
              <pt idx="27">
                <v>1.5</v>
              </pt>
              <pt idx="28">
                <v>1.5</v>
              </pt>
              <pt idx="29">
                <v>1.5</v>
              </pt>
              <pt idx="30">
                <v>1.5</v>
              </pt>
              <pt idx="31">
                <v>1.5</v>
              </pt>
              <pt idx="32">
                <v>1.5</v>
              </pt>
              <pt idx="33">
                <v>1.5</v>
              </pt>
              <pt idx="34">
                <v>1.5</v>
              </pt>
              <pt idx="35">
                <v>1.5</v>
              </pt>
              <pt idx="36">
                <v>1.5</v>
              </pt>
              <pt idx="37">
                <v>1.5</v>
              </pt>
              <pt idx="38">
                <v>1.5</v>
              </pt>
              <pt idx="39">
                <v>1.5</v>
              </pt>
              <pt idx="40">
                <v>1.5</v>
              </pt>
              <pt idx="41">
                <v>1.5</v>
              </pt>
              <pt idx="42">
                <v>1.5</v>
              </pt>
              <pt idx="43">
                <v>1.5</v>
              </pt>
              <pt idx="44">
                <v>1.5</v>
              </pt>
              <pt idx="45">
                <v>1.5</v>
              </pt>
              <pt idx="46">
                <v>1.5</v>
              </pt>
              <pt idx="47">
                <v>1.5</v>
              </pt>
              <pt idx="48">
                <v>1.5</v>
              </pt>
              <pt idx="49">
                <v>1.5</v>
              </pt>
              <pt idx="50">
                <v>1.5</v>
              </pt>
              <pt idx="51">
                <v>1.5</v>
              </pt>
              <pt idx="52">
                <v>1.5</v>
              </pt>
              <pt idx="53">
                <v>1.5</v>
              </pt>
              <pt idx="54">
                <v>1.5</v>
              </pt>
              <pt idx="55">
                <v>1.5</v>
              </pt>
              <pt idx="56">
                <v>1.5</v>
              </pt>
              <pt idx="57">
                <v>1.5</v>
              </pt>
              <pt idx="58">
                <v>1.5</v>
              </pt>
              <pt idx="59">
                <v>1.5</v>
              </pt>
            </numLit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885899472"/>
        <axId val="1981925232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catAx>
        <axId val="188589947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981925232"/>
        <crosses val="autoZero"/>
        <auto val="1"/>
        <lblAlgn val="ctr"/>
        <lblOffset val="100"/>
        <noMultiLvlLbl val="0"/>
      </catAx>
      <valAx>
        <axId val="1981925232"/>
        <scaling>
          <orientation val="minMax"/>
        </scaling>
        <delete val="0"/>
        <axPos val="l"/>
        <numFmt formatCode="0.0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885899472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04148865079378643"/>
          <y val="0.06387892578066524"/>
          <w val="0.931889638772353"/>
          <h val="0.2662584952546331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000" b="0" i="0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noFill/>
    <a:ln w="9525" cap="flat" cmpd="sng" algn="ctr">
      <a:noFill/>
      <a:prstDash val="solid"/>
      <a:round/>
    </a:ln>
  </spPr>
</chartSpace>
</file>

<file path=xl/charts/chart22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9368224971878515"/>
          <y val="0.02771511394731365"/>
          <w val="0.8290975559873196"/>
          <h val="0.540315590047647"/>
        </manualLayout>
      </layout>
      <lineChart>
        <grouping val="standard"/>
        <varyColors val="0"/>
        <ser>
          <idx val="0"/>
          <order val="0"/>
          <tx>
            <strRef>
              <f>Barometr_1!$X$3</f>
              <strCache>
                <ptCount val="1"/>
                <pt idx="0">
                  <v xml:space="preserve"> Кредитный разрыв (по Требованиям банков к экономике, % ВВП), левая шкала </v>
                </pt>
              </strCache>
            </strRef>
          </tx>
          <spPr>
            <a:ln w="28575" cap="rnd">
              <a:solidFill>
                <a:schemeClr val="accent6">
                  <a:lumMod val="75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Barometr_1!$Z$7:$Z$73</f>
              <strCache>
                <ptCount val="67"/>
                <pt idx="0">
                  <v>2009 кв.4</v>
                </pt>
                <pt idx="1">
                  <v>2010 кв.1</v>
                </pt>
                <pt idx="2">
                  <v>2010 кв.2</v>
                </pt>
                <pt idx="3">
                  <v>2010 кв.3</v>
                </pt>
                <pt idx="4">
                  <v>2010 кв.4</v>
                </pt>
                <pt idx="5">
                  <v>2011 кв.1</v>
                </pt>
                <pt idx="6">
                  <v>2011 кв.2</v>
                </pt>
                <pt idx="7">
                  <v>2011 кв.3</v>
                </pt>
                <pt idx="8">
                  <v>2011 кв.4</v>
                </pt>
                <pt idx="9">
                  <v>2012 кв.1</v>
                </pt>
                <pt idx="10">
                  <v>2012 кв.2</v>
                </pt>
                <pt idx="11">
                  <v>2012 кв.3</v>
                </pt>
                <pt idx="12">
                  <v>2012 кв.4</v>
                </pt>
                <pt idx="13">
                  <v>2013 кв.1</v>
                </pt>
                <pt idx="14">
                  <v>2013 кв.2</v>
                </pt>
                <pt idx="15">
                  <v>2013 кв.3</v>
                </pt>
                <pt idx="16">
                  <v>2013 кв.4</v>
                </pt>
                <pt idx="17">
                  <v>2014 кв.1</v>
                </pt>
                <pt idx="18">
                  <v>2014 кв.2</v>
                </pt>
                <pt idx="19">
                  <v>2014 кв.3</v>
                </pt>
                <pt idx="20">
                  <v>2014 кв.4</v>
                </pt>
                <pt idx="21">
                  <v>2015 кв.1</v>
                </pt>
                <pt idx="22">
                  <v>2015 кв.2</v>
                </pt>
                <pt idx="23">
                  <v>2015 кв.3</v>
                </pt>
                <pt idx="24">
                  <v>2015 кв.4</v>
                </pt>
                <pt idx="25">
                  <v>2016 кв.1</v>
                </pt>
                <pt idx="26">
                  <v>2016 кв.2</v>
                </pt>
                <pt idx="27">
                  <v>2016 кв.3</v>
                </pt>
                <pt idx="28">
                  <v>2016 кв.4</v>
                </pt>
                <pt idx="29">
                  <v>2017 кв.1</v>
                </pt>
                <pt idx="30">
                  <v>2017 кв.2</v>
                </pt>
                <pt idx="31">
                  <v>2017 кв.3</v>
                </pt>
                <pt idx="32">
                  <v>2017 кв.4</v>
                </pt>
                <pt idx="33">
                  <v>2018 кв.1</v>
                </pt>
                <pt idx="34">
                  <v>2018 кв.2</v>
                </pt>
                <pt idx="35">
                  <v>2018 кв.3</v>
                </pt>
                <pt idx="36">
                  <v>2018 кв.4</v>
                </pt>
                <pt idx="37">
                  <v>2019 кв.1</v>
                </pt>
                <pt idx="38">
                  <v>2019 кв.2</v>
                </pt>
                <pt idx="39">
                  <v>2019 кв.3</v>
                </pt>
                <pt idx="40">
                  <v>2019 кв.4</v>
                </pt>
                <pt idx="41">
                  <v>2020 кв.1</v>
                </pt>
                <pt idx="42">
                  <v>2020 кв.2</v>
                </pt>
                <pt idx="43">
                  <v>2020 кв.3</v>
                </pt>
                <pt idx="44">
                  <v>2020 кв.4</v>
                </pt>
                <pt idx="45">
                  <v>2021 кв.1</v>
                </pt>
                <pt idx="46">
                  <v>2021 кв.2</v>
                </pt>
                <pt idx="47">
                  <v>2021 кв.3</v>
                </pt>
                <pt idx="48">
                  <v>2021 кв.4</v>
                </pt>
                <pt idx="49">
                  <v>2022 кв.1</v>
                </pt>
                <pt idx="50">
                  <v>2022 кв.2</v>
                </pt>
                <pt idx="51">
                  <v>2022 кв.3</v>
                </pt>
                <pt idx="52">
                  <v>2022 кв.4</v>
                </pt>
                <pt idx="53">
                  <v>2023 кв.1</v>
                </pt>
                <pt idx="54">
                  <v>2023 кв.2</v>
                </pt>
                <pt idx="55">
                  <v>2023 кв.3</v>
                </pt>
                <pt idx="56">
                  <v>2023 кв.4</v>
                </pt>
                <pt idx="57">
                  <v>2024 кв.1</v>
                </pt>
                <pt idx="58">
                  <v>2024 кв.2</v>
                </pt>
                <pt idx="59">
                  <v>2024 кв.3</v>
                </pt>
                <pt idx="60">
                  <v>2024 кв.4</v>
                </pt>
                <pt idx="61">
                  <v>2025 кв.1</v>
                </pt>
                <pt idx="62">
                  <v>2025 кв.2</v>
                </pt>
                <pt idx="63">
                  <v>2025 кв.3</v>
                </pt>
                <pt idx="64">
                  <v>2025 кв.4</v>
                </pt>
                <pt idx="65">
                  <v>2026 кв.1</v>
                </pt>
                <pt idx="66">
                  <v>2026 кв.2</v>
                </pt>
              </strCache>
            </strRef>
          </cat>
          <val>
            <numRef>
              <f>Barometr_1!$X$7:$X$73</f>
              <numCache>
                <formatCode>0.00</formatCode>
                <ptCount val="67"/>
                <pt idx="0">
                  <v>3.09202840741839</v>
                </pt>
                <pt idx="1">
                  <v>4.253585765843361</v>
                </pt>
                <pt idx="2">
                  <v>5.084202420618716</v>
                </pt>
                <pt idx="3">
                  <v>6.215366213601001</v>
                </pt>
                <pt idx="4">
                  <v>7.568180023328466</v>
                </pt>
                <pt idx="5">
                  <v>8.057168963093616</v>
                </pt>
                <pt idx="6">
                  <v>9.405628433417029</v>
                </pt>
                <pt idx="7">
                  <v>8.07495876195749</v>
                </pt>
                <pt idx="8">
                  <v>5.094514313424618</v>
                </pt>
                <pt idx="9">
                  <v>-1.424234746237268</v>
                </pt>
                <pt idx="10">
                  <v>-5.814982063964578</v>
                </pt>
                <pt idx="11">
                  <v>-7.076208442391433</v>
                </pt>
                <pt idx="12">
                  <v>-6.617518082207177</v>
                </pt>
                <pt idx="13">
                  <v>-5.433399828143827</v>
                </pt>
                <pt idx="14">
                  <v>-4.350812207425761</v>
                </pt>
                <pt idx="15">
                  <v>-3.733259805895266</v>
                </pt>
                <pt idx="16">
                  <v>-2.986235813149754</v>
                </pt>
                <pt idx="17">
                  <v>-2.726731748949291</v>
                </pt>
                <pt idx="18">
                  <v>-1.800472951384279</v>
                </pt>
                <pt idx="19">
                  <v>-2.337762463256894</v>
                </pt>
                <pt idx="20">
                  <v>-3.251871480988513</v>
                </pt>
                <pt idx="21">
                  <v>1.881298006632505</v>
                </pt>
                <pt idx="22">
                  <v>1.241689353565008</v>
                </pt>
                <pt idx="23">
                  <v>2.597922854686608</v>
                </pt>
                <pt idx="24">
                  <v>2.784291918990981</v>
                </pt>
                <pt idx="25">
                  <v>5.477838075489259</v>
                </pt>
                <pt idx="26">
                  <v>4.061860660587506</v>
                </pt>
                <pt idx="27">
                  <v>2.986650254444541</v>
                </pt>
                <pt idx="28">
                  <v>0.7654533016553842</v>
                </pt>
                <pt idx="29">
                  <v>-1.11089504211737</v>
                </pt>
                <pt idx="30">
                  <v>-1.730671846788482</v>
                </pt>
                <pt idx="31">
                  <v>-1.572806759112453</v>
                </pt>
                <pt idx="32">
                  <v>-1.860492422490715</v>
                </pt>
                <pt idx="33">
                  <v>-1.960164966063807</v>
                </pt>
                <pt idx="34">
                  <v>-1.726360729819298</v>
                </pt>
                <pt idx="35">
                  <v>-2.107342569398782</v>
                </pt>
                <pt idx="36">
                  <v>-1.601284802967953</v>
                </pt>
                <pt idx="37">
                  <v>-1.336362307925228</v>
                </pt>
                <pt idx="38">
                  <v>-1.283945474224495</v>
                </pt>
                <pt idx="39">
                  <v>-1.414202012133821</v>
                </pt>
                <pt idx="40">
                  <v>-1.364177386444375</v>
                </pt>
                <pt idx="41">
                  <v>1.096745407345104</v>
                </pt>
                <pt idx="42">
                  <v>3.519187704509818</v>
                </pt>
                <pt idx="43">
                  <v>4.061405691833734</v>
                </pt>
                <pt idx="44">
                  <v>4.331428202737122</v>
                </pt>
                <pt idx="45">
                  <v>3.353907083797516</v>
                </pt>
                <pt idx="46">
                  <v>1.298087238310821</v>
                </pt>
                <pt idx="47">
                  <v>0.2627374737920363</v>
                </pt>
                <pt idx="48">
                  <v>-0.9216168838583982</v>
                </pt>
                <pt idx="49">
                  <v>0.3991012021155882</v>
                </pt>
                <pt idx="50">
                  <v>-0.3424567862825114</v>
                </pt>
                <pt idx="51">
                  <v>-2.267913705210802</v>
                </pt>
                <pt idx="52">
                  <v>-3.246244300846421</v>
                </pt>
                <pt idx="53">
                  <v>-1.950316693319586</v>
                </pt>
                <pt idx="54">
                  <v>-1.423539663255177</v>
                </pt>
                <pt idx="55">
                  <v>-0.6168636127961378</v>
                </pt>
                <pt idx="56">
                  <v>0.2624646981878485</v>
                </pt>
                <pt idx="57">
                  <v>0.2197213578815251</v>
                </pt>
                <pt idx="58">
                  <v>0.1279555584526264</v>
                </pt>
                <pt idx="59">
                  <v>-0.4126571957047744</v>
                </pt>
                <pt idx="60">
                  <v>0.03228165238733283</v>
                </pt>
                <pt idx="61">
                  <v>0.716498891791332</v>
                </pt>
                <pt idx="62">
                  <v>0.589311174248067</v>
                </pt>
                <pt idx="63">
                  <v>-0.09662235414267428</v>
                </pt>
                <pt idx="64">
                  <v>-0.0868966932919264</v>
                </pt>
                <pt idx="65">
                  <v>0.0741051016150891</v>
                </pt>
                <pt idx="66">
                  <v>-0.2875722699823342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18783816"/>
        <axId val="618779224"/>
      </lineChart>
      <lineChart>
        <grouping val="standard"/>
        <varyColors val="0"/>
        <ser>
          <idx val="1"/>
          <order val="1"/>
          <tx>
            <strRef>
              <f>Barometr_1!$U$1</f>
              <strCache>
                <ptCount val="1"/>
                <pt idx="0">
                  <v>Барометр финансовых уязвимостей</v>
                </pt>
              </strCache>
            </strRef>
          </tx>
          <spPr>
            <a:ln w="34925" cap="rnd">
              <a:solidFill>
                <a:srgbClr val="D09E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Barometr_1!$Z$7:$Z$73</f>
              <strCache>
                <ptCount val="67"/>
                <pt idx="0">
                  <v>2009 кв.4</v>
                </pt>
                <pt idx="1">
                  <v>2010 кв.1</v>
                </pt>
                <pt idx="2">
                  <v>2010 кв.2</v>
                </pt>
                <pt idx="3">
                  <v>2010 кв.3</v>
                </pt>
                <pt idx="4">
                  <v>2010 кв.4</v>
                </pt>
                <pt idx="5">
                  <v>2011 кв.1</v>
                </pt>
                <pt idx="6">
                  <v>2011 кв.2</v>
                </pt>
                <pt idx="7">
                  <v>2011 кв.3</v>
                </pt>
                <pt idx="8">
                  <v>2011 кв.4</v>
                </pt>
                <pt idx="9">
                  <v>2012 кв.1</v>
                </pt>
                <pt idx="10">
                  <v>2012 кв.2</v>
                </pt>
                <pt idx="11">
                  <v>2012 кв.3</v>
                </pt>
                <pt idx="12">
                  <v>2012 кв.4</v>
                </pt>
                <pt idx="13">
                  <v>2013 кв.1</v>
                </pt>
                <pt idx="14">
                  <v>2013 кв.2</v>
                </pt>
                <pt idx="15">
                  <v>2013 кв.3</v>
                </pt>
                <pt idx="16">
                  <v>2013 кв.4</v>
                </pt>
                <pt idx="17">
                  <v>2014 кв.1</v>
                </pt>
                <pt idx="18">
                  <v>2014 кв.2</v>
                </pt>
                <pt idx="19">
                  <v>2014 кв.3</v>
                </pt>
                <pt idx="20">
                  <v>2014 кв.4</v>
                </pt>
                <pt idx="21">
                  <v>2015 кв.1</v>
                </pt>
                <pt idx="22">
                  <v>2015 кв.2</v>
                </pt>
                <pt idx="23">
                  <v>2015 кв.3</v>
                </pt>
                <pt idx="24">
                  <v>2015 кв.4</v>
                </pt>
                <pt idx="25">
                  <v>2016 кв.1</v>
                </pt>
                <pt idx="26">
                  <v>2016 кв.2</v>
                </pt>
                <pt idx="27">
                  <v>2016 кв.3</v>
                </pt>
                <pt idx="28">
                  <v>2016 кв.4</v>
                </pt>
                <pt idx="29">
                  <v>2017 кв.1</v>
                </pt>
                <pt idx="30">
                  <v>2017 кв.2</v>
                </pt>
                <pt idx="31">
                  <v>2017 кв.3</v>
                </pt>
                <pt idx="32">
                  <v>2017 кв.4</v>
                </pt>
                <pt idx="33">
                  <v>2018 кв.1</v>
                </pt>
                <pt idx="34">
                  <v>2018 кв.2</v>
                </pt>
                <pt idx="35">
                  <v>2018 кв.3</v>
                </pt>
                <pt idx="36">
                  <v>2018 кв.4</v>
                </pt>
                <pt idx="37">
                  <v>2019 кв.1</v>
                </pt>
                <pt idx="38">
                  <v>2019 кв.2</v>
                </pt>
                <pt idx="39">
                  <v>2019 кв.3</v>
                </pt>
                <pt idx="40">
                  <v>2019 кв.4</v>
                </pt>
                <pt idx="41">
                  <v>2020 кв.1</v>
                </pt>
                <pt idx="42">
                  <v>2020 кв.2</v>
                </pt>
                <pt idx="43">
                  <v>2020 кв.3</v>
                </pt>
                <pt idx="44">
                  <v>2020 кв.4</v>
                </pt>
                <pt idx="45">
                  <v>2021 кв.1</v>
                </pt>
                <pt idx="46">
                  <v>2021 кв.2</v>
                </pt>
                <pt idx="47">
                  <v>2021 кв.3</v>
                </pt>
                <pt idx="48">
                  <v>2021 кв.4</v>
                </pt>
                <pt idx="49">
                  <v>2022 кв.1</v>
                </pt>
                <pt idx="50">
                  <v>2022 кв.2</v>
                </pt>
                <pt idx="51">
                  <v>2022 кв.3</v>
                </pt>
                <pt idx="52">
                  <v>2022 кв.4</v>
                </pt>
                <pt idx="53">
                  <v>2023 кв.1</v>
                </pt>
                <pt idx="54">
                  <v>2023 кв.2</v>
                </pt>
                <pt idx="55">
                  <v>2023 кв.3</v>
                </pt>
                <pt idx="56">
                  <v>2023 кв.4</v>
                </pt>
                <pt idx="57">
                  <v>2024 кв.1</v>
                </pt>
                <pt idx="58">
                  <v>2024 кв.2</v>
                </pt>
                <pt idx="59">
                  <v>2024 кв.3</v>
                </pt>
                <pt idx="60">
                  <v>2024 кв.4</v>
                </pt>
                <pt idx="61">
                  <v>2025 кв.1</v>
                </pt>
                <pt idx="62">
                  <v>2025 кв.2</v>
                </pt>
                <pt idx="63">
                  <v>2025 кв.3</v>
                </pt>
                <pt idx="64">
                  <v>2025 кв.4</v>
                </pt>
                <pt idx="65">
                  <v>2026 кв.1</v>
                </pt>
                <pt idx="66">
                  <v>2026 кв.2</v>
                </pt>
              </strCache>
            </strRef>
          </cat>
          <val>
            <numRef>
              <f>Barometr_1!$V$7:$V$73</f>
              <numCache>
                <formatCode>0.00</formatCode>
                <ptCount val="67"/>
                <pt idx="0">
                  <v>1.780358559318832</v>
                </pt>
                <pt idx="1">
                  <v>1.623082220360478</v>
                </pt>
                <pt idx="2">
                  <v>1.460984410580959</v>
                </pt>
                <pt idx="3">
                  <v>1.568751913286922</v>
                </pt>
                <pt idx="4">
                  <v>1.80123423275023</v>
                </pt>
                <pt idx="5">
                  <v>1.706901440775191</v>
                </pt>
                <pt idx="6">
                  <v>1.337929656910081</v>
                </pt>
                <pt idx="7">
                  <v>0.8621610565962634</v>
                </pt>
                <pt idx="8">
                  <v>0.1722841245609938</v>
                </pt>
                <pt idx="9">
                  <v>0</v>
                </pt>
                <pt idx="10">
                  <v>0</v>
                </pt>
                <pt idx="11">
                  <v>0.186324647661318</v>
                </pt>
                <pt idx="12">
                  <v>0.1149632904207103</v>
                </pt>
                <pt idx="13">
                  <v>0.2467266642500441</v>
                </pt>
                <pt idx="14">
                  <v>0.3666615512669454</v>
                </pt>
                <pt idx="15">
                  <v>0.3838941948395047</v>
                </pt>
                <pt idx="16">
                  <v>0.5249120308917077</v>
                </pt>
                <pt idx="17">
                  <v>0.7056668475110327</v>
                </pt>
                <pt idx="18">
                  <v>1.113068068495994</v>
                </pt>
                <pt idx="19">
                  <v>1.221852683481429</v>
                </pt>
                <pt idx="20">
                  <v>0.7975090003777352</v>
                </pt>
                <pt idx="21">
                  <v>1.369788333175007</v>
                </pt>
                <pt idx="22">
                  <v>1.08513504231271</v>
                </pt>
                <pt idx="23">
                  <v>0.9994353468272423</v>
                </pt>
                <pt idx="24">
                  <v>0.994389882410555</v>
                </pt>
                <pt idx="25">
                  <v>1.176971075381323</v>
                </pt>
                <pt idx="26">
                  <v>1.276942603028207</v>
                </pt>
                <pt idx="27">
                  <v>0.5943759063335599</v>
                </pt>
                <pt idx="28">
                  <v>0.2612167822450128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0.06986143100726544</v>
                </pt>
                <pt idx="34">
                  <v>0.1797970005973469</v>
                </pt>
                <pt idx="35">
                  <v>0.2654799211957071</v>
                </pt>
                <pt idx="36">
                  <v>0.428342751729955</v>
                </pt>
                <pt idx="37">
                  <v>0.7558245247281141</v>
                </pt>
                <pt idx="38">
                  <v>0.8020462877327399</v>
                </pt>
                <pt idx="39">
                  <v>0.6647810474757336</v>
                </pt>
                <pt idx="40">
                  <v>0.7129165852945898</v>
                </pt>
                <pt idx="41">
                  <v>1.039088737169466</v>
                </pt>
                <pt idx="42">
                  <v>1.778937233692104</v>
                </pt>
                <pt idx="43">
                  <v>1.79130738613973</v>
                </pt>
                <pt idx="44">
                  <v>1.378950463506178</v>
                </pt>
                <pt idx="45">
                  <v>1.03061250055815</v>
                </pt>
                <pt idx="46">
                  <v>0.3340682385187079</v>
                </pt>
                <pt idx="47">
                  <v>0.12013632978181</v>
                </pt>
                <pt idx="48">
                  <v>0</v>
                </pt>
                <pt idx="49">
                  <v>0.03744827574927182</v>
                </pt>
                <pt idx="50">
                  <v>0.09879487796438113</v>
                </pt>
                <pt idx="51">
                  <v>0</v>
                </pt>
                <pt idx="52">
                  <v>0</v>
                </pt>
                <pt idx="53">
                  <v>0.0999766630265144</v>
                </pt>
                <pt idx="54">
                  <v>0.1642365687827367</v>
                </pt>
                <pt idx="55">
                  <v>0.2879650762960851</v>
                </pt>
                <pt idx="56">
                  <v>0.4430253201446886</v>
                </pt>
                <pt idx="57">
                  <v>0.5830587064891362</v>
                </pt>
                <pt idx="58">
                  <v>0.3916237120147696</v>
                </pt>
                <pt idx="59">
                  <v>0.4918504741906703</v>
                </pt>
                <pt idx="60">
                  <v>0.5095072024445719</v>
                </pt>
                <pt idx="61">
                  <v>0.5701084103229725</v>
                </pt>
                <pt idx="62">
                  <v>0.7712270498476858</v>
                </pt>
                <pt idx="63">
                  <v>0.6825112005958724</v>
                </pt>
                <pt idx="64">
                  <v>0.4685221941783497</v>
                </pt>
                <pt idx="65">
                  <v>0.6616388464372576</v>
                </pt>
                <pt idx="66">
                  <v>0.687909638846138</v>
                </pt>
              </numCache>
            </numRef>
          </val>
          <smooth val="0"/>
        </ser>
        <ser>
          <idx val="2"/>
          <order val="2"/>
          <tx>
            <strRef>
              <f>Barometr_1!$Y$3</f>
              <strCache>
                <ptCount val="1"/>
                <pt idx="0">
                  <v xml:space="preserve"> Критическое значение Барометра </v>
                </pt>
              </strCache>
            </strRef>
          </tx>
          <spPr>
            <a:ln w="19050" cap="rnd">
              <a:solidFill>
                <a:srgbClr val="C00000"/>
              </a:solidFill>
              <a:prstDash val="sysDash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Barometr_1!$Z$7:$Z$73</f>
              <strCache>
                <ptCount val="67"/>
                <pt idx="0">
                  <v>2009 кв.4</v>
                </pt>
                <pt idx="1">
                  <v>2010 кв.1</v>
                </pt>
                <pt idx="2">
                  <v>2010 кв.2</v>
                </pt>
                <pt idx="3">
                  <v>2010 кв.3</v>
                </pt>
                <pt idx="4">
                  <v>2010 кв.4</v>
                </pt>
                <pt idx="5">
                  <v>2011 кв.1</v>
                </pt>
                <pt idx="6">
                  <v>2011 кв.2</v>
                </pt>
                <pt idx="7">
                  <v>2011 кв.3</v>
                </pt>
                <pt idx="8">
                  <v>2011 кв.4</v>
                </pt>
                <pt idx="9">
                  <v>2012 кв.1</v>
                </pt>
                <pt idx="10">
                  <v>2012 кв.2</v>
                </pt>
                <pt idx="11">
                  <v>2012 кв.3</v>
                </pt>
                <pt idx="12">
                  <v>2012 кв.4</v>
                </pt>
                <pt idx="13">
                  <v>2013 кв.1</v>
                </pt>
                <pt idx="14">
                  <v>2013 кв.2</v>
                </pt>
                <pt idx="15">
                  <v>2013 кв.3</v>
                </pt>
                <pt idx="16">
                  <v>2013 кв.4</v>
                </pt>
                <pt idx="17">
                  <v>2014 кв.1</v>
                </pt>
                <pt idx="18">
                  <v>2014 кв.2</v>
                </pt>
                <pt idx="19">
                  <v>2014 кв.3</v>
                </pt>
                <pt idx="20">
                  <v>2014 кв.4</v>
                </pt>
                <pt idx="21">
                  <v>2015 кв.1</v>
                </pt>
                <pt idx="22">
                  <v>2015 кв.2</v>
                </pt>
                <pt idx="23">
                  <v>2015 кв.3</v>
                </pt>
                <pt idx="24">
                  <v>2015 кв.4</v>
                </pt>
                <pt idx="25">
                  <v>2016 кв.1</v>
                </pt>
                <pt idx="26">
                  <v>2016 кв.2</v>
                </pt>
                <pt idx="27">
                  <v>2016 кв.3</v>
                </pt>
                <pt idx="28">
                  <v>2016 кв.4</v>
                </pt>
                <pt idx="29">
                  <v>2017 кв.1</v>
                </pt>
                <pt idx="30">
                  <v>2017 кв.2</v>
                </pt>
                <pt idx="31">
                  <v>2017 кв.3</v>
                </pt>
                <pt idx="32">
                  <v>2017 кв.4</v>
                </pt>
                <pt idx="33">
                  <v>2018 кв.1</v>
                </pt>
                <pt idx="34">
                  <v>2018 кв.2</v>
                </pt>
                <pt idx="35">
                  <v>2018 кв.3</v>
                </pt>
                <pt idx="36">
                  <v>2018 кв.4</v>
                </pt>
                <pt idx="37">
                  <v>2019 кв.1</v>
                </pt>
                <pt idx="38">
                  <v>2019 кв.2</v>
                </pt>
                <pt idx="39">
                  <v>2019 кв.3</v>
                </pt>
                <pt idx="40">
                  <v>2019 кв.4</v>
                </pt>
                <pt idx="41">
                  <v>2020 кв.1</v>
                </pt>
                <pt idx="42">
                  <v>2020 кв.2</v>
                </pt>
                <pt idx="43">
                  <v>2020 кв.3</v>
                </pt>
                <pt idx="44">
                  <v>2020 кв.4</v>
                </pt>
                <pt idx="45">
                  <v>2021 кв.1</v>
                </pt>
                <pt idx="46">
                  <v>2021 кв.2</v>
                </pt>
                <pt idx="47">
                  <v>2021 кв.3</v>
                </pt>
                <pt idx="48">
                  <v>2021 кв.4</v>
                </pt>
                <pt idx="49">
                  <v>2022 кв.1</v>
                </pt>
                <pt idx="50">
                  <v>2022 кв.2</v>
                </pt>
                <pt idx="51">
                  <v>2022 кв.3</v>
                </pt>
                <pt idx="52">
                  <v>2022 кв.4</v>
                </pt>
                <pt idx="53">
                  <v>2023 кв.1</v>
                </pt>
                <pt idx="54">
                  <v>2023 кв.2</v>
                </pt>
                <pt idx="55">
                  <v>2023 кв.3</v>
                </pt>
                <pt idx="56">
                  <v>2023 кв.4</v>
                </pt>
                <pt idx="57">
                  <v>2024 кв.1</v>
                </pt>
                <pt idx="58">
                  <v>2024 кв.2</v>
                </pt>
                <pt idx="59">
                  <v>2024 кв.3</v>
                </pt>
                <pt idx="60">
                  <v>2024 кв.4</v>
                </pt>
                <pt idx="61">
                  <v>2025 кв.1</v>
                </pt>
                <pt idx="62">
                  <v>2025 кв.2</v>
                </pt>
                <pt idx="63">
                  <v>2025 кв.3</v>
                </pt>
                <pt idx="64">
                  <v>2025 кв.4</v>
                </pt>
                <pt idx="65">
                  <v>2026 кв.1</v>
                </pt>
                <pt idx="66">
                  <v>2026 кв.2</v>
                </pt>
              </strCache>
            </strRef>
          </cat>
          <val>
            <numRef>
              <f>Barometr_1!$Y$7:$Y$73</f>
              <numCache>
                <formatCode>0.00</formatCode>
                <ptCount val="67"/>
                <pt idx="0">
                  <v>1.5</v>
                </pt>
                <pt idx="1">
                  <v>1.5</v>
                </pt>
                <pt idx="2">
                  <v>1.5</v>
                </pt>
                <pt idx="3">
                  <v>1.5</v>
                </pt>
                <pt idx="4">
                  <v>1.5</v>
                </pt>
                <pt idx="5">
                  <v>1.5</v>
                </pt>
                <pt idx="6">
                  <v>1.5</v>
                </pt>
                <pt idx="7">
                  <v>1.5</v>
                </pt>
                <pt idx="8">
                  <v>1.5</v>
                </pt>
                <pt idx="9">
                  <v>1.5</v>
                </pt>
                <pt idx="10">
                  <v>1.5</v>
                </pt>
                <pt idx="11">
                  <v>1.5</v>
                </pt>
                <pt idx="12">
                  <v>1.5</v>
                </pt>
                <pt idx="13">
                  <v>1.5</v>
                </pt>
                <pt idx="14">
                  <v>1.5</v>
                </pt>
                <pt idx="15">
                  <v>1.5</v>
                </pt>
                <pt idx="16">
                  <v>1.5</v>
                </pt>
                <pt idx="17">
                  <v>1.5</v>
                </pt>
                <pt idx="18">
                  <v>1.5</v>
                </pt>
                <pt idx="19">
                  <v>1.5</v>
                </pt>
                <pt idx="20">
                  <v>1.5</v>
                </pt>
                <pt idx="21">
                  <v>1.5</v>
                </pt>
                <pt idx="22">
                  <v>1.5</v>
                </pt>
                <pt idx="23">
                  <v>1.5</v>
                </pt>
                <pt idx="24">
                  <v>1.5</v>
                </pt>
                <pt idx="25">
                  <v>1.5</v>
                </pt>
                <pt idx="26">
                  <v>1.5</v>
                </pt>
                <pt idx="27">
                  <v>1.5</v>
                </pt>
                <pt idx="28">
                  <v>1.5</v>
                </pt>
                <pt idx="29">
                  <v>1.5</v>
                </pt>
                <pt idx="30">
                  <v>1.5</v>
                </pt>
                <pt idx="31">
                  <v>1.5</v>
                </pt>
                <pt idx="32">
                  <v>1.5</v>
                </pt>
                <pt idx="33">
                  <v>1.5</v>
                </pt>
                <pt idx="34">
                  <v>1.5</v>
                </pt>
                <pt idx="35">
                  <v>1.5</v>
                </pt>
                <pt idx="36">
                  <v>1.5</v>
                </pt>
                <pt idx="37">
                  <v>1.5</v>
                </pt>
                <pt idx="38">
                  <v>1.5</v>
                </pt>
                <pt idx="39">
                  <v>1.5</v>
                </pt>
                <pt idx="40">
                  <v>1.5</v>
                </pt>
                <pt idx="41">
                  <v>1.5</v>
                </pt>
                <pt idx="42">
                  <v>1.5</v>
                </pt>
                <pt idx="43">
                  <v>1.5</v>
                </pt>
                <pt idx="44">
                  <v>1.5</v>
                </pt>
                <pt idx="45">
                  <v>1.5</v>
                </pt>
                <pt idx="46">
                  <v>1.5</v>
                </pt>
                <pt idx="47">
                  <v>1.5</v>
                </pt>
                <pt idx="48">
                  <v>1.5</v>
                </pt>
                <pt idx="49">
                  <v>1.5</v>
                </pt>
                <pt idx="50">
                  <v>1.5</v>
                </pt>
                <pt idx="51">
                  <v>1.5</v>
                </pt>
                <pt idx="52">
                  <v>1.5</v>
                </pt>
                <pt idx="53">
                  <v>1.5</v>
                </pt>
                <pt idx="54">
                  <v>1.5</v>
                </pt>
                <pt idx="55">
                  <v>1.5</v>
                </pt>
                <pt idx="56">
                  <v>1.5</v>
                </pt>
                <pt idx="57">
                  <v>1.5</v>
                </pt>
                <pt idx="58">
                  <v>1.5</v>
                </pt>
                <pt idx="59">
                  <v>1.5</v>
                </pt>
                <pt idx="60">
                  <v>1.5</v>
                </pt>
                <pt idx="61">
                  <v>1.5</v>
                </pt>
                <pt idx="62">
                  <v>1.5</v>
                </pt>
                <pt idx="63">
                  <v>1.5</v>
                </pt>
                <pt idx="64">
                  <v>1.5</v>
                </pt>
                <pt idx="65">
                  <v>1.5</v>
                </pt>
                <pt idx="66">
                  <v>1.5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29857496"/>
        <axId val="729855856"/>
      </lineChart>
      <catAx>
        <axId val="6187838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spPr>
          <a:noFill/>
          <a:ln w="15875" cap="flat" cmpd="sng" algn="ctr">
            <a:solidFill>
              <a:schemeClr val="tx1"/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ysClr val="windowText" lastClr="000000"/>
                </a:solidFill>
                <a:latin typeface="Oswald" panose="00000500000000000000" pitchFamily="2" charset="-52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618779224"/>
        <crosses val="autoZero"/>
        <auto val="1"/>
        <lblAlgn val="ctr"/>
        <lblOffset val="100"/>
        <noMultiLvlLbl val="1"/>
      </catAx>
      <valAx>
        <axId val="618779224"/>
        <scaling>
          <orientation val="minMax"/>
          <max val="10"/>
          <min val="-10"/>
        </scaling>
        <delete val="0"/>
        <axPos val="l"/>
        <numFmt formatCode="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ysClr val="windowText" lastClr="000000"/>
                </a:solidFill>
                <a:latin typeface="Oswald" panose="00000500000000000000" pitchFamily="2" charset="-52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618783816"/>
        <crosses val="autoZero"/>
        <crossBetween val="between"/>
        <majorUnit val="4"/>
      </valAx>
      <catAx>
        <axId val="729857496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729855856"/>
        <crosses val="autoZero"/>
        <auto val="1"/>
        <lblAlgn val="ctr"/>
        <lblOffset val="100"/>
        <noMultiLvlLbl val="1"/>
      </catAx>
      <valAx>
        <axId val="729855856"/>
        <scaling>
          <orientation val="minMax"/>
          <max val="3"/>
          <min val="-3"/>
        </scaling>
        <delete val="0"/>
        <axPos val="r"/>
        <numFmt formatCode="0" sourceLinked="0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ysClr val="windowText" lastClr="000000"/>
                </a:solidFill>
                <a:latin typeface="Oswald" panose="00000500000000000000" pitchFamily="2" charset="-52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29857496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0736380352455943"/>
          <y val="0.8157336807719179"/>
          <w val="0.8870941336971351"/>
          <h val="0.1842663192280821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ysClr val="windowText" lastClr="000000"/>
              </a:solidFill>
              <a:latin typeface="Oswald" panose="00000500000000000000" pitchFamily="2" charset="-52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solidFill>
      <a:schemeClr val="bg1"/>
    </a:solidFill>
    <a:ln w="9525" cap="flat" cmpd="sng" algn="ctr">
      <a:noFill/>
      <a:prstDash val="solid"/>
      <a:round/>
    </a:ln>
  </spPr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1</a:t>
            </a:r>
            <a:r>
              <a:rPr lang="ru-RU">
                <a:solidFill>
                  <a:sysClr val="windowText" lastClr="000000"/>
                </a:solidFill>
              </a:rPr>
              <a:t xml:space="preserve"> квартал 202</a:t>
            </a:r>
            <a:r>
              <a:rPr lang="en-US">
                <a:solidFill>
                  <a:sysClr val="windowText" lastClr="000000"/>
                </a:solidFill>
              </a:rPr>
              <a:t>6</a:t>
            </a:r>
            <a:r>
              <a:rPr lang="ru-RU">
                <a:solidFill>
                  <a:sysClr val="windowText" lastClr="000000"/>
                </a:solidFill>
              </a:rPr>
              <a:t xml:space="preserve"> г.</a:t>
            </a:r>
          </a:p>
        </rich>
      </tx>
      <layout>
        <manualLayout>
          <xMode val="edge"/>
          <yMode val="edge"/>
          <wMode val="factor"/>
          <hMode val="factor"/>
          <x val="0.5433457743177732"/>
          <y val="0.0364963503649635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4777108539413816"/>
          <y val="0.2000882234611185"/>
          <w val="0.4813218788778585"/>
          <h val="0.6663258552203806"/>
        </manualLayout>
      </layout>
      <barChart>
        <barDir val="bar"/>
        <grouping val="stacked"/>
        <varyColors val="0"/>
        <ser>
          <idx val="0"/>
          <order val="0"/>
          <tx>
            <strRef>
              <f>'C'!$I$26</f>
              <strCache>
                <ptCount val="1"/>
                <pt idx="0">
                  <v>разрыв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'C'!$A$27:$A$30</f>
              <strCache>
                <ptCount val="4"/>
                <pt idx="0">
                  <v>Кредитная задолженность перед банками и нерезидентами относительно ВВП</v>
                </pt>
                <pt idx="1">
                  <v>Прирост кредитной задолженности в реальном выражении</v>
                </pt>
                <pt idx="2">
                  <v>Коэффициент обслуживания кредитной задолженности относительно ВВП</v>
                </pt>
                <pt idx="3">
                  <v>Отношение складских запасов в промышленности к среднемесячному объему промышленного производства</v>
                </pt>
              </strCache>
            </strRef>
          </cat>
          <val>
            <numRef>
              <f>'C'!$I$27:$I$30</f>
              <numCache>
                <formatCode>General</formatCode>
                <ptCount val="4"/>
                <pt idx="0">
                  <formatCode>0.00</formatCode>
                  <v>-0.004631351426112512</v>
                </pt>
                <pt idx="2">
                  <formatCode>0.00</formatCode>
                  <v>0.04380255756832855</v>
                </pt>
                <pt idx="3">
                  <formatCode>0.00</formatCode>
                  <v>0.03855523963466365</v>
                </pt>
              </numCache>
            </numRef>
          </val>
        </ser>
        <ser>
          <idx val="1"/>
          <order val="1"/>
          <tx>
            <strRef>
              <f>'C'!$J$26</f>
              <strCache>
                <ptCount val="1"/>
                <pt idx="0">
                  <v>прирост за год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'C'!$A$27:$A$30</f>
              <strCache>
                <ptCount val="4"/>
                <pt idx="0">
                  <v>Кредитная задолженность перед банками и нерезидентами относительно ВВП</v>
                </pt>
                <pt idx="1">
                  <v>Прирост кредитной задолженности в реальном выражении</v>
                </pt>
                <pt idx="2">
                  <v>Коэффициент обслуживания кредитной задолженности относительно ВВП</v>
                </pt>
                <pt idx="3">
                  <v>Отношение складских запасов в промышленности к среднемесячному объему промышленного производства</v>
                </pt>
              </strCache>
            </strRef>
          </cat>
          <val>
            <numRef>
              <f>'C'!$J$27:$J$30</f>
              <numCache>
                <formatCode>0.00</formatCode>
                <ptCount val="4"/>
                <pt idx="0">
                  <v>0.0009438258433597538</v>
                </pt>
                <pt idx="1">
                  <v>-0.00662376939757483</v>
                </pt>
                <pt idx="2">
                  <v>-0.01491023536744064</v>
                </pt>
                <pt idx="3">
                  <v>0.04163563246272383</v>
                </pt>
              </numCache>
            </numRef>
          </val>
        </ser>
        <ser>
          <idx val="2"/>
          <order val="2"/>
          <tx>
            <strRef>
              <f>'C'!$K$26</f>
              <strCache>
                <ptCount val="1"/>
                <pt idx="0">
                  <v>прирост за 2 года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'C'!$A$27:$A$30</f>
              <strCache>
                <ptCount val="4"/>
                <pt idx="0">
                  <v>Кредитная задолженность перед банками и нерезидентами относительно ВВП</v>
                </pt>
                <pt idx="1">
                  <v>Прирост кредитной задолженности в реальном выражении</v>
                </pt>
                <pt idx="2">
                  <v>Коэффициент обслуживания кредитной задолженности относительно ВВП</v>
                </pt>
                <pt idx="3">
                  <v>Отношение складских запасов в промышленности к среднемесячному объему промышленного производства</v>
                </pt>
              </strCache>
            </strRef>
          </cat>
          <val>
            <numRef>
              <f>'C'!$K$27:$K$30</f>
              <numCache>
                <formatCode>0.00</formatCode>
                <ptCount val="4"/>
                <pt idx="0">
                  <v>-0.003436816611841053</v>
                </pt>
                <pt idx="1">
                  <v>-0.008815942334250036</v>
                </pt>
                <pt idx="2">
                  <v>-0.001576920551729568</v>
                </pt>
                <pt idx="3">
                  <v>0.02311715598205902</v>
                </pt>
              </numCache>
            </numRef>
          </val>
        </ser>
        <ser>
          <idx val="3"/>
          <order val="3"/>
          <tx>
            <strRef>
              <f>'C'!$L$26</f>
              <strCache>
                <ptCount val="1"/>
                <pt idx="0">
                  <v>прирост за 3 года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cat>
            <strRef>
              <f>'C'!$A$27:$A$30</f>
              <strCache>
                <ptCount val="4"/>
                <pt idx="0">
                  <v>Кредитная задолженность перед банками и нерезидентами относительно ВВП</v>
                </pt>
                <pt idx="1">
                  <v>Прирост кредитной задолженности в реальном выражении</v>
                </pt>
                <pt idx="2">
                  <v>Коэффициент обслуживания кредитной задолженности относительно ВВП</v>
                </pt>
                <pt idx="3">
                  <v>Отношение складских запасов в промышленности к среднемесячному объему промышленного производства</v>
                </pt>
              </strCache>
            </strRef>
          </cat>
          <val>
            <numRef>
              <f>'C'!$L$27:$L$30</f>
              <numCache>
                <formatCode>0.00</formatCode>
                <ptCount val="4"/>
                <pt idx="1">
                  <v>0.004260341320895382</v>
                </pt>
              </numCache>
            </numRef>
          </val>
        </ser>
        <ser>
          <idx val="4"/>
          <order val="4"/>
          <tx>
            <strRef>
              <f>'C'!$M$26</f>
              <strCache>
                <ptCount val="1"/>
                <pt idx="0">
                  <v>отклонение от среднего за 2 года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cat>
            <strRef>
              <f>'C'!$A$27:$A$30</f>
              <strCache>
                <ptCount val="4"/>
                <pt idx="0">
                  <v>Кредитная задолженность перед банками и нерезидентами относительно ВВП</v>
                </pt>
                <pt idx="1">
                  <v>Прирост кредитной задолженности в реальном выражении</v>
                </pt>
                <pt idx="2">
                  <v>Коэффициент обслуживания кредитной задолженности относительно ВВП</v>
                </pt>
                <pt idx="3">
                  <v>Отношение складских запасов в промышленности к среднемесячному объему промышленного производства</v>
                </pt>
              </strCache>
            </strRef>
          </cat>
          <val>
            <numRef>
              <f>'C'!$M$27:$M$30</f>
              <numCache>
                <formatCode>0.00</formatCode>
                <ptCount val="4"/>
                <pt idx="0">
                  <v>-0.002332678782696465</v>
                </pt>
                <pt idx="2">
                  <v>-0.004400574306075566</v>
                </pt>
                <pt idx="3">
                  <v>0.03337187049288014</v>
                </pt>
              </numCache>
            </numRef>
          </val>
        </ser>
        <ser>
          <idx val="5"/>
          <order val="5"/>
          <tx>
            <strRef>
              <f>'C'!$N$26</f>
              <strCache>
                <ptCount val="1"/>
                <pt idx="0">
                  <v>отклонение от среднего за 3 года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val>
            <numRef>
              <f>'C'!$N$27:$N$30</f>
              <numCache>
                <formatCode>0.00</formatCode>
                <ptCount val="4"/>
                <pt idx="0">
                  <v>-0.0008986665509314341</v>
                </pt>
                <pt idx="2">
                  <v>-0.002863591875601889</v>
                </pt>
                <pt idx="3">
                  <v>0.03218192775250867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730742904"/>
        <axId val="730742248"/>
      </barChart>
      <catAx>
        <axId val="730742904"/>
        <scaling>
          <orientation val="maxMin"/>
        </scaling>
        <delete val="0"/>
        <axPos val="l"/>
        <numFmt formatCode="General" sourceLinked="1"/>
        <majorTickMark val="out"/>
        <minorTickMark val="none"/>
        <tickLblPos val="low"/>
        <spPr>
          <a:noFill/>
          <a:ln w="12700" cap="flat" cmpd="sng" algn="ctr">
            <a:solidFill>
              <a:schemeClr val="tx1"/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30742248"/>
        <crosses val="autoZero"/>
        <auto val="1"/>
        <lblAlgn val="ctr"/>
        <lblOffset val="100"/>
        <noMultiLvlLbl val="0"/>
      </catAx>
      <valAx>
        <axId val="730742248"/>
        <scaling>
          <orientation val="minMax"/>
          <max val="0.25"/>
          <min val="-0.3"/>
        </scaling>
        <delete val="0"/>
        <axPos val="t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30742904"/>
        <crosses val="autoZero"/>
        <crossBetween val="between"/>
      </valAx>
    </plotArea>
    <plotVisOnly val="1"/>
    <dispBlanksAs val="gap"/>
  </chart>
  <spPr>
    <a:noFill/>
    <a:ln w="9525" cap="flat" cmpd="sng" algn="ctr">
      <a:noFill/>
      <a:prstDash val="solid"/>
      <a:round/>
    </a:ln>
  </spPr>
</chartSpace>
</file>

<file path=xl/charts/chart24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5711805089925175"/>
          <y val="0.1964385457677165"/>
          <w val="0.329936806128322"/>
          <h val="0.4273289862204724"/>
        </manualLayout>
      </layout>
      <barChart>
        <barDir val="bar"/>
        <grouping val="stacked"/>
        <varyColors val="0"/>
        <ser>
          <idx val="0"/>
          <order val="0"/>
          <tx>
            <strRef>
              <f>'C'!$B$26</f>
              <strCache>
                <ptCount val="1"/>
                <pt idx="0">
                  <v>разрыв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'C'!$A$27:$A$30</f>
              <strCache>
                <ptCount val="4"/>
                <pt idx="0">
                  <v>Кредитная задолженность перед банками и нерезидентами относительно ВВП</v>
                </pt>
                <pt idx="1">
                  <v>Прирост кредитной задолженности в реальном выражении</v>
                </pt>
                <pt idx="2">
                  <v>Коэффициент обслуживания кредитной задолженности относительно ВВП</v>
                </pt>
                <pt idx="3">
                  <v>Отношение складских запасов в промышленности к среднемесячному объему промышленного производства</v>
                </pt>
              </strCache>
            </strRef>
          </cat>
          <val>
            <numRef>
              <f>'C'!$B$27:$B$30</f>
              <numCache>
                <formatCode>General</formatCode>
                <ptCount val="4"/>
                <pt idx="0">
                  <formatCode>0.00</formatCode>
                  <v>-0.003814713671660876</v>
                </pt>
                <pt idx="2">
                  <formatCode>0.00</formatCode>
                  <v>0.04800202459194475</v>
                </pt>
                <pt idx="3">
                  <formatCode>0.00</formatCode>
                  <v>0.04506313956244737</v>
                </pt>
              </numCache>
            </numRef>
          </val>
        </ser>
        <ser>
          <idx val="1"/>
          <order val="1"/>
          <tx>
            <strRef>
              <f>'C'!$C$26</f>
              <strCache>
                <ptCount val="1"/>
                <pt idx="0">
                  <v>прирост за год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'C'!$A$27:$A$30</f>
              <strCache>
                <ptCount val="4"/>
                <pt idx="0">
                  <v>Кредитная задолженность перед банками и нерезидентами относительно ВВП</v>
                </pt>
                <pt idx="1">
                  <v>Прирост кредитной задолженности в реальном выражении</v>
                </pt>
                <pt idx="2">
                  <v>Коэффициент обслуживания кредитной задолженности относительно ВВП</v>
                </pt>
                <pt idx="3">
                  <v>Отношение складских запасов в промышленности к среднемесячному объему промышленного производства</v>
                </pt>
              </strCache>
            </strRef>
          </cat>
          <val>
            <numRef>
              <f>'C'!$C$27:$C$30</f>
              <numCache>
                <formatCode>0.00</formatCode>
                <ptCount val="4"/>
                <pt idx="0">
                  <v>-0.0005462769444782829</v>
                </pt>
                <pt idx="1">
                  <v>-0.01017323624452065</v>
                </pt>
                <pt idx="2">
                  <v>0.005891556790388829</v>
                </pt>
                <pt idx="3">
                  <v>0.02980732778581365</v>
                </pt>
              </numCache>
            </numRef>
          </val>
        </ser>
        <ser>
          <idx val="2"/>
          <order val="2"/>
          <tx>
            <strRef>
              <f>'C'!$D$26</f>
              <strCache>
                <ptCount val="1"/>
                <pt idx="0">
                  <v>прирост за 2 года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'C'!$A$27:$A$30</f>
              <strCache>
                <ptCount val="4"/>
                <pt idx="0">
                  <v>Кредитная задолженность перед банками и нерезидентами относительно ВВП</v>
                </pt>
                <pt idx="1">
                  <v>Прирост кредитной задолженности в реальном выражении</v>
                </pt>
                <pt idx="2">
                  <v>Коэффициент обслуживания кредитной задолженности относительно ВВП</v>
                </pt>
                <pt idx="3">
                  <v>Отношение складских запасов в промышленности к среднемесячному объему промышленного производства</v>
                </pt>
              </strCache>
            </strRef>
          </cat>
          <val>
            <numRef>
              <f>'C'!$D$27:$D$30</f>
              <numCache>
                <formatCode>0.00</formatCode>
                <ptCount val="4"/>
                <pt idx="0">
                  <v>-0.002917499195780656</v>
                </pt>
                <pt idx="1">
                  <v>-0.003470982829085187</v>
                </pt>
                <pt idx="2">
                  <v>0.0003464928530686468</v>
                </pt>
                <pt idx="3">
                  <v>0.0258612788144617</v>
                </pt>
              </numCache>
            </numRef>
          </val>
        </ser>
        <ser>
          <idx val="3"/>
          <order val="3"/>
          <tx>
            <strRef>
              <f>'C'!$E$26</f>
              <strCache>
                <ptCount val="1"/>
                <pt idx="0">
                  <v>прирост за 3 года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cat>
            <strRef>
              <f>'C'!$A$27:$A$30</f>
              <strCache>
                <ptCount val="4"/>
                <pt idx="0">
                  <v>Кредитная задолженность перед банками и нерезидентами относительно ВВП</v>
                </pt>
                <pt idx="1">
                  <v>Прирост кредитной задолженности в реальном выражении</v>
                </pt>
                <pt idx="2">
                  <v>Коэффициент обслуживания кредитной задолженности относительно ВВП</v>
                </pt>
                <pt idx="3">
                  <v>Отношение складских запасов в промышленности к среднемесячному объему промышленного производства</v>
                </pt>
              </strCache>
            </strRef>
          </cat>
          <val>
            <numRef>
              <f>'C'!$E$27:$E$30</f>
              <numCache>
                <formatCode>0.00</formatCode>
                <ptCount val="4"/>
                <pt idx="1">
                  <v>0.003190945912483588</v>
                </pt>
              </numCache>
            </numRef>
          </val>
        </ser>
        <ser>
          <idx val="4"/>
          <order val="4"/>
          <tx>
            <strRef>
              <f>'C'!$F$26</f>
              <strCache>
                <ptCount val="1"/>
                <pt idx="0">
                  <v>отклонение от среднего за 2 года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cat>
            <strRef>
              <f>'C'!$A$27:$A$30</f>
              <strCache>
                <ptCount val="4"/>
                <pt idx="0">
                  <v>Кредитная задолженность перед банками и нерезидентами относительно ВВП</v>
                </pt>
                <pt idx="1">
                  <v>Прирост кредитной задолженности в реальном выражении</v>
                </pt>
                <pt idx="2">
                  <v>Коэффициент обслуживания кредитной задолженности относительно ВВП</v>
                </pt>
                <pt idx="3">
                  <v>Отношение складских запасов в промышленности к среднемесячному объему промышленного производства</v>
                </pt>
              </strCache>
            </strRef>
          </cat>
          <val>
            <numRef>
              <f>'C'!$F$27:$F$30</f>
              <numCache>
                <formatCode>0.00</formatCode>
                <ptCount val="4"/>
                <pt idx="0">
                  <v>-0.0003409090832952637</v>
                </pt>
                <pt idx="2">
                  <v>0.003398652392256653</v>
                </pt>
                <pt idx="3">
                  <v>0.03578811274815099</v>
                </pt>
              </numCache>
            </numRef>
          </val>
        </ser>
        <ser>
          <idx val="5"/>
          <order val="5"/>
          <tx>
            <strRef>
              <f>'C'!$G$26</f>
              <strCache>
                <ptCount val="1"/>
                <pt idx="0">
                  <v>отклонение от среднего за 3 года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val>
            <numRef>
              <f>'C'!$G$27:$G$30</f>
              <numCache>
                <formatCode>0.00</formatCode>
                <ptCount val="4"/>
                <pt idx="0">
                  <v>-0.0005466589849554483</v>
                </pt>
                <pt idx="2">
                  <v>0.000849596328527374</v>
                </pt>
                <pt idx="3">
                  <v>0.03680020027121915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730742904"/>
        <axId val="730742248"/>
      </barChart>
      <catAx>
        <axId val="730742904"/>
        <scaling>
          <orientation val="maxMin"/>
        </scaling>
        <delete val="1"/>
        <axPos val="l"/>
        <numFmt formatCode="General" sourceLinked="1"/>
        <majorTickMark val="none"/>
        <minorTickMark val="none"/>
        <tickLblPos val="low"/>
        <crossAx val="730742248"/>
        <crosses val="autoZero"/>
        <auto val="1"/>
        <lblAlgn val="ctr"/>
        <lblOffset val="100"/>
        <noMultiLvlLbl val="0"/>
      </catAx>
      <valAx>
        <axId val="730742248"/>
        <scaling>
          <orientation val="minMax"/>
        </scaling>
        <delete val="0"/>
        <axPos val="t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30742904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"/>
          <y val="0.3037773479307592"/>
          <w val="0.4548629492928232"/>
          <h val="0.4622303745193035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noFill/>
    <a:ln w="9525" cap="flat" cmpd="sng" algn="ctr">
      <a:noFill/>
      <a:prstDash val="solid"/>
      <a:round/>
    </a:ln>
  </spPr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 xml:space="preserve">2 </a:t>
            </a:r>
            <a:r>
              <a:rPr lang="ru-RU">
                <a:solidFill>
                  <a:sysClr val="windowText" lastClr="000000"/>
                </a:solidFill>
              </a:rPr>
              <a:t>квартал 202</a:t>
            </a:r>
            <a:r>
              <a:rPr lang="en-US">
                <a:solidFill>
                  <a:sysClr val="windowText" lastClr="000000"/>
                </a:solidFill>
              </a:rPr>
              <a:t>6</a:t>
            </a:r>
            <a:r>
              <a:rPr lang="ru-RU">
                <a:solidFill>
                  <a:sysClr val="windowText" lastClr="000000"/>
                </a:solidFill>
              </a:rPr>
              <a:t xml:space="preserve"> г. </a:t>
            </a:r>
          </a:p>
        </rich>
      </tx>
      <layout>
        <manualLayout>
          <xMode val="edge"/>
          <yMode val="edge"/>
          <wMode val="factor"/>
          <hMode val="factor"/>
          <x val="0.5855462264654748"/>
          <y val="0.02554744525547445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4760126119524768"/>
          <y val="0.1927246141586062"/>
          <w val="0.4478561040698065"/>
          <h val="0.6681493504119784"/>
        </manualLayout>
      </layout>
      <barChart>
        <barDir val="bar"/>
        <grouping val="stacked"/>
        <varyColors val="0"/>
        <ser>
          <idx val="0"/>
          <order val="0"/>
          <tx>
            <strRef>
              <f>'C'!$B$26</f>
              <strCache>
                <ptCount val="1"/>
                <pt idx="0">
                  <v>разрыв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'C'!$A$27:$A$30</f>
              <strCache>
                <ptCount val="4"/>
                <pt idx="0">
                  <v>Кредитная задолженность перед банками и нерезидентами относительно ВВП</v>
                </pt>
                <pt idx="1">
                  <v>Прирост кредитной задолженности в реальном выражении</v>
                </pt>
                <pt idx="2">
                  <v>Коэффициент обслуживания кредитной задолженности относительно ВВП</v>
                </pt>
                <pt idx="3">
                  <v>Отношение складских запасов в промышленности к среднемесячному объему промышленного производства</v>
                </pt>
              </strCache>
            </strRef>
          </cat>
          <val>
            <numRef>
              <f>'C'!$B$27:$B$30</f>
              <numCache>
                <formatCode>General</formatCode>
                <ptCount val="4"/>
                <pt idx="0">
                  <formatCode>0.00</formatCode>
                  <v>-0.003814713671660876</v>
                </pt>
                <pt idx="2">
                  <formatCode>0.00</formatCode>
                  <v>0.04800202459194475</v>
                </pt>
                <pt idx="3">
                  <formatCode>0.00</formatCode>
                  <v>0.04506313956244737</v>
                </pt>
              </numCache>
            </numRef>
          </val>
        </ser>
        <ser>
          <idx val="1"/>
          <order val="1"/>
          <tx>
            <strRef>
              <f>'C'!$C$26</f>
              <strCache>
                <ptCount val="1"/>
                <pt idx="0">
                  <v>прирост за год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'C'!$A$27:$A$30</f>
              <strCache>
                <ptCount val="4"/>
                <pt idx="0">
                  <v>Кредитная задолженность перед банками и нерезидентами относительно ВВП</v>
                </pt>
                <pt idx="1">
                  <v>Прирост кредитной задолженности в реальном выражении</v>
                </pt>
                <pt idx="2">
                  <v>Коэффициент обслуживания кредитной задолженности относительно ВВП</v>
                </pt>
                <pt idx="3">
                  <v>Отношение складских запасов в промышленности к среднемесячному объему промышленного производства</v>
                </pt>
              </strCache>
            </strRef>
          </cat>
          <val>
            <numRef>
              <f>'C'!$C$27:$C$30</f>
              <numCache>
                <formatCode>0.00</formatCode>
                <ptCount val="4"/>
                <pt idx="0">
                  <v>-0.0005462769444782829</v>
                </pt>
                <pt idx="1">
                  <v>-0.01017323624452065</v>
                </pt>
                <pt idx="2">
                  <v>0.005891556790388829</v>
                </pt>
                <pt idx="3">
                  <v>0.02980732778581365</v>
                </pt>
              </numCache>
            </numRef>
          </val>
        </ser>
        <ser>
          <idx val="2"/>
          <order val="2"/>
          <tx>
            <strRef>
              <f>'C'!$D$26</f>
              <strCache>
                <ptCount val="1"/>
                <pt idx="0">
                  <v>прирост за 2 года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'C'!$A$27:$A$30</f>
              <strCache>
                <ptCount val="4"/>
                <pt idx="0">
                  <v>Кредитная задолженность перед банками и нерезидентами относительно ВВП</v>
                </pt>
                <pt idx="1">
                  <v>Прирост кредитной задолженности в реальном выражении</v>
                </pt>
                <pt idx="2">
                  <v>Коэффициент обслуживания кредитной задолженности относительно ВВП</v>
                </pt>
                <pt idx="3">
                  <v>Отношение складских запасов в промышленности к среднемесячному объему промышленного производства</v>
                </pt>
              </strCache>
            </strRef>
          </cat>
          <val>
            <numRef>
              <f>'C'!$D$27:$D$30</f>
              <numCache>
                <formatCode>0.00</formatCode>
                <ptCount val="4"/>
                <pt idx="0">
                  <v>-0.002917499195780656</v>
                </pt>
                <pt idx="1">
                  <v>-0.003470982829085187</v>
                </pt>
                <pt idx="2">
                  <v>0.0003464928530686468</v>
                </pt>
                <pt idx="3">
                  <v>0.0258612788144617</v>
                </pt>
              </numCache>
            </numRef>
          </val>
        </ser>
        <ser>
          <idx val="3"/>
          <order val="3"/>
          <tx>
            <strRef>
              <f>'C'!$E$26</f>
              <strCache>
                <ptCount val="1"/>
                <pt idx="0">
                  <v>прирост за 3 года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cat>
            <strRef>
              <f>'C'!$A$27:$A$30</f>
              <strCache>
                <ptCount val="4"/>
                <pt idx="0">
                  <v>Кредитная задолженность перед банками и нерезидентами относительно ВВП</v>
                </pt>
                <pt idx="1">
                  <v>Прирост кредитной задолженности в реальном выражении</v>
                </pt>
                <pt idx="2">
                  <v>Коэффициент обслуживания кредитной задолженности относительно ВВП</v>
                </pt>
                <pt idx="3">
                  <v>Отношение складских запасов в промышленности к среднемесячному объему промышленного производства</v>
                </pt>
              </strCache>
            </strRef>
          </cat>
          <val>
            <numRef>
              <f>'C'!$E$27:$E$30</f>
              <numCache>
                <formatCode>0.00</formatCode>
                <ptCount val="4"/>
                <pt idx="1">
                  <v>0.003190945912483588</v>
                </pt>
              </numCache>
            </numRef>
          </val>
        </ser>
        <ser>
          <idx val="4"/>
          <order val="4"/>
          <tx>
            <strRef>
              <f>'C'!$F$26</f>
              <strCache>
                <ptCount val="1"/>
                <pt idx="0">
                  <v>отклонение от среднего за 2 года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cat>
            <strRef>
              <f>'C'!$A$27:$A$30</f>
              <strCache>
                <ptCount val="4"/>
                <pt idx="0">
                  <v>Кредитная задолженность перед банками и нерезидентами относительно ВВП</v>
                </pt>
                <pt idx="1">
                  <v>Прирост кредитной задолженности в реальном выражении</v>
                </pt>
                <pt idx="2">
                  <v>Коэффициент обслуживания кредитной задолженности относительно ВВП</v>
                </pt>
                <pt idx="3">
                  <v>Отношение складских запасов в промышленности к среднемесячному объему промышленного производства</v>
                </pt>
              </strCache>
            </strRef>
          </cat>
          <val>
            <numRef>
              <f>'C'!$F$27:$F$30</f>
              <numCache>
                <formatCode>0.00</formatCode>
                <ptCount val="4"/>
                <pt idx="0">
                  <v>-0.0003409090832952637</v>
                </pt>
                <pt idx="2">
                  <v>0.003398652392256653</v>
                </pt>
                <pt idx="3">
                  <v>0.03578811274815099</v>
                </pt>
              </numCache>
            </numRef>
          </val>
        </ser>
        <ser>
          <idx val="5"/>
          <order val="5"/>
          <tx>
            <strRef>
              <f>'C'!$G$26</f>
              <strCache>
                <ptCount val="1"/>
                <pt idx="0">
                  <v>отклонение от среднего за 3 года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val>
            <numRef>
              <f>'C'!$G$27:$G$30</f>
              <numCache>
                <formatCode>0.00</formatCode>
                <ptCount val="4"/>
                <pt idx="0">
                  <v>-0.0005466589849554483</v>
                </pt>
                <pt idx="2">
                  <v>0.000849596328527374</v>
                </pt>
                <pt idx="3">
                  <v>0.03680020027121915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730742904"/>
        <axId val="730742248"/>
      </barChart>
      <catAx>
        <axId val="730742904"/>
        <scaling>
          <orientation val="maxMin"/>
        </scaling>
        <delete val="0"/>
        <axPos val="l"/>
        <numFmt formatCode="General" sourceLinked="1"/>
        <majorTickMark val="none"/>
        <minorTickMark val="none"/>
        <tickLblPos val="low"/>
        <spPr>
          <a:noFill/>
          <a:ln w="12700" cap="flat" cmpd="sng" algn="ctr">
            <a:solidFill>
              <a:schemeClr val="tx1"/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30742248"/>
        <crosses val="autoZero"/>
        <auto val="1"/>
        <lblAlgn val="ctr"/>
        <lblOffset val="100"/>
        <noMultiLvlLbl val="0"/>
      </catAx>
      <valAx>
        <axId val="730742248"/>
        <scaling>
          <orientation val="minMax"/>
          <max val="0.25"/>
          <min val="-0.3"/>
        </scaling>
        <delete val="0"/>
        <axPos val="t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30742904"/>
        <crosses val="autoZero"/>
        <crossBetween val="between"/>
      </valAx>
    </plotArea>
    <plotVisOnly val="1"/>
    <dispBlanksAs val="gap"/>
  </chart>
  <spPr>
    <a:noFill/>
    <a:ln w="9525" cap="flat" cmpd="sng" algn="ctr">
      <a:noFill/>
      <a:prstDash val="solid"/>
      <a:round/>
    </a:ln>
  </spPr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</a:t>
            </a:r>
            <a:r>
              <a:rPr lang="ru-RU"/>
              <a:t xml:space="preserve"> квартал 202</a:t>
            </a:r>
            <a:r>
              <a:rPr lang="en-US"/>
              <a:t>6</a:t>
            </a:r>
            <a:r>
              <a:rPr lang="ru-RU"/>
              <a:t xml:space="preserve"> г.</a:t>
            </a:r>
          </a:p>
        </rich>
      </tx>
      <layout>
        <manualLayout>
          <xMode val="edge"/>
          <yMode val="edge"/>
          <wMode val="factor"/>
          <hMode val="factor"/>
          <x val="0.5433457743177732"/>
          <y val="0.0364963503649635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4656795244516962"/>
          <y val="0.2073646830726076"/>
          <w val="0.4836670246663779"/>
          <h val="0.5255479596467024"/>
        </manualLayout>
      </layout>
      <barChart>
        <barDir val="bar"/>
        <grouping val="stacked"/>
        <varyColors val="0"/>
        <ser>
          <idx val="0"/>
          <order val="0"/>
          <tx>
            <strRef>
              <f>H!$I$26</f>
              <strCache>
                <ptCount val="1"/>
                <pt idx="0">
                  <v>разрыв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H!$A$27:$A$29</f>
              <strCache>
                <ptCount val="3"/>
                <pt idx="0">
                  <v>Кредитная задолженность перед банками относительно ВВП</v>
                </pt>
                <pt idx="1">
                  <v>Прирост кредитной задолженности в реальном выражении</v>
                </pt>
                <pt idx="2">
                  <v>Коэффициент обслуживания кредитной задолженности относительно ВВП</v>
                </pt>
              </strCache>
            </strRef>
          </cat>
          <val>
            <numRef>
              <f>H!$I$27:$I$29</f>
              <numCache>
                <formatCode>General</formatCode>
                <ptCount val="3"/>
                <pt idx="0">
                  <formatCode>0.00</formatCode>
                  <v>0.01075030364870745</v>
                </pt>
                <pt idx="2">
                  <formatCode>0.00</formatCode>
                  <v>-0.05285099272405434</v>
                </pt>
              </numCache>
            </numRef>
          </val>
        </ser>
        <ser>
          <idx val="1"/>
          <order val="1"/>
          <tx>
            <strRef>
              <f>H!$J$26</f>
              <strCache>
                <ptCount val="1"/>
                <pt idx="0">
                  <v>прирост за год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H!$A$27:$A$29</f>
              <strCache>
                <ptCount val="3"/>
                <pt idx="0">
                  <v>Кредитная задолженность перед банками относительно ВВП</v>
                </pt>
                <pt idx="1">
                  <v>Прирост кредитной задолженности в реальном выражении</v>
                </pt>
                <pt idx="2">
                  <v>Коэффициент обслуживания кредитной задолженности относительно ВВП</v>
                </pt>
              </strCache>
            </strRef>
          </cat>
          <val>
            <numRef>
              <f>H!$J$27:$J$29</f>
              <numCache>
                <formatCode>0.00</formatCode>
                <ptCount val="3"/>
                <pt idx="0">
                  <v>0.008381588731137198</v>
                </pt>
                <pt idx="1">
                  <v>0.01027307214326782</v>
                </pt>
                <pt idx="2">
                  <v>0.0131274039924877</v>
                </pt>
              </numCache>
            </numRef>
          </val>
        </ser>
        <ser>
          <idx val="2"/>
          <order val="2"/>
          <tx>
            <strRef>
              <f>H!$K$26</f>
              <strCache>
                <ptCount val="1"/>
                <pt idx="0">
                  <v>прирост за 2 года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H!$A$27:$A$29</f>
              <strCache>
                <ptCount val="3"/>
                <pt idx="0">
                  <v>Кредитная задолженность перед банками относительно ВВП</v>
                </pt>
                <pt idx="1">
                  <v>Прирост кредитной задолженности в реальном выражении</v>
                </pt>
                <pt idx="2">
                  <v>Коэффициент обслуживания кредитной задолженности относительно ВВП</v>
                </pt>
              </strCache>
            </strRef>
          </cat>
          <val>
            <numRef>
              <f>H!$K$27:$K$29</f>
              <numCache>
                <formatCode>0.00</formatCode>
                <ptCount val="3"/>
                <pt idx="0">
                  <v>0.006943680640497555</v>
                </pt>
                <pt idx="1">
                  <v>0.03076713659607118</v>
                </pt>
                <pt idx="2">
                  <v>0.004555711536194425</v>
                </pt>
              </numCache>
            </numRef>
          </val>
        </ser>
        <ser>
          <idx val="3"/>
          <order val="3"/>
          <tx>
            <strRef>
              <f>H!$L$26</f>
              <strCache>
                <ptCount val="1"/>
                <pt idx="0">
                  <v>прирост за 3 года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cat>
            <strRef>
              <f>H!$A$27:$A$29</f>
              <strCache>
                <ptCount val="3"/>
                <pt idx="0">
                  <v>Кредитная задолженность перед банками относительно ВВП</v>
                </pt>
                <pt idx="1">
                  <v>Прирост кредитной задолженности в реальном выражении</v>
                </pt>
                <pt idx="2">
                  <v>Коэффициент обслуживания кредитной задолженности относительно ВВП</v>
                </pt>
              </strCache>
            </strRef>
          </cat>
          <val>
            <numRef>
              <f>H!$L$27:$L$29</f>
              <numCache>
                <formatCode>0.00</formatCode>
                <ptCount val="3"/>
                <pt idx="1">
                  <v>0.03596490702567248</v>
                </pt>
              </numCache>
            </numRef>
          </val>
        </ser>
        <ser>
          <idx val="4"/>
          <order val="4"/>
          <tx>
            <strRef>
              <f>H!$M$26</f>
              <strCache>
                <ptCount val="1"/>
                <pt idx="0">
                  <v>отклонение от среднего за 2 года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cat>
            <strRef>
              <f>H!$A$27:$A$29</f>
              <strCache>
                <ptCount val="3"/>
                <pt idx="0">
                  <v>Кредитная задолженность перед банками относительно ВВП</v>
                </pt>
                <pt idx="1">
                  <v>Прирост кредитной задолженности в реальном выражении</v>
                </pt>
                <pt idx="2">
                  <v>Коэффициент обслуживания кредитной задолженности относительно ВВП</v>
                </pt>
              </strCache>
            </strRef>
          </cat>
          <val>
            <numRef>
              <f>H!$M$27:$M$29</f>
              <numCache>
                <formatCode>0.00</formatCode>
                <ptCount val="3"/>
                <pt idx="0">
                  <v>0.0105027420826763</v>
                </pt>
                <pt idx="2">
                  <v>0.005601782048416919</v>
                </pt>
              </numCache>
            </numRef>
          </val>
        </ser>
        <ser>
          <idx val="5"/>
          <order val="5"/>
          <tx>
            <strRef>
              <f>H!$N$26</f>
              <strCache>
                <ptCount val="1"/>
                <pt idx="0">
                  <v>отклонение от среднего за 3 года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val>
            <numRef>
              <f>H!$N$27:$N$29</f>
              <numCache>
                <formatCode>0.00</formatCode>
                <ptCount val="3"/>
                <pt idx="0">
                  <v>0.009472494383019565</v>
                </pt>
                <pt idx="2">
                  <v>0.00420658412443032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730742904"/>
        <axId val="730742248"/>
      </barChart>
      <catAx>
        <axId val="730742904"/>
        <scaling>
          <orientation val="maxMin"/>
        </scaling>
        <delete val="0"/>
        <axPos val="l"/>
        <numFmt formatCode="General" sourceLinked="1"/>
        <majorTickMark val="out"/>
        <minorTickMark val="none"/>
        <tickLblPos val="low"/>
        <spPr>
          <a:noFill/>
          <a:ln w="12700" cap="flat" cmpd="sng" algn="ctr">
            <a:solidFill>
              <a:schemeClr val="tx1"/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30742248"/>
        <crosses val="autoZero"/>
        <auto val="1"/>
        <lblAlgn val="ctr"/>
        <lblOffset val="100"/>
        <noMultiLvlLbl val="0"/>
      </catAx>
      <valAx>
        <axId val="730742248"/>
        <scaling>
          <orientation val="minMax"/>
          <max val="0.25"/>
          <min val="-0.3"/>
        </scaling>
        <delete val="0"/>
        <axPos val="t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30742904"/>
        <crosses val="autoZero"/>
        <crossBetween val="between"/>
      </valAx>
    </plotArea>
    <plotVisOnly val="1"/>
    <dispBlanksAs val="gap"/>
  </chart>
  <spPr>
    <a:noFill/>
    <a:ln w="9525" cap="flat" cmpd="sng" algn="ctr">
      <a:noFill/>
      <a:prstDash val="solid"/>
      <a:round/>
    </a:ln>
  </spPr>
</chartSpace>
</file>

<file path=xl/charts/chart27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5711805089925175"/>
          <y val="0.1964385457677165"/>
          <w val="0.329936806128322"/>
          <h val="0.4273289862204724"/>
        </manualLayout>
      </layout>
      <barChart>
        <barDir val="bar"/>
        <grouping val="stacked"/>
        <varyColors val="0"/>
        <ser>
          <idx val="0"/>
          <order val="0"/>
          <tx>
            <strRef>
              <f>H!$B$26</f>
              <strCache>
                <ptCount val="1"/>
                <pt idx="0">
                  <v>разрыв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H!$A$27:$A$29</f>
              <strCache>
                <ptCount val="3"/>
                <pt idx="0">
                  <v>Кредитная задолженность перед банками относительно ВВП</v>
                </pt>
                <pt idx="1">
                  <v>Прирост кредитной задолженности в реальном выражении</v>
                </pt>
                <pt idx="2">
                  <v>Коэффициент обслуживания кредитной задолженности относительно ВВП</v>
                </pt>
              </strCache>
            </strRef>
          </cat>
          <val>
            <numRef>
              <f>H!$B$27:$B$29</f>
              <numCache>
                <formatCode>General</formatCode>
                <ptCount val="3"/>
                <pt idx="0">
                  <formatCode>0.00</formatCode>
                  <v>0.0100701860895158</v>
                </pt>
                <pt idx="2">
                  <formatCode>0.00</formatCode>
                  <v>-0.05285099272405434</v>
                </pt>
              </numCache>
            </numRef>
          </val>
        </ser>
        <ser>
          <idx val="1"/>
          <order val="1"/>
          <tx>
            <strRef>
              <f>H!$C$26</f>
              <strCache>
                <ptCount val="1"/>
                <pt idx="0">
                  <v>прирост за год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H!$A$27:$A$29</f>
              <strCache>
                <ptCount val="3"/>
                <pt idx="0">
                  <v>Кредитная задолженность перед банками относительно ВВП</v>
                </pt>
                <pt idx="1">
                  <v>Прирост кредитной задолженности в реальном выражении</v>
                </pt>
                <pt idx="2">
                  <v>Коэффициент обслуживания кредитной задолженности относительно ВВП</v>
                </pt>
              </strCache>
            </strRef>
          </cat>
          <val>
            <numRef>
              <f>H!$C$27:$C$29</f>
              <numCache>
                <formatCode>0.00</formatCode>
                <ptCount val="3"/>
                <pt idx="0">
                  <v>-0.001240681581974511</v>
                </pt>
                <pt idx="1">
                  <v>0.003298702141506789</v>
                </pt>
                <pt idx="2">
                  <v>0.002482584435981454</v>
                </pt>
              </numCache>
            </numRef>
          </val>
        </ser>
        <ser>
          <idx val="2"/>
          <order val="2"/>
          <tx>
            <strRef>
              <f>H!$D$26</f>
              <strCache>
                <ptCount val="1"/>
                <pt idx="0">
                  <v>прирост за 2 года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H!$A$27:$A$29</f>
              <strCache>
                <ptCount val="3"/>
                <pt idx="0">
                  <v>Кредитная задолженность перед банками относительно ВВП</v>
                </pt>
                <pt idx="1">
                  <v>Прирост кредитной задолженности в реальном выражении</v>
                </pt>
                <pt idx="2">
                  <v>Коэффициент обслуживания кредитной задолженности относительно ВВП</v>
                </pt>
              </strCache>
            </strRef>
          </cat>
          <val>
            <numRef>
              <f>H!$D$27:$D$29</f>
              <numCache>
                <formatCode>0.00</formatCode>
                <ptCount val="3"/>
                <pt idx="0">
                  <v>0.005836021914898406</v>
                </pt>
                <pt idx="1">
                  <v>0.02805042361991308</v>
                </pt>
                <pt idx="2">
                  <v>0.004092270742446279</v>
                </pt>
              </numCache>
            </numRef>
          </val>
        </ser>
        <ser>
          <idx val="3"/>
          <order val="3"/>
          <tx>
            <strRef>
              <f>H!$E$26</f>
              <strCache>
                <ptCount val="1"/>
                <pt idx="0">
                  <v>прирост за 3 года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cat>
            <strRef>
              <f>H!$A$27:$A$29</f>
              <strCache>
                <ptCount val="3"/>
                <pt idx="0">
                  <v>Кредитная задолженность перед банками относительно ВВП</v>
                </pt>
                <pt idx="1">
                  <v>Прирост кредитной задолженности в реальном выражении</v>
                </pt>
                <pt idx="2">
                  <v>Коэффициент обслуживания кредитной задолженности относительно ВВП</v>
                </pt>
              </strCache>
            </strRef>
          </cat>
          <val>
            <numRef>
              <f>H!$E$27:$E$29</f>
              <numCache>
                <formatCode>0.00</formatCode>
                <ptCount val="3"/>
                <pt idx="1">
                  <v>0.03638610905323316</v>
                </pt>
              </numCache>
            </numRef>
          </val>
        </ser>
        <ser>
          <idx val="4"/>
          <order val="4"/>
          <tx>
            <strRef>
              <f>H!$F$26</f>
              <strCache>
                <ptCount val="1"/>
                <pt idx="0">
                  <v>отклонение от среднего за 2 года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cat>
            <strRef>
              <f>H!$A$27:$A$29</f>
              <strCache>
                <ptCount val="3"/>
                <pt idx="0">
                  <v>Кредитная задолженность перед банками относительно ВВП</v>
                </pt>
                <pt idx="1">
                  <v>Прирост кредитной задолженности в реальном выражении</v>
                </pt>
                <pt idx="2">
                  <v>Коэффициент обслуживания кредитной задолженности относительно ВВП</v>
                </pt>
              </strCache>
            </strRef>
          </cat>
          <val>
            <numRef>
              <f>H!$F$27:$F$29</f>
              <numCache>
                <formatCode>0.00</formatCode>
                <ptCount val="3"/>
                <pt idx="0">
                  <v>0.00648627184488383</v>
                </pt>
                <pt idx="2">
                  <v>0.002968626752120967</v>
                </pt>
              </numCache>
            </numRef>
          </val>
        </ser>
        <ser>
          <idx val="5"/>
          <order val="5"/>
          <tx>
            <strRef>
              <f>H!$G$26</f>
              <strCache>
                <ptCount val="1"/>
                <pt idx="0">
                  <v>отклонение от среднего за 3 года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val>
            <numRef>
              <f>H!$G$27:$G$29</f>
              <numCache>
                <formatCode>0.00</formatCode>
                <ptCount val="3"/>
                <pt idx="0">
                  <v>0.007396864004783552</v>
                </pt>
                <pt idx="2">
                  <v>0.002802391443789652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730742904"/>
        <axId val="730742248"/>
      </barChart>
      <catAx>
        <axId val="730742904"/>
        <scaling>
          <orientation val="maxMin"/>
        </scaling>
        <delete val="1"/>
        <axPos val="l"/>
        <numFmt formatCode="General" sourceLinked="1"/>
        <majorTickMark val="none"/>
        <minorTickMark val="none"/>
        <tickLblPos val="low"/>
        <crossAx val="730742248"/>
        <crosses val="autoZero"/>
        <auto val="1"/>
        <lblAlgn val="ctr"/>
        <lblOffset val="100"/>
        <noMultiLvlLbl val="0"/>
      </catAx>
      <valAx>
        <axId val="730742248"/>
        <scaling>
          <orientation val="minMax"/>
        </scaling>
        <delete val="0"/>
        <axPos val="t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30742904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"/>
          <y val="0.2111601229299684"/>
          <w val="0.4548629492928232"/>
          <h val="0.4622303745193035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noFill/>
    <a:ln w="9525" cap="flat" cmpd="sng" algn="ctr">
      <a:noFill/>
      <a:prstDash val="solid"/>
      <a:round/>
    </a:ln>
  </spPr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2 </a:t>
            </a:r>
            <a:r>
              <a:rPr lang="ru-RU"/>
              <a:t>квартал 202</a:t>
            </a:r>
            <a:r>
              <a:rPr lang="en-US"/>
              <a:t>6</a:t>
            </a:r>
            <a:r>
              <a:rPr lang="ru-RU"/>
              <a:t xml:space="preserve"> г. </a:t>
            </a:r>
          </a:p>
        </rich>
      </tx>
      <layout>
        <manualLayout>
          <xMode val="edge"/>
          <yMode val="edge"/>
          <wMode val="factor"/>
          <hMode val="factor"/>
          <x val="0.5973988097418526"/>
          <y val="0.02918555458283105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465679471630292"/>
          <y val="0.1964385457677165"/>
          <w val="0.4354379724880758"/>
          <h val="0.5156825088347321"/>
        </manualLayout>
      </layout>
      <barChart>
        <barDir val="bar"/>
        <grouping val="stacked"/>
        <varyColors val="0"/>
        <ser>
          <idx val="0"/>
          <order val="0"/>
          <tx>
            <strRef>
              <f>H!$B$26</f>
              <strCache>
                <ptCount val="1"/>
                <pt idx="0">
                  <v>разрыв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H!$A$27:$A$29</f>
              <strCache>
                <ptCount val="3"/>
                <pt idx="0">
                  <v>Кредитная задолженность перед банками относительно ВВП</v>
                </pt>
                <pt idx="1">
                  <v>Прирост кредитной задолженности в реальном выражении</v>
                </pt>
                <pt idx="2">
                  <v>Коэффициент обслуживания кредитной задолженности относительно ВВП</v>
                </pt>
              </strCache>
            </strRef>
          </cat>
          <val>
            <numRef>
              <f>H!$B$27:$B$29</f>
              <numCache>
                <formatCode>General</formatCode>
                <ptCount val="3"/>
                <pt idx="0">
                  <formatCode>0.00</formatCode>
                  <v>0.0100701860895158</v>
                </pt>
                <pt idx="2">
                  <formatCode>0.00</formatCode>
                  <v>-0.05285099272405434</v>
                </pt>
              </numCache>
            </numRef>
          </val>
        </ser>
        <ser>
          <idx val="1"/>
          <order val="1"/>
          <tx>
            <strRef>
              <f>H!$C$26</f>
              <strCache>
                <ptCount val="1"/>
                <pt idx="0">
                  <v>прирост за год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H!$A$27:$A$29</f>
              <strCache>
                <ptCount val="3"/>
                <pt idx="0">
                  <v>Кредитная задолженность перед банками относительно ВВП</v>
                </pt>
                <pt idx="1">
                  <v>Прирост кредитной задолженности в реальном выражении</v>
                </pt>
                <pt idx="2">
                  <v>Коэффициент обслуживания кредитной задолженности относительно ВВП</v>
                </pt>
              </strCache>
            </strRef>
          </cat>
          <val>
            <numRef>
              <f>H!$C$27:$C$29</f>
              <numCache>
                <formatCode>0.00</formatCode>
                <ptCount val="3"/>
                <pt idx="0">
                  <v>-0.001240681581974511</v>
                </pt>
                <pt idx="1">
                  <v>0.003298702141506789</v>
                </pt>
                <pt idx="2">
                  <v>0.002482584435981454</v>
                </pt>
              </numCache>
            </numRef>
          </val>
        </ser>
        <ser>
          <idx val="2"/>
          <order val="2"/>
          <tx>
            <strRef>
              <f>H!$D$26</f>
              <strCache>
                <ptCount val="1"/>
                <pt idx="0">
                  <v>прирост за 2 года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H!$A$27:$A$29</f>
              <strCache>
                <ptCount val="3"/>
                <pt idx="0">
                  <v>Кредитная задолженность перед банками относительно ВВП</v>
                </pt>
                <pt idx="1">
                  <v>Прирост кредитной задолженности в реальном выражении</v>
                </pt>
                <pt idx="2">
                  <v>Коэффициент обслуживания кредитной задолженности относительно ВВП</v>
                </pt>
              </strCache>
            </strRef>
          </cat>
          <val>
            <numRef>
              <f>H!$D$27:$D$29</f>
              <numCache>
                <formatCode>0.00</formatCode>
                <ptCount val="3"/>
                <pt idx="0">
                  <v>0.005836021914898406</v>
                </pt>
                <pt idx="1">
                  <v>0.02805042361991308</v>
                </pt>
                <pt idx="2">
                  <v>0.004092270742446279</v>
                </pt>
              </numCache>
            </numRef>
          </val>
        </ser>
        <ser>
          <idx val="3"/>
          <order val="3"/>
          <tx>
            <strRef>
              <f>H!$E$26</f>
              <strCache>
                <ptCount val="1"/>
                <pt idx="0">
                  <v>прирост за 3 года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cat>
            <strRef>
              <f>H!$A$27:$A$29</f>
              <strCache>
                <ptCount val="3"/>
                <pt idx="0">
                  <v>Кредитная задолженность перед банками относительно ВВП</v>
                </pt>
                <pt idx="1">
                  <v>Прирост кредитной задолженности в реальном выражении</v>
                </pt>
                <pt idx="2">
                  <v>Коэффициент обслуживания кредитной задолженности относительно ВВП</v>
                </pt>
              </strCache>
            </strRef>
          </cat>
          <val>
            <numRef>
              <f>H!$E$27:$E$29</f>
              <numCache>
                <formatCode>0.00</formatCode>
                <ptCount val="3"/>
                <pt idx="1">
                  <v>0.03638610905323316</v>
                </pt>
              </numCache>
            </numRef>
          </val>
        </ser>
        <ser>
          <idx val="4"/>
          <order val="4"/>
          <tx>
            <strRef>
              <f>H!$F$26</f>
              <strCache>
                <ptCount val="1"/>
                <pt idx="0">
                  <v>отклонение от среднего за 2 года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cat>
            <strRef>
              <f>H!$A$27:$A$29</f>
              <strCache>
                <ptCount val="3"/>
                <pt idx="0">
                  <v>Кредитная задолженность перед банками относительно ВВП</v>
                </pt>
                <pt idx="1">
                  <v>Прирост кредитной задолженности в реальном выражении</v>
                </pt>
                <pt idx="2">
                  <v>Коэффициент обслуживания кредитной задолженности относительно ВВП</v>
                </pt>
              </strCache>
            </strRef>
          </cat>
          <val>
            <numRef>
              <f>H!$F$27:$F$29</f>
              <numCache>
                <formatCode>0.00</formatCode>
                <ptCount val="3"/>
                <pt idx="0">
                  <v>0.00648627184488383</v>
                </pt>
                <pt idx="2">
                  <v>0.002968626752120967</v>
                </pt>
              </numCache>
            </numRef>
          </val>
        </ser>
        <ser>
          <idx val="5"/>
          <order val="5"/>
          <tx>
            <strRef>
              <f>H!$G$26</f>
              <strCache>
                <ptCount val="1"/>
                <pt idx="0">
                  <v>отклонение от среднего за 3 года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val>
            <numRef>
              <f>H!$G$27:$G$29</f>
              <numCache>
                <formatCode>0.00</formatCode>
                <ptCount val="3"/>
                <pt idx="0">
                  <v>0.007396864004783552</v>
                </pt>
                <pt idx="2">
                  <v>0.002802391443789652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730742904"/>
        <axId val="730742248"/>
      </barChart>
      <catAx>
        <axId val="730742904"/>
        <scaling>
          <orientation val="maxMin"/>
        </scaling>
        <delete val="0"/>
        <axPos val="l"/>
        <numFmt formatCode="General" sourceLinked="1"/>
        <majorTickMark val="none"/>
        <minorTickMark val="none"/>
        <tickLblPos val="low"/>
        <spPr>
          <a:noFill/>
          <a:ln w="12700" cap="flat" cmpd="sng" algn="ctr">
            <a:solidFill>
              <a:schemeClr val="tx1"/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30742248"/>
        <crosses val="autoZero"/>
        <auto val="1"/>
        <lblAlgn val="ctr"/>
        <lblOffset val="100"/>
        <noMultiLvlLbl val="0"/>
      </catAx>
      <valAx>
        <axId val="730742248"/>
        <scaling>
          <orientation val="minMax"/>
          <max val="0.25"/>
          <min val="-0.3"/>
        </scaling>
        <delete val="0"/>
        <axPos val="t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30742904"/>
        <crosses val="autoZero"/>
        <crossBetween val="between"/>
      </valAx>
    </plotArea>
    <plotVisOnly val="1"/>
    <dispBlanksAs val="gap"/>
  </chart>
  <spPr>
    <a:noFill/>
    <a:ln w="9525" cap="flat" cmpd="sng" algn="ctr">
      <a:noFill/>
      <a:prstDash val="solid"/>
      <a:round/>
    </a:ln>
  </spPr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</a:t>
            </a:r>
            <a:r>
              <a:rPr lang="ru-RU"/>
              <a:t xml:space="preserve"> квартал 202</a:t>
            </a:r>
            <a:r>
              <a:rPr lang="en-US"/>
              <a:t>6</a:t>
            </a:r>
            <a:r>
              <a:rPr lang="ru-RU"/>
              <a:t xml:space="preserve"> г.</a:t>
            </a:r>
          </a:p>
        </rich>
      </tx>
      <layout>
        <manualLayout>
          <xMode val="edge"/>
          <yMode val="edge"/>
          <wMode val="factor"/>
          <hMode val="factor"/>
          <x val="0.5433457743177732"/>
          <y val="0.0364963503649635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4669832426838704"/>
          <y val="0.2073646830726076"/>
          <w val="0.4867650741704669"/>
          <h val="0.5182716238947992"/>
        </manualLayout>
      </layout>
      <barChart>
        <barDir val="bar"/>
        <grouping val="stacked"/>
        <varyColors val="0"/>
        <ser>
          <idx val="0"/>
          <order val="0"/>
          <tx>
            <strRef>
              <f>G!$H$26</f>
              <strCache>
                <ptCount val="1"/>
                <pt idx="0">
                  <v>разрыв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G!$A$27:$A$29</f>
              <strCache>
                <ptCount val="3"/>
                <pt idx="0">
                  <v>Валовой государственный долг относительно ВВП</v>
                </pt>
                <pt idx="1">
                  <v>Сальдо консолидированного бюджета относительно ВВП</v>
                </pt>
                <pt idx="2">
                  <v>Коэффициент обслуживания государственного внешнего долга относительно ВВП</v>
                </pt>
              </strCache>
            </strRef>
          </cat>
          <val>
            <numRef>
              <f>G!$H$27:$H$29</f>
              <numCache>
                <formatCode>0.00</formatCode>
                <ptCount val="3"/>
                <pt idx="0">
                  <v>-0.01323981223215128</v>
                </pt>
                <pt idx="1">
                  <v>-0.01833601763961119</v>
                </pt>
                <pt idx="2">
                  <v>-0.0076206845401079</v>
                </pt>
              </numCache>
            </numRef>
          </val>
        </ser>
        <ser>
          <idx val="1"/>
          <order val="1"/>
          <tx>
            <strRef>
              <f>G!$I$26</f>
              <strCache>
                <ptCount val="1"/>
                <pt idx="0">
                  <v>прирост за год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G!$A$27:$A$29</f>
              <strCache>
                <ptCount val="3"/>
                <pt idx="0">
                  <v>Валовой государственный долг относительно ВВП</v>
                </pt>
                <pt idx="1">
                  <v>Сальдо консолидированного бюджета относительно ВВП</v>
                </pt>
                <pt idx="2">
                  <v>Коэффициент обслуживания государственного внешнего долга относительно ВВП</v>
                </pt>
              </strCache>
            </strRef>
          </cat>
          <val>
            <numRef>
              <f>G!$I$27:$I$29</f>
              <numCache>
                <formatCode>0.00</formatCode>
                <ptCount val="3"/>
                <pt idx="0">
                  <v>-0.01898865545546862</v>
                </pt>
                <pt idx="1">
                  <v>0.01931664095540723</v>
                </pt>
                <pt idx="2">
                  <v>0.02418732735946443</v>
                </pt>
              </numCache>
            </numRef>
          </val>
        </ser>
        <ser>
          <idx val="2"/>
          <order val="2"/>
          <tx>
            <strRef>
              <f>G!$J$26</f>
              <strCache>
                <ptCount val="1"/>
                <pt idx="0">
                  <v>прирост за 2 года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G!$A$27:$A$29</f>
              <strCache>
                <ptCount val="3"/>
                <pt idx="0">
                  <v>Валовой государственный долг относительно ВВП</v>
                </pt>
                <pt idx="1">
                  <v>Сальдо консолидированного бюджета относительно ВВП</v>
                </pt>
                <pt idx="2">
                  <v>Коэффициент обслуживания государственного внешнего долга относительно ВВП</v>
                </pt>
              </strCache>
            </strRef>
          </cat>
          <val>
            <numRef>
              <f>G!$J$27:$J$29</f>
              <numCache>
                <formatCode>0.00</formatCode>
                <ptCount val="3"/>
                <pt idx="0">
                  <v>-0.02037047980215707</v>
                </pt>
                <pt idx="1">
                  <v>0.02537403045918708</v>
                </pt>
                <pt idx="2">
                  <v>-0.004574599242186002</v>
                </pt>
              </numCache>
            </numRef>
          </val>
        </ser>
        <ser>
          <idx val="3"/>
          <order val="3"/>
          <tx>
            <strRef>
              <f>G!$K$26</f>
              <strCache>
                <ptCount val="1"/>
                <pt idx="0">
                  <v>отклонение от среднего за 2 года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cat>
            <strRef>
              <f>G!$A$27:$A$29</f>
              <strCache>
                <ptCount val="3"/>
                <pt idx="0">
                  <v>Валовой государственный долг относительно ВВП</v>
                </pt>
                <pt idx="1">
                  <v>Сальдо консолидированного бюджета относительно ВВП</v>
                </pt>
                <pt idx="2">
                  <v>Коэффициент обслуживания государственного внешнего долга относительно ВВП</v>
                </pt>
              </strCache>
            </strRef>
          </cat>
          <val>
            <numRef>
              <f>G!$K$27:$K$29</f>
              <numCache>
                <formatCode>0.00</formatCode>
                <ptCount val="3"/>
                <pt idx="0">
                  <v>-0.01987765879769233</v>
                </pt>
                <pt idx="1">
                  <v>0.02648051005197226</v>
                </pt>
                <pt idx="2">
                  <v>0.006936892552025804</v>
                </pt>
              </numCache>
            </numRef>
          </val>
        </ser>
        <ser>
          <idx val="4"/>
          <order val="4"/>
          <tx>
            <strRef>
              <f>G!$L$26</f>
              <strCache>
                <ptCount val="1"/>
                <pt idx="0">
                  <v>отклонение от среднего за 3 года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val>
            <numRef>
              <f>G!$L$27:$L$29</f>
              <numCache>
                <formatCode>0.00</formatCode>
                <ptCount val="3"/>
                <pt idx="0">
                  <v>-0.02624116166246807</v>
                </pt>
                <pt idx="1">
                  <v>0.0104045408717268</v>
                </pt>
                <pt idx="2">
                  <v>0.005924820683329476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730742904"/>
        <axId val="730742248"/>
      </barChart>
      <catAx>
        <axId val="730742904"/>
        <scaling>
          <orientation val="maxMin"/>
        </scaling>
        <delete val="0"/>
        <axPos val="l"/>
        <numFmt formatCode="General" sourceLinked="1"/>
        <majorTickMark val="out"/>
        <minorTickMark val="none"/>
        <tickLblPos val="low"/>
        <spPr>
          <a:noFill/>
          <a:ln w="12700" cap="flat" cmpd="sng" algn="ctr">
            <a:solidFill>
              <a:schemeClr val="tx1"/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30742248"/>
        <crosses val="autoZero"/>
        <auto val="1"/>
        <lblAlgn val="ctr"/>
        <lblOffset val="100"/>
        <noMultiLvlLbl val="0"/>
      </catAx>
      <valAx>
        <axId val="730742248"/>
        <scaling>
          <orientation val="minMax"/>
          <max val="0.25"/>
          <min val="-0.3"/>
        </scaling>
        <delete val="0"/>
        <axPos val="t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30742904"/>
        <crosses val="autoZero"/>
        <crossBetween val="between"/>
      </valAx>
    </plotArea>
    <plotVisOnly val="1"/>
    <dispBlanksAs val="gap"/>
  </chart>
  <spPr>
    <a:noFill/>
    <a:ln w="9525" cap="flat" cmpd="sng" algn="ctr">
      <a:noFill/>
      <a:prstDash val="solid"/>
      <a:round/>
    </a:ln>
  </spPr>
</chartSpace>
</file>

<file path=xl/charts/chart30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5711805089925175"/>
          <y val="0.1964385457677165"/>
          <w val="0.329936806128322"/>
          <h val="0.4273289862204724"/>
        </manualLayout>
      </layout>
      <barChart>
        <barDir val="bar"/>
        <grouping val="stacked"/>
        <varyColors val="0"/>
        <ser>
          <idx val="0"/>
          <order val="0"/>
          <tx>
            <strRef>
              <f>G!$B$26</f>
              <strCache>
                <ptCount val="1"/>
                <pt idx="0">
                  <v>разрыв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G!$A$27:$A$29</f>
              <strCache>
                <ptCount val="3"/>
                <pt idx="0">
                  <v>Валовой государственный долг относительно ВВП</v>
                </pt>
                <pt idx="1">
                  <v>Сальдо консолидированного бюджета относительно ВВП</v>
                </pt>
                <pt idx="2">
                  <v>Коэффициент обслуживания государственного внешнего долга относительно ВВП</v>
                </pt>
              </strCache>
            </strRef>
          </cat>
          <val>
            <numRef>
              <f>G!$B$27:$B$29</f>
              <numCache>
                <formatCode>0.00</formatCode>
                <ptCount val="3"/>
                <pt idx="0">
                  <v>-0.01601666697716096</v>
                </pt>
                <pt idx="1">
                  <v>-0.01658877868272314</v>
                </pt>
                <pt idx="2">
                  <v>-0.01073567383643926</v>
                </pt>
              </numCache>
            </numRef>
          </val>
        </ser>
        <ser>
          <idx val="1"/>
          <order val="1"/>
          <tx>
            <strRef>
              <f>G!$C$26</f>
              <strCache>
                <ptCount val="1"/>
                <pt idx="0">
                  <v>прирост за год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G!$A$27:$A$29</f>
              <strCache>
                <ptCount val="3"/>
                <pt idx="0">
                  <v>Валовой государственный долг относительно ВВП</v>
                </pt>
                <pt idx="1">
                  <v>Сальдо консолидированного бюджета относительно ВВП</v>
                </pt>
                <pt idx="2">
                  <v>Коэффициент обслуживания государственного внешнего долга относительно ВВП</v>
                </pt>
              </strCache>
            </strRef>
          </cat>
          <val>
            <numRef>
              <f>G!$C$27:$C$29</f>
              <numCache>
                <formatCode>0.00</formatCode>
                <ptCount val="3"/>
                <pt idx="0">
                  <v>-0.01631071501687778</v>
                </pt>
                <pt idx="1">
                  <v>0.01963204025134343</v>
                </pt>
                <pt idx="2">
                  <v>0.01448807811373295</v>
                </pt>
              </numCache>
            </numRef>
          </val>
        </ser>
        <ser>
          <idx val="2"/>
          <order val="2"/>
          <tx>
            <strRef>
              <f>G!$D$26</f>
              <strCache>
                <ptCount val="1"/>
                <pt idx="0">
                  <v>прирост за 2 года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G!$A$27:$A$29</f>
              <strCache>
                <ptCount val="3"/>
                <pt idx="0">
                  <v>Валовой государственный долг относительно ВВП</v>
                </pt>
                <pt idx="1">
                  <v>Сальдо консолидированного бюджета относительно ВВП</v>
                </pt>
                <pt idx="2">
                  <v>Коэффициент обслуживания государственного внешнего долга относительно ВВП</v>
                </pt>
              </strCache>
            </strRef>
          </cat>
          <val>
            <numRef>
              <f>G!$D$27:$D$29</f>
              <numCache>
                <formatCode>0.00</formatCode>
                <ptCount val="3"/>
                <pt idx="0">
                  <v>-0.02540409490415725</v>
                </pt>
                <pt idx="1">
                  <v>0.03471241145656259</v>
                </pt>
                <pt idx="2">
                  <v>-0.00031246487401206</v>
                </pt>
              </numCache>
            </numRef>
          </val>
        </ser>
        <ser>
          <idx val="3"/>
          <order val="3"/>
          <tx>
            <strRef>
              <f>G!$E$26</f>
              <strCache>
                <ptCount val="1"/>
                <pt idx="0">
                  <v>отклонение от среднего за 2 года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cat>
            <strRef>
              <f>G!$A$27:$A$29</f>
              <strCache>
                <ptCount val="3"/>
                <pt idx="0">
                  <v>Валовой государственный долг относительно ВВП</v>
                </pt>
                <pt idx="1">
                  <v>Сальдо консолидированного бюджета относительно ВВП</v>
                </pt>
                <pt idx="2">
                  <v>Коэффициент обслуживания государственного внешнего долга относительно ВВП</v>
                </pt>
              </strCache>
            </strRef>
          </cat>
          <val>
            <numRef>
              <f>G!$E$27:$E$29</f>
              <numCache>
                <formatCode>0.00</formatCode>
                <ptCount val="3"/>
                <pt idx="0">
                  <v>-0.02129611697940952</v>
                </pt>
                <pt idx="1">
                  <v>0.02452498055438885</v>
                </pt>
                <pt idx="2">
                  <v>0.004518838831441998</v>
                </pt>
              </numCache>
            </numRef>
          </val>
        </ser>
        <ser>
          <idx val="4"/>
          <order val="4"/>
          <tx>
            <strRef>
              <f>G!$F$26</f>
              <strCache>
                <ptCount val="1"/>
                <pt idx="0">
                  <v>отклонение от среднего за 3 года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val>
            <numRef>
              <f>G!$F$27:$F$29</f>
              <numCache>
                <formatCode>0.00</formatCode>
                <ptCount val="3"/>
                <pt idx="0">
                  <v>-0.02887164411552348</v>
                </pt>
                <pt idx="1">
                  <v>0.01670251304406008</v>
                </pt>
                <pt idx="2">
                  <v>0.003112707591882934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730742904"/>
        <axId val="730742248"/>
      </barChart>
      <catAx>
        <axId val="730742904"/>
        <scaling>
          <orientation val="maxMin"/>
        </scaling>
        <delete val="1"/>
        <axPos val="l"/>
        <numFmt formatCode="General" sourceLinked="1"/>
        <majorTickMark val="none"/>
        <minorTickMark val="none"/>
        <tickLblPos val="low"/>
        <crossAx val="730742248"/>
        <crosses val="autoZero"/>
        <auto val="1"/>
        <lblAlgn val="ctr"/>
        <lblOffset val="100"/>
        <noMultiLvlLbl val="0"/>
      </catAx>
      <valAx>
        <axId val="730742248"/>
        <scaling>
          <orientation val="minMax"/>
        </scaling>
        <delete val="0"/>
        <axPos val="t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30742904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01704105552566289"/>
          <y val="0.225712794433775"/>
          <w val="0.4548629492928232"/>
          <h val="0.4622303745193035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noFill/>
    <a:ln w="9525" cap="flat" cmpd="sng" algn="ctr">
      <a:noFill/>
      <a:prstDash val="solid"/>
      <a:round/>
    </a:ln>
  </spPr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2 </a:t>
            </a:r>
            <a:r>
              <a:rPr lang="ru-RU"/>
              <a:t>квартал 202</a:t>
            </a:r>
            <a:r>
              <a:rPr lang="en-US"/>
              <a:t>6</a:t>
            </a:r>
            <a:r>
              <a:rPr lang="ru-RU"/>
              <a:t xml:space="preserve"> г. </a:t>
            </a:r>
          </a:p>
        </rich>
      </tx>
      <layout>
        <manualLayout>
          <xMode val="edge"/>
          <yMode val="edge"/>
          <wMode val="factor"/>
          <hMode val="factor"/>
          <x val="0.5855462820644028"/>
          <y val="0.03282372245878271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4694286283381255"/>
          <y val="0.1964385457677165"/>
          <w val="0.403104559621117"/>
          <h val="0.5084061730828288"/>
        </manualLayout>
      </layout>
      <barChart>
        <barDir val="bar"/>
        <grouping val="stacked"/>
        <varyColors val="0"/>
        <ser>
          <idx val="0"/>
          <order val="0"/>
          <tx>
            <strRef>
              <f>G!$B$26</f>
              <strCache>
                <ptCount val="1"/>
                <pt idx="0">
                  <v>разрыв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G!$A$27:$A$29</f>
              <strCache>
                <ptCount val="3"/>
                <pt idx="0">
                  <v>Валовой государственный долг относительно ВВП</v>
                </pt>
                <pt idx="1">
                  <v>Сальдо консолидированного бюджета относительно ВВП</v>
                </pt>
                <pt idx="2">
                  <v>Коэффициент обслуживания государственного внешнего долга относительно ВВП</v>
                </pt>
              </strCache>
            </strRef>
          </cat>
          <val>
            <numRef>
              <f>G!$B$27:$B$29</f>
              <numCache>
                <formatCode>0.00</formatCode>
                <ptCount val="3"/>
                <pt idx="0">
                  <v>-0.01601666697716096</v>
                </pt>
                <pt idx="1">
                  <v>-0.01658877868272314</v>
                </pt>
                <pt idx="2">
                  <v>-0.01073567383643926</v>
                </pt>
              </numCache>
            </numRef>
          </val>
        </ser>
        <ser>
          <idx val="1"/>
          <order val="1"/>
          <tx>
            <strRef>
              <f>G!$C$26</f>
              <strCache>
                <ptCount val="1"/>
                <pt idx="0">
                  <v>прирост за год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G!$A$27:$A$29</f>
              <strCache>
                <ptCount val="3"/>
                <pt idx="0">
                  <v>Валовой государственный долг относительно ВВП</v>
                </pt>
                <pt idx="1">
                  <v>Сальдо консолидированного бюджета относительно ВВП</v>
                </pt>
                <pt idx="2">
                  <v>Коэффициент обслуживания государственного внешнего долга относительно ВВП</v>
                </pt>
              </strCache>
            </strRef>
          </cat>
          <val>
            <numRef>
              <f>G!$C$27:$C$29</f>
              <numCache>
                <formatCode>0.00</formatCode>
                <ptCount val="3"/>
                <pt idx="0">
                  <v>-0.01631071501687778</v>
                </pt>
                <pt idx="1">
                  <v>0.01963204025134343</v>
                </pt>
                <pt idx="2">
                  <v>0.01448807811373295</v>
                </pt>
              </numCache>
            </numRef>
          </val>
        </ser>
        <ser>
          <idx val="2"/>
          <order val="2"/>
          <tx>
            <strRef>
              <f>G!$D$26</f>
              <strCache>
                <ptCount val="1"/>
                <pt idx="0">
                  <v>прирост за 2 года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G!$A$27:$A$29</f>
              <strCache>
                <ptCount val="3"/>
                <pt idx="0">
                  <v>Валовой государственный долг относительно ВВП</v>
                </pt>
                <pt idx="1">
                  <v>Сальдо консолидированного бюджета относительно ВВП</v>
                </pt>
                <pt idx="2">
                  <v>Коэффициент обслуживания государственного внешнего долга относительно ВВП</v>
                </pt>
              </strCache>
            </strRef>
          </cat>
          <val>
            <numRef>
              <f>G!$D$27:$D$29</f>
              <numCache>
                <formatCode>0.00</formatCode>
                <ptCount val="3"/>
                <pt idx="0">
                  <v>-0.02540409490415725</v>
                </pt>
                <pt idx="1">
                  <v>0.03471241145656259</v>
                </pt>
                <pt idx="2">
                  <v>-0.00031246487401206</v>
                </pt>
              </numCache>
            </numRef>
          </val>
        </ser>
        <ser>
          <idx val="3"/>
          <order val="3"/>
          <tx>
            <strRef>
              <f>G!$E$26</f>
              <strCache>
                <ptCount val="1"/>
                <pt idx="0">
                  <v>отклонение от среднего за 2 года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cat>
            <strRef>
              <f>G!$A$27:$A$29</f>
              <strCache>
                <ptCount val="3"/>
                <pt idx="0">
                  <v>Валовой государственный долг относительно ВВП</v>
                </pt>
                <pt idx="1">
                  <v>Сальдо консолидированного бюджета относительно ВВП</v>
                </pt>
                <pt idx="2">
                  <v>Коэффициент обслуживания государственного внешнего долга относительно ВВП</v>
                </pt>
              </strCache>
            </strRef>
          </cat>
          <val>
            <numRef>
              <f>G!$E$27:$E$29</f>
              <numCache>
                <formatCode>0.00</formatCode>
                <ptCount val="3"/>
                <pt idx="0">
                  <v>-0.02129611697940952</v>
                </pt>
                <pt idx="1">
                  <v>0.02452498055438885</v>
                </pt>
                <pt idx="2">
                  <v>0.004518838831441998</v>
                </pt>
              </numCache>
            </numRef>
          </val>
        </ser>
        <ser>
          <idx val="4"/>
          <order val="4"/>
          <tx>
            <strRef>
              <f>G!$F$26</f>
              <strCache>
                <ptCount val="1"/>
                <pt idx="0">
                  <v>отклонение от среднего за 3 года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val>
            <numRef>
              <f>G!$F$27:$F$29</f>
              <numCache>
                <formatCode>0.00</formatCode>
                <ptCount val="3"/>
                <pt idx="0">
                  <v>-0.02887164411552348</v>
                </pt>
                <pt idx="1">
                  <v>0.01670251304406008</v>
                </pt>
                <pt idx="2">
                  <v>0.003112707591882934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730742904"/>
        <axId val="730742248"/>
      </barChart>
      <catAx>
        <axId val="730742904"/>
        <scaling>
          <orientation val="maxMin"/>
        </scaling>
        <delete val="0"/>
        <axPos val="l"/>
        <numFmt formatCode="General" sourceLinked="1"/>
        <majorTickMark val="none"/>
        <minorTickMark val="none"/>
        <tickLblPos val="low"/>
        <spPr>
          <a:noFill/>
          <a:ln w="12700" cap="flat" cmpd="sng" algn="ctr">
            <a:solidFill>
              <a:schemeClr val="tx1"/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30742248"/>
        <crosses val="autoZero"/>
        <auto val="1"/>
        <lblAlgn val="ctr"/>
        <lblOffset val="100"/>
        <noMultiLvlLbl val="0"/>
      </catAx>
      <valAx>
        <axId val="730742248"/>
        <scaling>
          <orientation val="minMax"/>
          <max val="0.25"/>
          <min val="-0.3"/>
        </scaling>
        <delete val="0"/>
        <axPos val="t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30742904"/>
        <crosses val="autoZero"/>
        <crossBetween val="between"/>
      </valAx>
    </plotArea>
    <plotVisOnly val="1"/>
    <dispBlanksAs val="gap"/>
  </chart>
  <spPr>
    <a:noFill/>
    <a:ln w="9525" cap="flat" cmpd="sng" algn="ctr">
      <a:noFill/>
      <a:prstDash val="solid"/>
      <a:round/>
    </a:ln>
  </spPr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</a:t>
            </a:r>
            <a:r>
              <a:rPr lang="ru-RU"/>
              <a:t xml:space="preserve"> квартал 202</a:t>
            </a:r>
            <a:r>
              <a:rPr lang="en-US"/>
              <a:t>6</a:t>
            </a:r>
            <a:r>
              <a:rPr lang="ru-RU"/>
              <a:t xml:space="preserve"> г.</a:t>
            </a:r>
          </a:p>
        </rich>
      </tx>
      <layout>
        <manualLayout>
          <xMode val="edge"/>
          <yMode val="edge"/>
          <wMode val="factor"/>
          <hMode val="factor"/>
          <x val="0.5433457743177732"/>
          <y val="0.0364963503649635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465679471630292"/>
          <y val="0.2000882234611185"/>
          <w val="0.4836670246663779"/>
          <h val="0.5255479596467024"/>
        </manualLayout>
      </layout>
      <barChart>
        <barDir val="bar"/>
        <grouping val="stacked"/>
        <varyColors val="0"/>
        <ser>
          <idx val="0"/>
          <order val="0"/>
          <tx>
            <strRef>
              <f>B!$H$26</f>
              <strCache>
                <ptCount val="1"/>
                <pt idx="0">
                  <v>разрыв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B!$A$27:$A$29</f>
              <strCache>
                <ptCount val="3"/>
                <pt idx="0">
                  <v>Требования банков к экономике относительно ВВП</v>
                </pt>
                <pt idx="1">
                  <v xml:space="preserve">Требования банков к экономике относительно депозитов в банках </v>
                </pt>
                <pt idx="2">
                  <v>Леверидж (активы к собственному капиталу)</v>
                </pt>
              </strCache>
            </strRef>
          </cat>
          <val>
            <numRef>
              <f>B!$H$27:$H$29</f>
              <numCache>
                <formatCode>0.00</formatCode>
                <ptCount val="3"/>
                <pt idx="0">
                  <v>-0.000745435707789191</v>
                </pt>
                <pt idx="1">
                  <v>-0.01187490367056751</v>
                </pt>
                <pt idx="2">
                  <v>-0.03641076667475482</v>
                </pt>
              </numCache>
            </numRef>
          </val>
        </ser>
        <ser>
          <idx val="1"/>
          <order val="1"/>
          <tx>
            <strRef>
              <f>B!$I$26</f>
              <strCache>
                <ptCount val="1"/>
                <pt idx="0">
                  <v>прирост за год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B!$A$27:$A$29</f>
              <strCache>
                <ptCount val="3"/>
                <pt idx="0">
                  <v>Требования банков к экономике относительно ВВП</v>
                </pt>
                <pt idx="1">
                  <v xml:space="preserve">Требования банков к экономике относительно депозитов в банках </v>
                </pt>
                <pt idx="2">
                  <v>Леверидж (активы к собственному капиталу)</v>
                </pt>
              </strCache>
            </strRef>
          </cat>
          <val>
            <numRef>
              <f>B!$I$27:$I$29</f>
              <numCache>
                <formatCode>0.00</formatCode>
                <ptCount val="3"/>
                <pt idx="0">
                  <v>-0.0008401742127789446</v>
                </pt>
                <pt idx="1">
                  <v>-0.0115750636985867</v>
                </pt>
                <pt idx="2">
                  <v>-0.002407718515785618</v>
                </pt>
              </numCache>
            </numRef>
          </val>
        </ser>
        <ser>
          <idx val="2"/>
          <order val="2"/>
          <tx>
            <strRef>
              <f>B!$J$26</f>
              <strCache>
                <ptCount val="1"/>
                <pt idx="0">
                  <v>прирост за 2 года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B!$A$27:$A$29</f>
              <strCache>
                <ptCount val="3"/>
                <pt idx="0">
                  <v>Требования банков к экономике относительно ВВП</v>
                </pt>
                <pt idx="1">
                  <v xml:space="preserve">Требования банков к экономике относительно депозитов в банках </v>
                </pt>
                <pt idx="2">
                  <v>Леверидж (активы к собственному капиталу)</v>
                </pt>
              </strCache>
            </strRef>
          </cat>
          <val>
            <numRef>
              <f>B!$J$27:$J$29</f>
              <numCache>
                <formatCode>0.00</formatCode>
                <ptCount val="3"/>
                <pt idx="0">
                  <v>-0.001326898025158671</v>
                </pt>
                <pt idx="1">
                  <v>-0.003430371027612189</v>
                </pt>
                <pt idx="2">
                  <v>-0.006991405146526375</v>
                </pt>
              </numCache>
            </numRef>
          </val>
        </ser>
        <ser>
          <idx val="3"/>
          <order val="3"/>
          <tx>
            <strRef>
              <f>B!$K$26</f>
              <strCache>
                <ptCount val="1"/>
                <pt idx="0">
                  <v>отклонение от среднего за 2 года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cat>
            <strRef>
              <f>B!$A$27:$A$29</f>
              <strCache>
                <ptCount val="3"/>
                <pt idx="0">
                  <v>Требования банков к экономике относительно ВВП</v>
                </pt>
                <pt idx="1">
                  <v xml:space="preserve">Требования банков к экономике относительно депозитов в банках </v>
                </pt>
                <pt idx="2">
                  <v>Леверидж (активы к собственному капиталу)</v>
                </pt>
              </strCache>
            </strRef>
          </cat>
          <val>
            <numRef>
              <f>B!$K$27:$K$29</f>
              <numCache>
                <formatCode>0.00</formatCode>
                <ptCount val="3"/>
                <pt idx="0">
                  <v>-0.001731269258115534</v>
                </pt>
                <pt idx="1">
                  <v>-0.008168190008263083</v>
                </pt>
                <pt idx="2">
                  <v>-0.005503036271300825</v>
                </pt>
              </numCache>
            </numRef>
          </val>
        </ser>
        <ser>
          <idx val="4"/>
          <order val="4"/>
          <tx>
            <strRef>
              <f>B!$L$26</f>
              <strCache>
                <ptCount val="1"/>
                <pt idx="0">
                  <v>отклонение от среднего за 3 года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val>
            <numRef>
              <f>B!$L$27:$L$29</f>
              <numCache>
                <formatCode>0.00</formatCode>
                <ptCount val="3"/>
                <pt idx="0">
                  <v>0.001795503696892722</v>
                </pt>
                <pt idx="1">
                  <v>-0.005868265624963322</v>
                </pt>
                <pt idx="2">
                  <v>-0.003955385587755606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730742904"/>
        <axId val="730742248"/>
      </barChart>
      <catAx>
        <axId val="730742904"/>
        <scaling>
          <orientation val="maxMin"/>
        </scaling>
        <delete val="0"/>
        <axPos val="l"/>
        <numFmt formatCode="General" sourceLinked="1"/>
        <majorTickMark val="out"/>
        <minorTickMark val="none"/>
        <tickLblPos val="low"/>
        <spPr>
          <a:noFill/>
          <a:ln w="12700" cap="flat" cmpd="sng" algn="ctr">
            <a:solidFill>
              <a:schemeClr val="tx1"/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30742248"/>
        <crosses val="autoZero"/>
        <auto val="1"/>
        <lblAlgn val="ctr"/>
        <lblOffset val="100"/>
        <noMultiLvlLbl val="0"/>
      </catAx>
      <valAx>
        <axId val="730742248"/>
        <scaling>
          <orientation val="minMax"/>
          <max val="0.25"/>
          <min val="-0.3"/>
        </scaling>
        <delete val="0"/>
        <axPos val="t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30742904"/>
        <crosses val="autoZero"/>
        <crossBetween val="between"/>
      </valAx>
    </plotArea>
    <plotVisOnly val="1"/>
    <dispBlanksAs val="gap"/>
  </chart>
  <spPr>
    <a:noFill/>
    <a:ln w="9525" cap="flat" cmpd="sng" algn="ctr">
      <a:noFill/>
      <a:prstDash val="solid"/>
      <a:round/>
    </a:ln>
  </spPr>
</chartSpace>
</file>

<file path=xl/charts/chart33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6282607303334805"/>
          <y val="0.1964386873990978"/>
          <w val="0.329936806128322"/>
          <h val="0.4273289862204724"/>
        </manualLayout>
      </layout>
      <barChart>
        <barDir val="bar"/>
        <grouping val="stacked"/>
        <varyColors val="0"/>
        <ser>
          <idx val="0"/>
          <order val="0"/>
          <tx>
            <strRef>
              <f>B!$B$26</f>
              <strCache>
                <ptCount val="1"/>
                <pt idx="0">
                  <v>разрыв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B!$A$27:$A$29</f>
              <strCache>
                <ptCount val="3"/>
                <pt idx="0">
                  <v>Требования банков к экономике относительно ВВП</v>
                </pt>
                <pt idx="1">
                  <v xml:space="preserve">Требования банков к экономике относительно депозитов в банках </v>
                </pt>
                <pt idx="2">
                  <v>Леверидж (активы к собственному капиталу)</v>
                </pt>
              </strCache>
            </strRef>
          </cat>
          <val>
            <numRef>
              <f>B!$B$27:$B$29</f>
              <numCache>
                <formatCode>0.00</formatCode>
                <ptCount val="3"/>
                <pt idx="0">
                  <v>0.0006357041537547928</v>
                </pt>
                <pt idx="1">
                  <v>-0.01234810376896494</v>
                </pt>
                <pt idx="2">
                  <v>-0.03521244221486513</v>
                </pt>
              </numCache>
            </numRef>
          </val>
        </ser>
        <ser>
          <idx val="1"/>
          <order val="1"/>
          <tx>
            <strRef>
              <f>B!$C$26</f>
              <strCache>
                <ptCount val="1"/>
                <pt idx="0">
                  <v>прирост за год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B!$A$27:$A$29</f>
              <strCache>
                <ptCount val="3"/>
                <pt idx="0">
                  <v>Требования банков к экономике относительно ВВП</v>
                </pt>
                <pt idx="1">
                  <v xml:space="preserve">Требования банков к экономике относительно депозитов в банках </v>
                </pt>
                <pt idx="2">
                  <v>Леверидж (активы к собственному капиталу)</v>
                </pt>
              </strCache>
            </strRef>
          </cat>
          <val>
            <numRef>
              <f>B!$C$27:$C$29</f>
              <numCache>
                <formatCode>0.00</formatCode>
                <ptCount val="3"/>
                <pt idx="0">
                  <v>-0.004528697674726459</v>
                </pt>
                <pt idx="1">
                  <v>-0.01409488969142097</v>
                </pt>
                <pt idx="2">
                  <v>-0.003003959076198106</v>
                </pt>
              </numCache>
            </numRef>
          </val>
        </ser>
        <ser>
          <idx val="2"/>
          <order val="2"/>
          <tx>
            <strRef>
              <f>B!$D$26</f>
              <strCache>
                <ptCount val="1"/>
                <pt idx="0">
                  <v>прирост за 2 года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B!$A$27:$A$29</f>
              <strCache>
                <ptCount val="3"/>
                <pt idx="0">
                  <v>Требования банков к экономике относительно ВВП</v>
                </pt>
                <pt idx="1">
                  <v xml:space="preserve">Требования банков к экономике относительно депозитов в банках </v>
                </pt>
                <pt idx="2">
                  <v>Леверидж (активы к собственному капиталу)</v>
                </pt>
              </strCache>
            </strRef>
          </cat>
          <val>
            <numRef>
              <f>B!$D$27:$D$29</f>
              <numCache>
                <formatCode>0.00</formatCode>
                <ptCount val="3"/>
                <pt idx="0">
                  <v>-0.000553060319723734</v>
                </pt>
                <pt idx="1">
                  <v>-0.003481597954466605</v>
                </pt>
                <pt idx="2">
                  <v>-0.004510242886027766</v>
                </pt>
              </numCache>
            </numRef>
          </val>
        </ser>
        <ser>
          <idx val="3"/>
          <order val="3"/>
          <tx>
            <strRef>
              <f>B!$E$26</f>
              <strCache>
                <ptCount val="1"/>
                <pt idx="0">
                  <v>отклонение от среднего за 2 года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cat>
            <strRef>
              <f>B!$A$27:$A$29</f>
              <strCache>
                <ptCount val="3"/>
                <pt idx="0">
                  <v>Требования банков к экономике относительно ВВП</v>
                </pt>
                <pt idx="1">
                  <v xml:space="preserve">Требования банков к экономике относительно депозитов в банках </v>
                </pt>
                <pt idx="2">
                  <v>Леверидж (активы к собственному капиталу)</v>
                </pt>
              </strCache>
            </strRef>
          </cat>
          <val>
            <numRef>
              <f>B!$E$27:$E$29</f>
              <numCache>
                <formatCode>0.00</formatCode>
                <ptCount val="3"/>
                <pt idx="0">
                  <v>-0.00040298004962622</v>
                </pt>
                <pt idx="1">
                  <v>-0.007874990509479214</v>
                </pt>
                <pt idx="2">
                  <v>-0.002190474587595498</v>
                </pt>
              </numCache>
            </numRef>
          </val>
        </ser>
        <ser>
          <idx val="4"/>
          <order val="4"/>
          <tx>
            <strRef>
              <f>B!$F$26</f>
              <strCache>
                <ptCount val="1"/>
                <pt idx="0">
                  <v>отклонение от среднего за 3 года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val>
            <numRef>
              <f>B!$F$27:$F$29</f>
              <numCache>
                <formatCode>0.00</formatCode>
                <ptCount val="3"/>
                <pt idx="0">
                  <v>0.001332085702903859</v>
                </pt>
                <pt idx="1">
                  <v>-0.005555256824034783</v>
                </pt>
                <pt idx="2">
                  <v>-0.002484798860524315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730742904"/>
        <axId val="730742248"/>
      </barChart>
      <catAx>
        <axId val="730742904"/>
        <scaling>
          <orientation val="maxMin"/>
        </scaling>
        <delete val="1"/>
        <axPos val="l"/>
        <numFmt formatCode="General" sourceLinked="1"/>
        <majorTickMark val="none"/>
        <minorTickMark val="none"/>
        <tickLblPos val="low"/>
        <crossAx val="730742248"/>
        <crosses val="autoZero"/>
        <auto val="1"/>
        <lblAlgn val="ctr"/>
        <lblOffset val="100"/>
        <noMultiLvlLbl val="0"/>
      </catAx>
      <valAx>
        <axId val="730742248"/>
        <scaling>
          <orientation val="minMax"/>
        </scaling>
        <delete val="0"/>
        <axPos val="t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30742904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1167652647203242"/>
          <y val="0.2184364348195097"/>
          <w val="0.4548629492928232"/>
          <h val="0.4622303745193035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noFill/>
    <a:ln w="9525" cap="flat" cmpd="sng" algn="ctr">
      <a:noFill/>
      <a:prstDash val="solid"/>
      <a:round/>
    </a:ln>
  </spPr>
</chartSpace>
</file>

<file path=xl/charts/chart3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2 </a:t>
            </a:r>
            <a:r>
              <a:rPr lang="ru-RU"/>
              <a:t>квартал 202</a:t>
            </a:r>
            <a:r>
              <a:rPr lang="en-US"/>
              <a:t>6</a:t>
            </a:r>
            <a:r>
              <a:rPr lang="ru-RU"/>
              <a:t xml:space="preserve"> г. </a:t>
            </a:r>
          </a:p>
        </rich>
      </tx>
      <layout>
        <manualLayout>
          <xMode val="edge"/>
          <yMode val="edge"/>
          <wMode val="factor"/>
          <hMode val="factor"/>
          <x val="0.5855463237549852"/>
          <y val="0.02926150944223894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465679471630292"/>
          <y val="0.1964385457677165"/>
          <w val="0.4354379724880758"/>
          <h val="0.5170681637966201"/>
        </manualLayout>
      </layout>
      <barChart>
        <barDir val="bar"/>
        <grouping val="stacked"/>
        <varyColors val="0"/>
        <ser>
          <idx val="0"/>
          <order val="0"/>
          <tx>
            <strRef>
              <f>B!$B$26</f>
              <strCache>
                <ptCount val="1"/>
                <pt idx="0">
                  <v>разрыв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B!$A$27:$A$29</f>
              <strCache>
                <ptCount val="3"/>
                <pt idx="0">
                  <v>Требования банков к экономике относительно ВВП</v>
                </pt>
                <pt idx="1">
                  <v xml:space="preserve">Требования банков к экономике относительно депозитов в банках </v>
                </pt>
                <pt idx="2">
                  <v>Леверидж (активы к собственному капиталу)</v>
                </pt>
              </strCache>
            </strRef>
          </cat>
          <val>
            <numRef>
              <f>B!$B$27:$B$29</f>
              <numCache>
                <formatCode>0.00</formatCode>
                <ptCount val="3"/>
                <pt idx="0">
                  <v>0.0006357041537547928</v>
                </pt>
                <pt idx="1">
                  <v>-0.01234810376896494</v>
                </pt>
                <pt idx="2">
                  <v>-0.03521244221486513</v>
                </pt>
              </numCache>
            </numRef>
          </val>
        </ser>
        <ser>
          <idx val="1"/>
          <order val="1"/>
          <tx>
            <strRef>
              <f>B!$C$26</f>
              <strCache>
                <ptCount val="1"/>
                <pt idx="0">
                  <v>прирост за год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B!$A$27:$A$29</f>
              <strCache>
                <ptCount val="3"/>
                <pt idx="0">
                  <v>Требования банков к экономике относительно ВВП</v>
                </pt>
                <pt idx="1">
                  <v xml:space="preserve">Требования банков к экономике относительно депозитов в банках </v>
                </pt>
                <pt idx="2">
                  <v>Леверидж (активы к собственному капиталу)</v>
                </pt>
              </strCache>
            </strRef>
          </cat>
          <val>
            <numRef>
              <f>B!$C$27:$C$29</f>
              <numCache>
                <formatCode>0.00</formatCode>
                <ptCount val="3"/>
                <pt idx="0">
                  <v>-0.004528697674726459</v>
                </pt>
                <pt idx="1">
                  <v>-0.01409488969142097</v>
                </pt>
                <pt idx="2">
                  <v>-0.003003959076198106</v>
                </pt>
              </numCache>
            </numRef>
          </val>
        </ser>
        <ser>
          <idx val="2"/>
          <order val="2"/>
          <tx>
            <strRef>
              <f>B!$D$26</f>
              <strCache>
                <ptCount val="1"/>
                <pt idx="0">
                  <v>прирост за 2 года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B!$A$27:$A$29</f>
              <strCache>
                <ptCount val="3"/>
                <pt idx="0">
                  <v>Требования банков к экономике относительно ВВП</v>
                </pt>
                <pt idx="1">
                  <v xml:space="preserve">Требования банков к экономике относительно депозитов в банках </v>
                </pt>
                <pt idx="2">
                  <v>Леверидж (активы к собственному капиталу)</v>
                </pt>
              </strCache>
            </strRef>
          </cat>
          <val>
            <numRef>
              <f>B!$D$27:$D$29</f>
              <numCache>
                <formatCode>0.00</formatCode>
                <ptCount val="3"/>
                <pt idx="0">
                  <v>-0.000553060319723734</v>
                </pt>
                <pt idx="1">
                  <v>-0.003481597954466605</v>
                </pt>
                <pt idx="2">
                  <v>-0.004510242886027766</v>
                </pt>
              </numCache>
            </numRef>
          </val>
        </ser>
        <ser>
          <idx val="3"/>
          <order val="3"/>
          <tx>
            <strRef>
              <f>B!$E$26</f>
              <strCache>
                <ptCount val="1"/>
                <pt idx="0">
                  <v>отклонение от среднего за 2 года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cat>
            <strRef>
              <f>B!$A$27:$A$29</f>
              <strCache>
                <ptCount val="3"/>
                <pt idx="0">
                  <v>Требования банков к экономике относительно ВВП</v>
                </pt>
                <pt idx="1">
                  <v xml:space="preserve">Требования банков к экономике относительно депозитов в банках </v>
                </pt>
                <pt idx="2">
                  <v>Леверидж (активы к собственному капиталу)</v>
                </pt>
              </strCache>
            </strRef>
          </cat>
          <val>
            <numRef>
              <f>B!$E$27:$E$29</f>
              <numCache>
                <formatCode>0.00</formatCode>
                <ptCount val="3"/>
                <pt idx="0">
                  <v>-0.00040298004962622</v>
                </pt>
                <pt idx="1">
                  <v>-0.007874990509479214</v>
                </pt>
                <pt idx="2">
                  <v>-0.002190474587595498</v>
                </pt>
              </numCache>
            </numRef>
          </val>
        </ser>
        <ser>
          <idx val="4"/>
          <order val="4"/>
          <tx>
            <strRef>
              <f>B!$F$26</f>
              <strCache>
                <ptCount val="1"/>
                <pt idx="0">
                  <v>отклонение от среднего за 3 года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val>
            <numRef>
              <f>B!$F$27:$F$29</f>
              <numCache>
                <formatCode>0.00</formatCode>
                <ptCount val="3"/>
                <pt idx="0">
                  <v>0.001332085702903859</v>
                </pt>
                <pt idx="1">
                  <v>-0.005555256824034783</v>
                </pt>
                <pt idx="2">
                  <v>-0.002484798860524315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730742904"/>
        <axId val="730742248"/>
      </barChart>
      <catAx>
        <axId val="730742904"/>
        <scaling>
          <orientation val="maxMin"/>
        </scaling>
        <delete val="0"/>
        <axPos val="l"/>
        <numFmt formatCode="General" sourceLinked="1"/>
        <majorTickMark val="none"/>
        <minorTickMark val="none"/>
        <tickLblPos val="low"/>
        <spPr>
          <a:noFill/>
          <a:ln w="12700" cap="flat" cmpd="sng" algn="ctr">
            <a:solidFill>
              <a:schemeClr val="tx1"/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30742248"/>
        <crosses val="autoZero"/>
        <auto val="1"/>
        <lblAlgn val="ctr"/>
        <lblOffset val="100"/>
        <noMultiLvlLbl val="0"/>
      </catAx>
      <valAx>
        <axId val="730742248"/>
        <scaling>
          <orientation val="minMax"/>
          <max val="0.25"/>
          <min val="-0.3"/>
        </scaling>
        <delete val="0"/>
        <axPos val="t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30742904"/>
        <crosses val="autoZero"/>
        <crossBetween val="between"/>
      </valAx>
    </plotArea>
    <plotVisOnly val="1"/>
    <dispBlanksAs val="gap"/>
  </chart>
  <spPr>
    <a:noFill/>
    <a:ln w="9525" cap="flat" cmpd="sng" algn="ctr">
      <a:noFill/>
      <a:prstDash val="solid"/>
      <a:round/>
    </a:ln>
  </spPr>
</chartSpace>
</file>

<file path=xl/charts/chart3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</a:t>
            </a:r>
            <a:r>
              <a:rPr lang="ru-RU"/>
              <a:t xml:space="preserve"> квартал 202</a:t>
            </a:r>
            <a:r>
              <a:rPr lang="en-US"/>
              <a:t>6</a:t>
            </a:r>
            <a:r>
              <a:rPr lang="ru-RU"/>
              <a:t xml:space="preserve"> г.</a:t>
            </a:r>
          </a:p>
        </rich>
      </tx>
      <layout>
        <manualLayout>
          <xMode val="edge"/>
          <yMode val="edge"/>
          <wMode val="factor"/>
          <hMode val="factor"/>
          <x val="0.5468225854450073"/>
          <y val="0.03279725589554601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465679471630292"/>
          <y val="0.2000882234611185"/>
          <w val="0.4836670246663779"/>
          <h val="0.5255479596467024"/>
        </manualLayout>
      </layout>
      <barChart>
        <barDir val="bar"/>
        <grouping val="stacked"/>
        <varyColors val="0"/>
        <ser>
          <idx val="0"/>
          <order val="0"/>
          <tx>
            <strRef>
              <f>E!$H$26</f>
              <strCache>
                <ptCount val="1"/>
                <pt idx="0">
                  <v>разрыв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E!$A$27:$A$28</f>
              <strCache>
                <ptCount val="2"/>
                <pt idx="0">
                  <v>Внешний долг относительно ВВП</v>
                </pt>
                <pt idx="1">
                  <v>Сальдо счета текущих операций относительно ВВП</v>
                </pt>
              </strCache>
            </strRef>
          </cat>
          <val>
            <numRef>
              <f>E!$H$27:$H$28</f>
              <numCache>
                <formatCode>0.00</formatCode>
                <ptCount val="2"/>
                <pt idx="0">
                  <v>-0.02091304381731645</v>
                </pt>
                <pt idx="1">
                  <v>-0.003722557290316067</v>
                </pt>
              </numCache>
            </numRef>
          </val>
        </ser>
        <ser>
          <idx val="1"/>
          <order val="1"/>
          <tx>
            <strRef>
              <f>E!$I$26</f>
              <strCache>
                <ptCount val="1"/>
                <pt idx="0">
                  <v>прирост за год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E!$A$27:$A$28</f>
              <strCache>
                <ptCount val="2"/>
                <pt idx="0">
                  <v>Внешний долг относительно ВВП</v>
                </pt>
                <pt idx="1">
                  <v>Сальдо счета текущих операций относительно ВВП</v>
                </pt>
              </strCache>
            </strRef>
          </cat>
          <val>
            <numRef>
              <f>E!$I$27:$I$28</f>
              <numCache>
                <formatCode>0.00</formatCode>
                <ptCount val="2"/>
                <pt idx="0">
                  <v>-0.0204557897218103</v>
                </pt>
                <pt idx="1">
                  <v>-0.002658728846413314</v>
                </pt>
              </numCache>
            </numRef>
          </val>
        </ser>
        <ser>
          <idx val="2"/>
          <order val="2"/>
          <tx>
            <strRef>
              <f>E!$J$26</f>
              <strCache>
                <ptCount val="1"/>
                <pt idx="0">
                  <v>прирост за 2 года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E!$A$27:$A$28</f>
              <strCache>
                <ptCount val="2"/>
                <pt idx="0">
                  <v>Внешний долг относительно ВВП</v>
                </pt>
                <pt idx="1">
                  <v>Сальдо счета текущих операций относительно ВВП</v>
                </pt>
              </strCache>
            </strRef>
          </cat>
          <val>
            <numRef>
              <f>E!$J$27:$J$28</f>
              <numCache>
                <formatCode>0.00</formatCode>
                <ptCount val="2"/>
                <pt idx="0">
                  <v>-0.01614569126213551</v>
                </pt>
                <pt idx="1">
                  <v>0.008832408531058935</v>
                </pt>
              </numCache>
            </numRef>
          </val>
        </ser>
        <ser>
          <idx val="3"/>
          <order val="3"/>
          <tx>
            <strRef>
              <f>E!$K$26</f>
              <strCache>
                <ptCount val="1"/>
                <pt idx="0">
                  <v>отклонение от среднего за 2 года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cat>
            <strRef>
              <f>E!$A$27:$A$28</f>
              <strCache>
                <ptCount val="2"/>
                <pt idx="0">
                  <v>Внешний долг относительно ВВП</v>
                </pt>
                <pt idx="1">
                  <v>Сальдо счета текущих операций относительно ВВП</v>
                </pt>
              </strCache>
            </strRef>
          </cat>
          <val>
            <numRef>
              <f>E!$K$27:$K$28</f>
              <numCache>
                <formatCode>0.00</formatCode>
                <ptCount val="2"/>
                <pt idx="0">
                  <v>-0.02235832110888012</v>
                </pt>
                <pt idx="1">
                  <v>0.005788227333581412</v>
                </pt>
              </numCache>
            </numRef>
          </val>
        </ser>
        <ser>
          <idx val="4"/>
          <order val="4"/>
          <tx>
            <strRef>
              <f>E!$L$26</f>
              <strCache>
                <ptCount val="1"/>
                <pt idx="0">
                  <v>отклонение от среднего за 3 года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val>
            <numRef>
              <f>E!$L$27:$L$28</f>
              <numCache>
                <formatCode>0.00</formatCode>
                <ptCount val="2"/>
                <pt idx="0">
                  <v>-0.01578954895784493</v>
                </pt>
                <pt idx="1">
                  <v>0.01875095682312629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730742904"/>
        <axId val="730742248"/>
      </barChart>
      <catAx>
        <axId val="730742904"/>
        <scaling>
          <orientation val="maxMin"/>
        </scaling>
        <delete val="0"/>
        <axPos val="l"/>
        <numFmt formatCode="General" sourceLinked="1"/>
        <majorTickMark val="out"/>
        <minorTickMark val="none"/>
        <tickLblPos val="low"/>
        <spPr>
          <a:noFill/>
          <a:ln w="12700" cap="flat" cmpd="sng" algn="ctr">
            <a:solidFill>
              <a:schemeClr val="tx1"/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30742248"/>
        <crosses val="autoZero"/>
        <auto val="1"/>
        <lblAlgn val="ctr"/>
        <lblOffset val="100"/>
        <noMultiLvlLbl val="0"/>
      </catAx>
      <valAx>
        <axId val="730742248"/>
        <scaling>
          <orientation val="minMax"/>
          <max val="0.25"/>
          <min val="-0.3"/>
        </scaling>
        <delete val="0"/>
        <axPos val="t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30742904"/>
        <crosses val="autoZero"/>
        <crossBetween val="between"/>
        <majorUnit val="0.1"/>
      </valAx>
    </plotArea>
    <plotVisOnly val="1"/>
    <dispBlanksAs val="gap"/>
  </chart>
  <spPr>
    <a:noFill/>
    <a:ln w="9525" cap="flat" cmpd="sng" algn="ctr">
      <a:noFill/>
      <a:prstDash val="solid"/>
      <a:round/>
    </a:ln>
  </spPr>
</chartSpace>
</file>

<file path=xl/charts/chart36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5711805089925175"/>
          <y val="0.1964385457677165"/>
          <w val="0.329936806128322"/>
          <h val="0.4273289862204724"/>
        </manualLayout>
      </layout>
      <barChart>
        <barDir val="bar"/>
        <grouping val="stacked"/>
        <varyColors val="0"/>
        <ser>
          <idx val="0"/>
          <order val="0"/>
          <tx>
            <strRef>
              <f>E!$B$26</f>
              <strCache>
                <ptCount val="1"/>
                <pt idx="0">
                  <v>разрыв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E!$A$27:$A$28</f>
              <strCache>
                <ptCount val="2"/>
                <pt idx="0">
                  <v>Внешний долг относительно ВВП</v>
                </pt>
                <pt idx="1">
                  <v>Сальдо счета текущих операций относительно ВВП</v>
                </pt>
              </strCache>
            </strRef>
          </cat>
          <val>
            <numRef>
              <f>E!$B$27:$B$28</f>
              <numCache>
                <formatCode>0.00</formatCode>
                <ptCount val="2"/>
                <pt idx="0">
                  <v>-0.02600428953948886</v>
                </pt>
                <pt idx="1">
                  <v>-0.004961794654882908</v>
                </pt>
              </numCache>
            </numRef>
          </val>
        </ser>
        <ser>
          <idx val="1"/>
          <order val="1"/>
          <tx>
            <strRef>
              <f>E!$C$26</f>
              <strCache>
                <ptCount val="1"/>
                <pt idx="0">
                  <v>прирост за год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E!$A$27:$A$28</f>
              <strCache>
                <ptCount val="2"/>
                <pt idx="0">
                  <v>Внешний долг относительно ВВП</v>
                </pt>
                <pt idx="1">
                  <v>Сальдо счета текущих операций относительно ВВП</v>
                </pt>
              </strCache>
            </strRef>
          </cat>
          <val>
            <numRef>
              <f>E!$C$27:$C$28</f>
              <numCache>
                <formatCode>0.00</formatCode>
                <ptCount val="2"/>
                <pt idx="0">
                  <v>-0.03088328872920784</v>
                </pt>
                <pt idx="1">
                  <v>-0.01055801497083882</v>
                </pt>
              </numCache>
            </numRef>
          </val>
        </ser>
        <ser>
          <idx val="2"/>
          <order val="2"/>
          <tx>
            <strRef>
              <f>E!$D$26</f>
              <strCache>
                <ptCount val="1"/>
                <pt idx="0">
                  <v>прирост за 2 года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E!$A$27:$A$28</f>
              <strCache>
                <ptCount val="2"/>
                <pt idx="0">
                  <v>Внешний долг относительно ВВП</v>
                </pt>
                <pt idx="1">
                  <v>Сальдо счета текущих операций относительно ВВП</v>
                </pt>
              </strCache>
            </strRef>
          </cat>
          <val>
            <numRef>
              <f>E!$D$27:$D$28</f>
              <numCache>
                <formatCode>0.00</formatCode>
                <ptCount val="2"/>
                <pt idx="0">
                  <v>-0.02226621722385662</v>
                </pt>
                <pt idx="1">
                  <v>0.01010186460849016</v>
                </pt>
              </numCache>
            </numRef>
          </val>
        </ser>
        <ser>
          <idx val="3"/>
          <order val="3"/>
          <tx>
            <strRef>
              <f>E!$E$26</f>
              <strCache>
                <ptCount val="1"/>
                <pt idx="0">
                  <v>отклонение от среднего за 2 года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cat>
            <strRef>
              <f>E!$A$27:$A$28</f>
              <strCache>
                <ptCount val="2"/>
                <pt idx="0">
                  <v>Внешний долг относительно ВВП</v>
                </pt>
                <pt idx="1">
                  <v>Сальдо счета текущих операций относительно ВВП</v>
                </pt>
              </strCache>
            </strRef>
          </cat>
          <val>
            <numRef>
              <f>E!$E$27:$E$28</f>
              <numCache>
                <formatCode>0.00</formatCode>
                <ptCount val="2"/>
                <pt idx="0">
                  <v>-0.02585804955605034</v>
                </pt>
                <pt idx="1">
                  <v>0.001278578142621387</v>
                </pt>
              </numCache>
            </numRef>
          </val>
        </ser>
        <ser>
          <idx val="4"/>
          <order val="4"/>
          <tx>
            <strRef>
              <f>E!$F$26</f>
              <strCache>
                <ptCount val="1"/>
                <pt idx="0">
                  <v>отклонение от среднего за 3 года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val>
            <numRef>
              <f>E!$F$27:$F$28</f>
              <numCache>
                <formatCode>0.00</formatCode>
                <ptCount val="2"/>
                <pt idx="0">
                  <v>-0.01938997149055318</v>
                </pt>
                <pt idx="1">
                  <v>0.01091807231249751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730742904"/>
        <axId val="730742248"/>
      </barChart>
      <catAx>
        <axId val="730742904"/>
        <scaling>
          <orientation val="maxMin"/>
        </scaling>
        <delete val="1"/>
        <axPos val="l"/>
        <numFmt formatCode="General" sourceLinked="1"/>
        <majorTickMark val="none"/>
        <minorTickMark val="none"/>
        <tickLblPos val="low"/>
        <crossAx val="730742248"/>
        <crosses val="autoZero"/>
        <auto val="1"/>
        <lblAlgn val="ctr"/>
        <lblOffset val="100"/>
        <noMultiLvlLbl val="0"/>
      </catAx>
      <valAx>
        <axId val="730742248"/>
        <scaling>
          <orientation val="minMax"/>
        </scaling>
        <delete val="0"/>
        <axPos val="t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30742904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05112316657698867"/>
          <y val="0.2184364586818718"/>
          <w val="0.4548629492928232"/>
          <h val="0.4622303745193035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noFill/>
    <a:ln w="9525" cap="flat" cmpd="sng" algn="ctr">
      <a:noFill/>
      <a:prstDash val="solid"/>
      <a:round/>
    </a:ln>
  </spPr>
</chartSpace>
</file>

<file path=xl/charts/chart3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2 </a:t>
            </a:r>
            <a:r>
              <a:rPr lang="ru-RU"/>
              <a:t>квартал 202</a:t>
            </a:r>
            <a:r>
              <a:rPr lang="en-US"/>
              <a:t>6</a:t>
            </a:r>
            <a:r>
              <a:rPr lang="ru-RU"/>
              <a:t xml:space="preserve"> г. </a:t>
            </a:r>
          </a:p>
        </rich>
      </tx>
      <layout>
        <manualLayout>
          <xMode val="edge"/>
          <yMode val="edge"/>
          <wMode val="factor"/>
          <hMode val="factor"/>
          <x val="0.5855462264654748"/>
          <y val="0.02554744525547445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4803980629636303"/>
          <y val="0.2001376479329364"/>
          <w val="0.4354379724880758"/>
          <h val="0.5244660026207281"/>
        </manualLayout>
      </layout>
      <barChart>
        <barDir val="bar"/>
        <grouping val="stacked"/>
        <varyColors val="0"/>
        <ser>
          <idx val="0"/>
          <order val="0"/>
          <tx>
            <strRef>
              <f>E!$B$26</f>
              <strCache>
                <ptCount val="1"/>
                <pt idx="0">
                  <v>разрыв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E!$A$27:$A$28</f>
              <strCache>
                <ptCount val="2"/>
                <pt idx="0">
                  <v>Внешний долг относительно ВВП</v>
                </pt>
                <pt idx="1">
                  <v>Сальдо счета текущих операций относительно ВВП</v>
                </pt>
              </strCache>
            </strRef>
          </cat>
          <val>
            <numRef>
              <f>E!$B$27:$B$28</f>
              <numCache>
                <formatCode>0.00</formatCode>
                <ptCount val="2"/>
                <pt idx="0">
                  <v>-0.02600428953948886</v>
                </pt>
                <pt idx="1">
                  <v>-0.004961794654882908</v>
                </pt>
              </numCache>
            </numRef>
          </val>
        </ser>
        <ser>
          <idx val="1"/>
          <order val="1"/>
          <tx>
            <strRef>
              <f>E!$C$26</f>
              <strCache>
                <ptCount val="1"/>
                <pt idx="0">
                  <v>прирост за год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E!$A$27:$A$28</f>
              <strCache>
                <ptCount val="2"/>
                <pt idx="0">
                  <v>Внешний долг относительно ВВП</v>
                </pt>
                <pt idx="1">
                  <v>Сальдо счета текущих операций относительно ВВП</v>
                </pt>
              </strCache>
            </strRef>
          </cat>
          <val>
            <numRef>
              <f>E!$C$27:$C$28</f>
              <numCache>
                <formatCode>0.00</formatCode>
                <ptCount val="2"/>
                <pt idx="0">
                  <v>-0.03088328872920784</v>
                </pt>
                <pt idx="1">
                  <v>-0.01055801497083882</v>
                </pt>
              </numCache>
            </numRef>
          </val>
        </ser>
        <ser>
          <idx val="2"/>
          <order val="2"/>
          <tx>
            <strRef>
              <f>E!$D$26</f>
              <strCache>
                <ptCount val="1"/>
                <pt idx="0">
                  <v>прирост за 2 года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E!$A$27:$A$28</f>
              <strCache>
                <ptCount val="2"/>
                <pt idx="0">
                  <v>Внешний долг относительно ВВП</v>
                </pt>
                <pt idx="1">
                  <v>Сальдо счета текущих операций относительно ВВП</v>
                </pt>
              </strCache>
            </strRef>
          </cat>
          <val>
            <numRef>
              <f>E!$D$27:$D$28</f>
              <numCache>
                <formatCode>0.00</formatCode>
                <ptCount val="2"/>
                <pt idx="0">
                  <v>-0.02226621722385662</v>
                </pt>
                <pt idx="1">
                  <v>0.01010186460849016</v>
                </pt>
              </numCache>
            </numRef>
          </val>
        </ser>
        <ser>
          <idx val="3"/>
          <order val="3"/>
          <tx>
            <strRef>
              <f>E!$E$26</f>
              <strCache>
                <ptCount val="1"/>
                <pt idx="0">
                  <v>отклонение от среднего за 2 года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cat>
            <strRef>
              <f>E!$A$27:$A$28</f>
              <strCache>
                <ptCount val="2"/>
                <pt idx="0">
                  <v>Внешний долг относительно ВВП</v>
                </pt>
                <pt idx="1">
                  <v>Сальдо счета текущих операций относительно ВВП</v>
                </pt>
              </strCache>
            </strRef>
          </cat>
          <val>
            <numRef>
              <f>E!$E$27:$E$28</f>
              <numCache>
                <formatCode>0.00</formatCode>
                <ptCount val="2"/>
                <pt idx="0">
                  <v>-0.02585804955605034</v>
                </pt>
                <pt idx="1">
                  <v>0.001278578142621387</v>
                </pt>
              </numCache>
            </numRef>
          </val>
        </ser>
        <ser>
          <idx val="4"/>
          <order val="4"/>
          <tx>
            <strRef>
              <f>E!$F$26</f>
              <strCache>
                <ptCount val="1"/>
                <pt idx="0">
                  <v>отклонение от среднего за 3 года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val>
            <numRef>
              <f>E!$F$27:$F$28</f>
              <numCache>
                <formatCode>0.00</formatCode>
                <ptCount val="2"/>
                <pt idx="0">
                  <v>-0.01938997149055318</v>
                </pt>
                <pt idx="1">
                  <v>0.01091807231249751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730742904"/>
        <axId val="730742248"/>
      </barChart>
      <catAx>
        <axId val="730742904"/>
        <scaling>
          <orientation val="maxMin"/>
        </scaling>
        <delete val="0"/>
        <axPos val="l"/>
        <numFmt formatCode="General" sourceLinked="1"/>
        <majorTickMark val="none"/>
        <minorTickMark val="none"/>
        <tickLblPos val="low"/>
        <spPr>
          <a:noFill/>
          <a:ln w="12700" cap="flat" cmpd="sng" algn="ctr">
            <a:solidFill>
              <a:schemeClr val="tx1"/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30742248"/>
        <crosses val="autoZero"/>
        <auto val="1"/>
        <lblAlgn val="ctr"/>
        <lblOffset val="100"/>
        <noMultiLvlLbl val="0"/>
      </catAx>
      <valAx>
        <axId val="730742248"/>
        <scaling>
          <orientation val="minMax"/>
          <max val="0.25"/>
          <min val="-0.3"/>
        </scaling>
        <delete val="0"/>
        <axPos val="t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30742904"/>
        <crosses val="autoZero"/>
        <crossBetween val="between"/>
        <majorUnit val="0.1"/>
      </valAx>
    </plotArea>
    <plotVisOnly val="1"/>
    <dispBlanksAs val="gap"/>
  </chart>
  <spPr>
    <a:noFill/>
    <a:ln w="9525" cap="flat" cmpd="sng" algn="ctr">
      <a:noFill/>
      <a:prstDash val="solid"/>
      <a:round/>
    </a:ln>
  </spPr>
</chartSpace>
</file>

<file path=xl/charts/chart38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 xml:space="preserve">1 </a:t>
            </a:r>
            <a:r>
              <a:rPr lang="ru-RU">
                <a:solidFill>
                  <a:sysClr val="windowText" lastClr="000000"/>
                </a:solidFill>
              </a:rPr>
              <a:t>квартал 202</a:t>
            </a:r>
            <a:r>
              <a:rPr lang="en-US">
                <a:solidFill>
                  <a:sysClr val="windowText" lastClr="000000"/>
                </a:solidFill>
              </a:rPr>
              <a:t>6</a:t>
            </a:r>
            <a:r>
              <a:rPr lang="ru-RU">
                <a:solidFill>
                  <a:sysClr val="windowText" lastClr="000000"/>
                </a:solidFill>
              </a:rPr>
              <a:t xml:space="preserve"> г.</a:t>
            </a:r>
          </a:p>
        </rich>
      </tx>
      <layout>
        <manualLayout>
          <xMode val="edge"/>
          <yMode val="edge"/>
          <wMode val="factor"/>
          <hMode val="factor"/>
          <x val="0.5433457743177732"/>
          <y val="0.0364963503649635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465679471630292"/>
          <y val="0.2000882234611185"/>
          <w val="0.4836670246663779"/>
          <h val="0.5255479596467024"/>
        </manualLayout>
      </layout>
      <barChart>
        <barDir val="bar"/>
        <grouping val="stacked"/>
        <varyColors val="0"/>
        <ser>
          <idx val="0"/>
          <order val="0"/>
          <tx>
            <strRef>
              <f>RE!$H$26</f>
              <strCache>
                <ptCount val="1"/>
                <pt idx="0">
                  <v>разрыв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RE!$A$27:$A$28</f>
              <strCache>
                <ptCount val="2"/>
                <pt idx="0">
                  <v>Цены на коммерческую недвижимость</v>
                </pt>
                <pt idx="1">
                  <v>Цены на жилую недвижимость</v>
                </pt>
              </strCache>
            </strRef>
          </cat>
          <val>
            <numRef>
              <f>RE!$H$27:$H$28</f>
              <numCache>
                <formatCode>0.00</formatCode>
                <ptCount val="2"/>
                <pt idx="0">
                  <v>0.01101437048562378</v>
                </pt>
                <pt idx="1">
                  <v>0.02179718427809802</v>
                </pt>
              </numCache>
            </numRef>
          </val>
        </ser>
        <ser>
          <idx val="1"/>
          <order val="1"/>
          <tx>
            <strRef>
              <f>RE!$I$26</f>
              <strCache>
                <ptCount val="1"/>
                <pt idx="0">
                  <v>прирост за год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RE!$A$27:$A$28</f>
              <strCache>
                <ptCount val="2"/>
                <pt idx="0">
                  <v>Цены на коммерческую недвижимость</v>
                </pt>
                <pt idx="1">
                  <v>Цены на жилую недвижимость</v>
                </pt>
              </strCache>
            </strRef>
          </cat>
          <val>
            <numRef>
              <f>RE!$I$27:$I$28</f>
              <numCache>
                <formatCode>0.00</formatCode>
                <ptCount val="2"/>
                <pt idx="0">
                  <v>0.007562608002280569</v>
                </pt>
                <pt idx="1">
                  <v>0.02038053117823719</v>
                </pt>
              </numCache>
            </numRef>
          </val>
        </ser>
        <ser>
          <idx val="2"/>
          <order val="2"/>
          <tx>
            <strRef>
              <f>RE!$J$26</f>
              <strCache>
                <ptCount val="1"/>
                <pt idx="0">
                  <v>прирост за 2 года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RE!$A$27:$A$28</f>
              <strCache>
                <ptCount val="2"/>
                <pt idx="0">
                  <v>Цены на коммерческую недвижимость</v>
                </pt>
                <pt idx="1">
                  <v>Цены на жилую недвижимость</v>
                </pt>
              </strCache>
            </strRef>
          </cat>
          <val>
            <numRef>
              <f>RE!$J$27:$J$28</f>
              <numCache>
                <formatCode>0.00</formatCode>
                <ptCount val="2"/>
                <pt idx="0">
                  <v>0.01874577964716822</v>
                </pt>
                <pt idx="1">
                  <v>0.03095597565643712</v>
                </pt>
              </numCache>
            </numRef>
          </val>
        </ser>
        <ser>
          <idx val="3"/>
          <order val="3"/>
          <tx>
            <strRef>
              <f>RE!$K$26</f>
              <strCache>
                <ptCount val="1"/>
                <pt idx="0">
                  <v>отклонение от среднего за 2 года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cat>
            <strRef>
              <f>RE!$A$27:$A$28</f>
              <strCache>
                <ptCount val="2"/>
                <pt idx="0">
                  <v>Цены на коммерческую недвижимость</v>
                </pt>
                <pt idx="1">
                  <v>Цены на жилую недвижимость</v>
                </pt>
              </strCache>
            </strRef>
          </cat>
          <val>
            <numRef>
              <f>RE!$K$27:$K$28</f>
              <numCache>
                <formatCode>0.00</formatCode>
                <ptCount val="2"/>
                <pt idx="0">
                  <v>0.01456551228762172</v>
                </pt>
                <pt idx="1">
                  <v>0.03261228959197508</v>
                </pt>
              </numCache>
            </numRef>
          </val>
        </ser>
        <ser>
          <idx val="4"/>
          <order val="4"/>
          <tx>
            <strRef>
              <f>RE!$L$26</f>
              <strCache>
                <ptCount val="1"/>
                <pt idx="0">
                  <v>отклонение от среднего за 3 года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val>
            <numRef>
              <f>RE!$L$27:$L$28</f>
              <numCache>
                <formatCode>0.00</formatCode>
                <ptCount val="2"/>
                <pt idx="0">
                  <v>0.01610034486138023</v>
                </pt>
                <pt idx="1">
                  <v>0.02971318010783821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730742904"/>
        <axId val="730742248"/>
      </barChart>
      <catAx>
        <axId val="730742904"/>
        <scaling>
          <orientation val="maxMin"/>
        </scaling>
        <delete val="0"/>
        <axPos val="l"/>
        <numFmt formatCode="General" sourceLinked="1"/>
        <majorTickMark val="out"/>
        <minorTickMark val="none"/>
        <tickLblPos val="low"/>
        <spPr>
          <a:noFill/>
          <a:ln w="12700" cap="flat" cmpd="sng" algn="ctr">
            <a:solidFill>
              <a:schemeClr val="tx1"/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30742248"/>
        <crosses val="autoZero"/>
        <auto val="1"/>
        <lblAlgn val="ctr"/>
        <lblOffset val="100"/>
        <noMultiLvlLbl val="0"/>
      </catAx>
      <valAx>
        <axId val="730742248"/>
        <scaling>
          <orientation val="minMax"/>
          <max val="0.25"/>
          <min val="-0.3"/>
        </scaling>
        <delete val="0"/>
        <axPos val="t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30742904"/>
        <crosses val="autoZero"/>
        <crossBetween val="between"/>
      </valAx>
    </plotArea>
    <plotVisOnly val="1"/>
    <dispBlanksAs val="gap"/>
  </chart>
  <spPr>
    <a:noFill/>
    <a:ln w="9525" cap="flat" cmpd="sng" algn="ctr">
      <a:noFill/>
      <a:prstDash val="solid"/>
      <a:round/>
    </a:ln>
  </spPr>
</chartSpace>
</file>

<file path=xl/charts/chart39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5711805089925175"/>
          <y val="0.1964385457677165"/>
          <w val="0.329936806128322"/>
          <h val="0.4273289862204724"/>
        </manualLayout>
      </layout>
      <barChart>
        <barDir val="bar"/>
        <grouping val="stacked"/>
        <varyColors val="0"/>
        <ser>
          <idx val="0"/>
          <order val="0"/>
          <tx>
            <strRef>
              <f>RE!$B$26</f>
              <strCache>
                <ptCount val="1"/>
                <pt idx="0">
                  <v>разрыв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RE!$A$27:$A$28</f>
              <strCache>
                <ptCount val="2"/>
                <pt idx="0">
                  <v>Цены на коммерческую недвижимость</v>
                </pt>
                <pt idx="1">
                  <v>Цены на жилую недвижимость</v>
                </pt>
              </strCache>
            </strRef>
          </cat>
          <val>
            <numRef>
              <f>RE!$B$27:$B$28</f>
              <numCache>
                <formatCode>0.00</formatCode>
                <ptCount val="2"/>
                <pt idx="0">
                  <v>0.04397212074323145</v>
                </pt>
                <pt idx="1">
                  <v>0.0257546436589811</v>
                </pt>
              </numCache>
            </numRef>
          </val>
        </ser>
        <ser>
          <idx val="1"/>
          <order val="1"/>
          <tx>
            <strRef>
              <f>RE!$C$26</f>
              <strCache>
                <ptCount val="1"/>
                <pt idx="0">
                  <v>прирост за год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RE!$A$27:$A$28</f>
              <strCache>
                <ptCount val="2"/>
                <pt idx="0">
                  <v>Цены на коммерческую недвижимость</v>
                </pt>
                <pt idx="1">
                  <v>Цены на жилую недвижимость</v>
                </pt>
              </strCache>
            </strRef>
          </cat>
          <val>
            <numRef>
              <f>RE!$C$27:$C$28</f>
              <numCache>
                <formatCode>0.00</formatCode>
                <ptCount val="2"/>
                <pt idx="0">
                  <v>0.06097632182163661</v>
                </pt>
                <pt idx="1">
                  <v>0.01728241796400175</v>
                </pt>
              </numCache>
            </numRef>
          </val>
        </ser>
        <ser>
          <idx val="2"/>
          <order val="2"/>
          <tx>
            <strRef>
              <f>RE!$D$26</f>
              <strCache>
                <ptCount val="1"/>
                <pt idx="0">
                  <v>прирост за 2 года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RE!$A$27:$A$28</f>
              <strCache>
                <ptCount val="2"/>
                <pt idx="0">
                  <v>Цены на коммерческую недвижимость</v>
                </pt>
                <pt idx="1">
                  <v>Цены на жилую недвижимость</v>
                </pt>
              </strCache>
            </strRef>
          </cat>
          <val>
            <numRef>
              <f>RE!$D$27:$D$28</f>
              <numCache>
                <formatCode>0.00</formatCode>
                <ptCount val="2"/>
                <pt idx="0">
                  <v>0.03264360347643028</v>
                </pt>
                <pt idx="1">
                  <v>0.02817767865721448</v>
                </pt>
              </numCache>
            </numRef>
          </val>
        </ser>
        <ser>
          <idx val="3"/>
          <order val="3"/>
          <tx>
            <strRef>
              <f>RE!$E$26</f>
              <strCache>
                <ptCount val="1"/>
                <pt idx="0">
                  <v>отклонение от среднего за 2 года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cat>
            <strRef>
              <f>RE!$A$27:$A$28</f>
              <strCache>
                <ptCount val="2"/>
                <pt idx="0">
                  <v>Цены на коммерческую недвижимость</v>
                </pt>
                <pt idx="1">
                  <v>Цены на жилую недвижимость</v>
                </pt>
              </strCache>
            </strRef>
          </cat>
          <val>
            <numRef>
              <f>RE!$E$27:$E$28</f>
              <numCache>
                <formatCode>0.00</formatCode>
                <ptCount val="2"/>
                <pt idx="0">
                  <v>0.06105254313546748</v>
                </pt>
                <pt idx="1">
                  <v>0.03466875664251797</v>
                </pt>
              </numCache>
            </numRef>
          </val>
        </ser>
        <ser>
          <idx val="4"/>
          <order val="4"/>
          <tx>
            <strRef>
              <f>RE!$F$26</f>
              <strCache>
                <ptCount val="1"/>
                <pt idx="0">
                  <v>отклонение от среднего за 3 года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val>
            <numRef>
              <f>RE!$F$27:$F$28</f>
              <numCache>
                <formatCode>0.00</formatCode>
                <ptCount val="2"/>
                <pt idx="0">
                  <v>0.05930737369221614</v>
                </pt>
                <pt idx="1">
                  <v>0.02883555781152981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730742904"/>
        <axId val="730742248"/>
      </barChart>
      <catAx>
        <axId val="730742904"/>
        <scaling>
          <orientation val="maxMin"/>
        </scaling>
        <delete val="1"/>
        <axPos val="l"/>
        <numFmt formatCode="General" sourceLinked="1"/>
        <majorTickMark val="none"/>
        <minorTickMark val="none"/>
        <tickLblPos val="low"/>
        <crossAx val="730742248"/>
        <crosses val="autoZero"/>
        <auto val="1"/>
        <lblAlgn val="ctr"/>
        <lblOffset val="100"/>
        <noMultiLvlLbl val="0"/>
      </catAx>
      <valAx>
        <axId val="730742248"/>
        <scaling>
          <orientation val="minMax"/>
        </scaling>
        <delete val="0"/>
        <axPos val="t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30742904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05112316657698867"/>
          <y val="0.2184364586818718"/>
          <w val="0.4548629492928232"/>
          <h val="0.4622303745193035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noFill/>
    <a:ln w="9525" cap="flat" cmpd="sng" algn="ctr">
      <a:noFill/>
      <a:prstDash val="solid"/>
      <a:round/>
    </a:ln>
  </spPr>
</chartSpace>
</file>

<file path=xl/charts/chart40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2 </a:t>
            </a:r>
            <a:r>
              <a:rPr lang="ru-RU"/>
              <a:t>квартал 202</a:t>
            </a:r>
            <a:r>
              <a:rPr lang="en-US"/>
              <a:t>6</a:t>
            </a:r>
            <a:r>
              <a:rPr lang="ru-RU"/>
              <a:t xml:space="preserve"> г. </a:t>
            </a:r>
          </a:p>
        </rich>
      </tx>
      <layout>
        <manualLayout>
          <xMode val="edge"/>
          <yMode val="edge"/>
          <wMode val="factor"/>
          <hMode val="factor"/>
          <x val="0.5855462264654748"/>
          <y val="0.02554744525547445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4903440576437786"/>
          <y val="0.185271012593678"/>
          <w val="0.4652842858922534"/>
          <h val="0.5313295687071661"/>
        </manualLayout>
      </layout>
      <barChart>
        <barDir val="bar"/>
        <grouping val="stacked"/>
        <varyColors val="0"/>
        <ser>
          <idx val="0"/>
          <order val="0"/>
          <tx>
            <strRef>
              <f>RE!$B$26</f>
              <strCache>
                <ptCount val="1"/>
                <pt idx="0">
                  <v>разрыв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RE!$A$27:$A$28</f>
              <strCache>
                <ptCount val="2"/>
                <pt idx="0">
                  <v>Цены на коммерческую недвижимость</v>
                </pt>
                <pt idx="1">
                  <v>Цены на жилую недвижимость</v>
                </pt>
              </strCache>
            </strRef>
          </cat>
          <val>
            <numRef>
              <f>RE!$B$27:$B$28</f>
              <numCache>
                <formatCode>0.00</formatCode>
                <ptCount val="2"/>
                <pt idx="0">
                  <v>0.04397212074323145</v>
                </pt>
                <pt idx="1">
                  <v>0.0257546436589811</v>
                </pt>
              </numCache>
            </numRef>
          </val>
        </ser>
        <ser>
          <idx val="1"/>
          <order val="1"/>
          <tx>
            <strRef>
              <f>RE!$C$26</f>
              <strCache>
                <ptCount val="1"/>
                <pt idx="0">
                  <v>прирост за год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RE!$A$27:$A$28</f>
              <strCache>
                <ptCount val="2"/>
                <pt idx="0">
                  <v>Цены на коммерческую недвижимость</v>
                </pt>
                <pt idx="1">
                  <v>Цены на жилую недвижимость</v>
                </pt>
              </strCache>
            </strRef>
          </cat>
          <val>
            <numRef>
              <f>RE!$C$27:$C$28</f>
              <numCache>
                <formatCode>0.00</formatCode>
                <ptCount val="2"/>
                <pt idx="0">
                  <v>0.06097632182163661</v>
                </pt>
                <pt idx="1">
                  <v>0.01728241796400175</v>
                </pt>
              </numCache>
            </numRef>
          </val>
        </ser>
        <ser>
          <idx val="2"/>
          <order val="2"/>
          <tx>
            <strRef>
              <f>RE!$D$26</f>
              <strCache>
                <ptCount val="1"/>
                <pt idx="0">
                  <v>прирост за 2 года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RE!$A$27:$A$28</f>
              <strCache>
                <ptCount val="2"/>
                <pt idx="0">
                  <v>Цены на коммерческую недвижимость</v>
                </pt>
                <pt idx="1">
                  <v>Цены на жилую недвижимость</v>
                </pt>
              </strCache>
            </strRef>
          </cat>
          <val>
            <numRef>
              <f>RE!$D$27:$D$28</f>
              <numCache>
                <formatCode>0.00</formatCode>
                <ptCount val="2"/>
                <pt idx="0">
                  <v>0.03264360347643028</v>
                </pt>
                <pt idx="1">
                  <v>0.02817767865721448</v>
                </pt>
              </numCache>
            </numRef>
          </val>
        </ser>
        <ser>
          <idx val="3"/>
          <order val="3"/>
          <tx>
            <strRef>
              <f>RE!$E$26</f>
              <strCache>
                <ptCount val="1"/>
                <pt idx="0">
                  <v>отклонение от среднего за 2 года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cat>
            <strRef>
              <f>RE!$A$27:$A$28</f>
              <strCache>
                <ptCount val="2"/>
                <pt idx="0">
                  <v>Цены на коммерческую недвижимость</v>
                </pt>
                <pt idx="1">
                  <v>Цены на жилую недвижимость</v>
                </pt>
              </strCache>
            </strRef>
          </cat>
          <val>
            <numRef>
              <f>RE!$E$27:$E$28</f>
              <numCache>
                <formatCode>0.00</formatCode>
                <ptCount val="2"/>
                <pt idx="0">
                  <v>0.06105254313546748</v>
                </pt>
                <pt idx="1">
                  <v>0.03466875664251797</v>
                </pt>
              </numCache>
            </numRef>
          </val>
        </ser>
        <ser>
          <idx val="4"/>
          <order val="4"/>
          <tx>
            <strRef>
              <f>RE!$F$26</f>
              <strCache>
                <ptCount val="1"/>
                <pt idx="0">
                  <v>отклонение от среднего за 3 года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val>
            <numRef>
              <f>RE!$F$27:$F$28</f>
              <numCache>
                <formatCode>0.00</formatCode>
                <ptCount val="2"/>
                <pt idx="0">
                  <v>0.05930737369221614</v>
                </pt>
                <pt idx="1">
                  <v>0.02883555781152981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730742904"/>
        <axId val="730742248"/>
      </barChart>
      <catAx>
        <axId val="730742904"/>
        <scaling>
          <orientation val="maxMin"/>
        </scaling>
        <delete val="0"/>
        <axPos val="l"/>
        <numFmt formatCode="General" sourceLinked="1"/>
        <majorTickMark val="none"/>
        <minorTickMark val="none"/>
        <tickLblPos val="low"/>
        <spPr>
          <a:noFill/>
          <a:ln w="12700" cap="flat" cmpd="sng" algn="ctr">
            <a:solidFill>
              <a:schemeClr val="tx1"/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30742248"/>
        <crosses val="autoZero"/>
        <auto val="1"/>
        <lblAlgn val="ctr"/>
        <lblOffset val="100"/>
        <noMultiLvlLbl val="0"/>
      </catAx>
      <valAx>
        <axId val="730742248"/>
        <scaling>
          <orientation val="minMax"/>
          <max val="0.25"/>
          <min val="-0.3"/>
        </scaling>
        <delete val="0"/>
        <axPos val="t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730742904"/>
        <crosses val="autoZero"/>
        <crossBetween val="between"/>
        <majorUnit val="0.1"/>
      </valAx>
    </plotArea>
    <plotVisOnly val="1"/>
    <dispBlanksAs val="gap"/>
  </chart>
  <spPr>
    <a:noFill/>
    <a:ln w="9525" cap="flat" cmpd="sng" algn="ctr">
      <a:noFill/>
      <a:prstDash val="solid"/>
      <a:round/>
    </a:ln>
  </spPr>
</chartSpace>
</file>

<file path=xl/charts/chart41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VB_index!$A$16:$A$75</f>
              <strCache>
                <ptCount val="60"/>
                <pt idx="0">
                  <v>2008 кв.1</v>
                </pt>
                <pt idx="1">
                  <v>2008 кв.2</v>
                </pt>
                <pt idx="2">
                  <v>2008 кв.3</v>
                </pt>
                <pt idx="3">
                  <v>2008 кв.4</v>
                </pt>
                <pt idx="4">
                  <v>2009 кв.1</v>
                </pt>
                <pt idx="5">
                  <v>2009 кв.2</v>
                </pt>
                <pt idx="6">
                  <v>2009 кв.3</v>
                </pt>
                <pt idx="7">
                  <v>2009 кв.4</v>
                </pt>
                <pt idx="8">
                  <v>2010 кв.1</v>
                </pt>
                <pt idx="9">
                  <v>2010 кв.2</v>
                </pt>
                <pt idx="10">
                  <v>2010 кв.3</v>
                </pt>
                <pt idx="11">
                  <v>2010 кв.4</v>
                </pt>
                <pt idx="12">
                  <v>2011 кв.1</v>
                </pt>
                <pt idx="13">
                  <v>2011 кв.2</v>
                </pt>
                <pt idx="14">
                  <v>2011 кв.3</v>
                </pt>
                <pt idx="15">
                  <v>2011 кв.4</v>
                </pt>
                <pt idx="16">
                  <v>2012 кв.1</v>
                </pt>
                <pt idx="17">
                  <v>2012 кв.2</v>
                </pt>
                <pt idx="18">
                  <v>2012 кв.3</v>
                </pt>
                <pt idx="19">
                  <v>2012 кв.4</v>
                </pt>
                <pt idx="20">
                  <v>2013 кв.1</v>
                </pt>
                <pt idx="21">
                  <v>2013 кв.2</v>
                </pt>
                <pt idx="22">
                  <v>2013 кв.3</v>
                </pt>
                <pt idx="23">
                  <v>2013 кв.4</v>
                </pt>
                <pt idx="24">
                  <v>2014 кв.1</v>
                </pt>
                <pt idx="25">
                  <v>2014 кв.2</v>
                </pt>
                <pt idx="26">
                  <v>2014 кв.3</v>
                </pt>
                <pt idx="27">
                  <v>2014 кв.4</v>
                </pt>
                <pt idx="28">
                  <v>2015 кв.1</v>
                </pt>
                <pt idx="29">
                  <v>2015 кв.2</v>
                </pt>
                <pt idx="30">
                  <v>2015 кв.3</v>
                </pt>
                <pt idx="31">
                  <v>2015 кв.4</v>
                </pt>
                <pt idx="32">
                  <v>2016 кв.1</v>
                </pt>
                <pt idx="33">
                  <v>2016 кв.2</v>
                </pt>
                <pt idx="34">
                  <v>2016 кв.3</v>
                </pt>
                <pt idx="35">
                  <v>2016 кв.4</v>
                </pt>
                <pt idx="36">
                  <v>2017 кв.1</v>
                </pt>
                <pt idx="37">
                  <v>2017 кв.2</v>
                </pt>
                <pt idx="38">
                  <v>2017 кв.3</v>
                </pt>
                <pt idx="39">
                  <v>2017 кв.4</v>
                </pt>
                <pt idx="40">
                  <v>2018 кв.1</v>
                </pt>
                <pt idx="41">
                  <v>2018 кв.2</v>
                </pt>
                <pt idx="42">
                  <v>2018 кв.3</v>
                </pt>
                <pt idx="43">
                  <v>2018 кв.4</v>
                </pt>
                <pt idx="44">
                  <v>2019 кв.1</v>
                </pt>
                <pt idx="45">
                  <v>2019 кв.2</v>
                </pt>
                <pt idx="46">
                  <v>2019 кв.3</v>
                </pt>
                <pt idx="47">
                  <v>2019 кв.4</v>
                </pt>
                <pt idx="48">
                  <v>2020 кв.1</v>
                </pt>
                <pt idx="49">
                  <v>2020 кв.2</v>
                </pt>
                <pt idx="50">
                  <v>2020 кв.3</v>
                </pt>
                <pt idx="51">
                  <v>2020 кв.4</v>
                </pt>
                <pt idx="52">
                  <v>2021 кв.1</v>
                </pt>
                <pt idx="53">
                  <v>2021 кв.2</v>
                </pt>
                <pt idx="54">
                  <v>2021 кв.3</v>
                </pt>
                <pt idx="55">
                  <v>2021 кв.4</v>
                </pt>
                <pt idx="56">
                  <v>2022 кв.1</v>
                </pt>
                <pt idx="57">
                  <v>2022 кв.2</v>
                </pt>
                <pt idx="58">
                  <v>2022 кв.3</v>
                </pt>
                <pt idx="59">
                  <v>2022 кв.4</v>
                </pt>
              </strCache>
            </strRef>
          </cat>
          <val>
            <numRef>
              <f>VB_index!$AT$16:$AT$75</f>
              <numCache>
                <formatCode>0.000</formatCode>
                <ptCount val="6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75693455"/>
        <axId val="2109016319"/>
      </lineChart>
      <catAx>
        <axId val="187569345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2109016319"/>
        <crosses val="autoZero"/>
        <auto val="1"/>
        <lblAlgn val="ctr"/>
        <lblOffset val="100"/>
        <noMultiLvlLbl val="0"/>
      </catAx>
      <valAx>
        <axId val="210901631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875693455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2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spPr>
            <a:ln w="28575" cap="sq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VB_index!$A$16:$A$75</f>
              <strCache>
                <ptCount val="60"/>
                <pt idx="0">
                  <v>2008 кв.1</v>
                </pt>
                <pt idx="1">
                  <v>2008 кв.2</v>
                </pt>
                <pt idx="2">
                  <v>2008 кв.3</v>
                </pt>
                <pt idx="3">
                  <v>2008 кв.4</v>
                </pt>
                <pt idx="4">
                  <v>2009 кв.1</v>
                </pt>
                <pt idx="5">
                  <v>2009 кв.2</v>
                </pt>
                <pt idx="6">
                  <v>2009 кв.3</v>
                </pt>
                <pt idx="7">
                  <v>2009 кв.4</v>
                </pt>
                <pt idx="8">
                  <v>2010 кв.1</v>
                </pt>
                <pt idx="9">
                  <v>2010 кв.2</v>
                </pt>
                <pt idx="10">
                  <v>2010 кв.3</v>
                </pt>
                <pt idx="11">
                  <v>2010 кв.4</v>
                </pt>
                <pt idx="12">
                  <v>2011 кв.1</v>
                </pt>
                <pt idx="13">
                  <v>2011 кв.2</v>
                </pt>
                <pt idx="14">
                  <v>2011 кв.3</v>
                </pt>
                <pt idx="15">
                  <v>2011 кв.4</v>
                </pt>
                <pt idx="16">
                  <v>2012 кв.1</v>
                </pt>
                <pt idx="17">
                  <v>2012 кв.2</v>
                </pt>
                <pt idx="18">
                  <v>2012 кв.3</v>
                </pt>
                <pt idx="19">
                  <v>2012 кв.4</v>
                </pt>
                <pt idx="20">
                  <v>2013 кв.1</v>
                </pt>
                <pt idx="21">
                  <v>2013 кв.2</v>
                </pt>
                <pt idx="22">
                  <v>2013 кв.3</v>
                </pt>
                <pt idx="23">
                  <v>2013 кв.4</v>
                </pt>
                <pt idx="24">
                  <v>2014 кв.1</v>
                </pt>
                <pt idx="25">
                  <v>2014 кв.2</v>
                </pt>
                <pt idx="26">
                  <v>2014 кв.3</v>
                </pt>
                <pt idx="27">
                  <v>2014 кв.4</v>
                </pt>
                <pt idx="28">
                  <v>2015 кв.1</v>
                </pt>
                <pt idx="29">
                  <v>2015 кв.2</v>
                </pt>
                <pt idx="30">
                  <v>2015 кв.3</v>
                </pt>
                <pt idx="31">
                  <v>2015 кв.4</v>
                </pt>
                <pt idx="32">
                  <v>2016 кв.1</v>
                </pt>
                <pt idx="33">
                  <v>2016 кв.2</v>
                </pt>
                <pt idx="34">
                  <v>2016 кв.3</v>
                </pt>
                <pt idx="35">
                  <v>2016 кв.4</v>
                </pt>
                <pt idx="36">
                  <v>2017 кв.1</v>
                </pt>
                <pt idx="37">
                  <v>2017 кв.2</v>
                </pt>
                <pt idx="38">
                  <v>2017 кв.3</v>
                </pt>
                <pt idx="39">
                  <v>2017 кв.4</v>
                </pt>
                <pt idx="40">
                  <v>2018 кв.1</v>
                </pt>
                <pt idx="41">
                  <v>2018 кв.2</v>
                </pt>
                <pt idx="42">
                  <v>2018 кв.3</v>
                </pt>
                <pt idx="43">
                  <v>2018 кв.4</v>
                </pt>
                <pt idx="44">
                  <v>2019 кв.1</v>
                </pt>
                <pt idx="45">
                  <v>2019 кв.2</v>
                </pt>
                <pt idx="46">
                  <v>2019 кв.3</v>
                </pt>
                <pt idx="47">
                  <v>2019 кв.4</v>
                </pt>
                <pt idx="48">
                  <v>2020 кв.1</v>
                </pt>
                <pt idx="49">
                  <v>2020 кв.2</v>
                </pt>
                <pt idx="50">
                  <v>2020 кв.3</v>
                </pt>
                <pt idx="51">
                  <v>2020 кв.4</v>
                </pt>
                <pt idx="52">
                  <v>2021 кв.1</v>
                </pt>
                <pt idx="53">
                  <v>2021 кв.2</v>
                </pt>
                <pt idx="54">
                  <v>2021 кв.3</v>
                </pt>
                <pt idx="55">
                  <v>2021 кв.4</v>
                </pt>
                <pt idx="56">
                  <v>2022 кв.1</v>
                </pt>
                <pt idx="57">
                  <v>2022 кв.2</v>
                </pt>
                <pt idx="58">
                  <v>2022 кв.3</v>
                </pt>
                <pt idx="59">
                  <v>2022 кв.4</v>
                </pt>
              </strCache>
            </strRef>
          </cat>
          <val>
            <numRef>
              <f>VB_index!$AT$16:$AT$75</f>
              <numCache>
                <formatCode>0.000</formatCode>
                <ptCount val="6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75693455"/>
        <axId val="2109016319"/>
      </lineChart>
      <catAx>
        <axId val="187569345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2109016319"/>
        <crosses val="autoZero"/>
        <auto val="1"/>
        <lblAlgn val="ctr"/>
        <lblOffset val="100"/>
        <noMultiLvlLbl val="0"/>
      </catAx>
      <valAx>
        <axId val="210901631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875693455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Relationship Type="http://schemas.openxmlformats.org/officeDocument/2006/relationships/chart" Target="/xl/charts/chart17.xml" Id="rId17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9.xml" Id="rId1" /><Relationship Type="http://schemas.openxmlformats.org/officeDocument/2006/relationships/chart" Target="/xl/charts/chart20.xml" Id="rId2" /><Relationship Type="http://schemas.openxmlformats.org/officeDocument/2006/relationships/chart" Target="/xl/charts/chart21.xml" Id="rId3" /><Relationship Type="http://schemas.openxmlformats.org/officeDocument/2006/relationships/chart" Target="/xl/charts/chart22.xml" Id="rId4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23.xml" Id="rId1" /><Relationship Type="http://schemas.openxmlformats.org/officeDocument/2006/relationships/chart" Target="/xl/charts/chart24.xml" Id="rId2" /><Relationship Type="http://schemas.openxmlformats.org/officeDocument/2006/relationships/chart" Target="/xl/charts/chart25.xml" Id="rId3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26.xml" Id="rId1" /><Relationship Type="http://schemas.openxmlformats.org/officeDocument/2006/relationships/chart" Target="/xl/charts/chart27.xml" Id="rId2" /><Relationship Type="http://schemas.openxmlformats.org/officeDocument/2006/relationships/chart" Target="/xl/charts/chart28.xml" Id="rId3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29.xml" Id="rId1" /><Relationship Type="http://schemas.openxmlformats.org/officeDocument/2006/relationships/chart" Target="/xl/charts/chart30.xml" Id="rId2" /><Relationship Type="http://schemas.openxmlformats.org/officeDocument/2006/relationships/chart" Target="/xl/charts/chart31.xml" Id="rId3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32.xml" Id="rId1" /><Relationship Type="http://schemas.openxmlformats.org/officeDocument/2006/relationships/chart" Target="/xl/charts/chart33.xml" Id="rId2" /><Relationship Type="http://schemas.openxmlformats.org/officeDocument/2006/relationships/chart" Target="/xl/charts/chart34.xml" Id="rId3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35.xml" Id="rId1" /><Relationship Type="http://schemas.openxmlformats.org/officeDocument/2006/relationships/chart" Target="/xl/charts/chart36.xml" Id="rId2" /><Relationship Type="http://schemas.openxmlformats.org/officeDocument/2006/relationships/chart" Target="/xl/charts/chart37.xml" Id="rId3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38.xml" Id="rId1" /><Relationship Type="http://schemas.openxmlformats.org/officeDocument/2006/relationships/chart" Target="/xl/charts/chart39.xml" Id="rId2" /><Relationship Type="http://schemas.openxmlformats.org/officeDocument/2006/relationships/chart" Target="/xl/charts/chart40.xml" Id="rId3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41.xml" Id="rId1" /><Relationship Type="http://schemas.openxmlformats.org/officeDocument/2006/relationships/chart" Target="/xl/charts/chart4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548215</colOff>
      <row>89</row>
      <rowOff>143933</rowOff>
    </from>
    <to>
      <col>11</col>
      <colOff>431094</colOff>
      <row>102</row>
      <rowOff>76192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25</col>
      <colOff>9525</colOff>
      <row>91</row>
      <rowOff>132292</rowOff>
    </from>
    <to>
      <col>30</col>
      <colOff>65759</colOff>
      <row>104</row>
      <rowOff>81908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15</col>
      <colOff>28575</colOff>
      <row>90</row>
      <rowOff>95250</rowOff>
    </from>
    <to>
      <col>19</col>
      <colOff>525993</colOff>
      <row>103</row>
      <rowOff>47265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12</col>
      <colOff>41275</colOff>
      <row>90</row>
      <rowOff>31750</rowOff>
    </from>
    <to>
      <col>15</col>
      <colOff>708</colOff>
      <row>102</row>
      <rowOff>154509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20</col>
      <colOff>95250</colOff>
      <row>91</row>
      <rowOff>35982</rowOff>
    </from>
    <to>
      <col>24</col>
      <colOff>592809</colOff>
      <row>103</row>
      <rowOff>140115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2</col>
      <colOff>63500</colOff>
      <row>88</row>
      <rowOff>169334</rowOff>
    </from>
    <to>
      <col>6</col>
      <colOff>439280</colOff>
      <row>101</row>
      <rowOff>115140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  <twoCellAnchor>
    <from>
      <col>30</col>
      <colOff>106891</colOff>
      <row>91</row>
      <rowOff>24342</rowOff>
    </from>
    <to>
      <col>33</col>
      <colOff>40217</colOff>
      <row>103</row>
      <rowOff>155568</rowOff>
    </to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twoCellAnchor>
  <twoCellAnchor>
    <from>
      <col>43</col>
      <colOff>95250</colOff>
      <row>91</row>
      <rowOff>66675</rowOff>
    </from>
    <to>
      <col>47</col>
      <colOff>489660</colOff>
      <row>104</row>
      <rowOff>14457</rowOff>
    </to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twoCellAnchor>
  <twoCellAnchor>
    <from>
      <col>58</col>
      <colOff>88900</colOff>
      <row>90</row>
      <rowOff>143932</rowOff>
    </from>
    <to>
      <col>62</col>
      <colOff>535520</colOff>
      <row>103</row>
      <rowOff>88892</rowOff>
    </to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twoCellAnchor>
  <twoCellAnchor>
    <from>
      <col>68</col>
      <colOff>57150</colOff>
      <row>90</row>
      <rowOff>85725</rowOff>
    </from>
    <to>
      <col>72</col>
      <colOff>608191</colOff>
      <row>103</row>
      <rowOff>33507</rowOff>
    </to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twoCellAnchor>
  <twoCellAnchor>
    <from>
      <col>78</col>
      <colOff>78317</colOff>
      <row>90</row>
      <rowOff>112183</rowOff>
    </from>
    <to>
      <col>82</col>
      <colOff>599724</colOff>
      <row>103</row>
      <rowOff>64199</rowOff>
    </to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twoCellAnchor>
  <twoCellAnchor>
    <from>
      <col>73</col>
      <colOff>76200</colOff>
      <row>91</row>
      <rowOff>0</rowOff>
    </from>
    <to>
      <col>77</col>
      <colOff>538340</colOff>
      <row>103</row>
      <rowOff>135460</rowOff>
    </to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twoCellAnchor>
  <twoCellAnchor>
    <from>
      <col>63</col>
      <colOff>0</colOff>
      <row>90</row>
      <rowOff>76200</rowOff>
    </from>
    <to>
      <col>67</col>
      <colOff>496006</colOff>
      <row>103</row>
      <rowOff>28215</rowOff>
    </to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twoCellAnchor>
  <twoCellAnchor>
    <from>
      <col>53</col>
      <colOff>120650</colOff>
      <row>91</row>
      <rowOff>182034</rowOff>
    </from>
    <to>
      <col>57</col>
      <colOff>613837</colOff>
      <row>104</row>
      <rowOff>126993</rowOff>
    </to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twoCellAnchor>
  <twoCellAnchor>
    <from>
      <col>48</col>
      <colOff>142875</colOff>
      <row>91</row>
      <rowOff>152400</rowOff>
    </from>
    <to>
      <col>53</col>
      <colOff>46215</colOff>
      <row>104</row>
      <rowOff>91716</rowOff>
    </to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twoCellAnchor>
  <twoCellAnchor>
    <from>
      <col>33</col>
      <colOff>85725</colOff>
      <row>91</row>
      <rowOff>28575</rowOff>
    </from>
    <to>
      <col>38</col>
      <colOff>77612</colOff>
      <row>103</row>
      <rowOff>159801</rowOff>
    </to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twoCellAnchor>
  <twoCellAnchor>
    <from>
      <col>38</col>
      <colOff>158750</colOff>
      <row>91</row>
      <rowOff>28575</rowOff>
    </from>
    <to>
      <col>42</col>
      <colOff>565858</colOff>
      <row>103</row>
      <rowOff>151334</rowOff>
    </to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391583</colOff>
      <row>19</row>
      <rowOff>706</rowOff>
    </from>
    <to>
      <col>15</col>
      <colOff>278694</colOff>
      <row>33</row>
      <rowOff>175684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27</col>
      <colOff>280147</colOff>
      <row>4</row>
      <rowOff>44824</rowOff>
    </from>
    <to>
      <col>34</col>
      <colOff>153280</colOff>
      <row>15</row>
      <rowOff>101323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27</col>
      <colOff>287734</colOff>
      <row>13</row>
      <rowOff>172607</rowOff>
    </from>
    <to>
      <col>34</col>
      <colOff>153280</colOff>
      <row>29</row>
      <rowOff>77110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27</col>
      <colOff>459761</colOff>
      <row>26</row>
      <rowOff>50885</rowOff>
    </from>
    <to>
      <col>34</col>
      <colOff>213150</colOff>
      <row>45</row>
      <rowOff>12785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27</col>
      <colOff>280148</colOff>
      <row>39</row>
      <rowOff>54535</rowOff>
    </from>
    <to>
      <col>35</col>
      <colOff>137272</colOff>
      <row>61</row>
      <rowOff>35485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130969</colOff>
      <row>2</row>
      <rowOff>93517</rowOff>
    </from>
    <to>
      <col>12</col>
      <colOff>484550</colOff>
      <row>21</row>
      <rowOff>74467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12</col>
      <colOff>252845</colOff>
      <row>2</row>
      <rowOff>134505</rowOff>
    </from>
    <to>
      <col>19</col>
      <colOff>417945</colOff>
      <row>21</row>
      <rowOff>115455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0</col>
      <colOff>1933865</colOff>
      <row>2</row>
      <rowOff>126998</rowOff>
    </from>
    <to>
      <col>8</col>
      <colOff>76201</colOff>
      <row>21</row>
      <rowOff>107948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273629</colOff>
      <row>2</row>
      <rowOff>64654</rowOff>
    </from>
    <to>
      <col>12</col>
      <colOff>105354</colOff>
      <row>21</row>
      <rowOff>45604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12</col>
      <colOff>177800</colOff>
      <row>2</row>
      <rowOff>146050</rowOff>
    </from>
    <to>
      <col>19</col>
      <colOff>342900</colOff>
      <row>21</row>
      <rowOff>127000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0</col>
      <colOff>1662931</colOff>
      <row>2</row>
      <rowOff>95825</rowOff>
    </from>
    <to>
      <col>7</col>
      <colOff>12990</colOff>
      <row>21</row>
      <rowOff>76775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586154</colOff>
      <row>2</row>
      <rowOff>36899</rowOff>
    </from>
    <to>
      <col>11</col>
      <colOff>571500</colOff>
      <row>21</row>
      <rowOff>21980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11</col>
      <colOff>67231</colOff>
      <row>2</row>
      <rowOff>120961</rowOff>
    </from>
    <to>
      <col>18</col>
      <colOff>279845</colOff>
      <row>21</row>
      <rowOff>101911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0</col>
      <colOff>2029557</colOff>
      <row>2</row>
      <rowOff>103909</rowOff>
    </from>
    <to>
      <col>7</col>
      <colOff>170006</colOff>
      <row>21</row>
      <rowOff>84859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92363</colOff>
      <row>2</row>
      <rowOff>93517</rowOff>
    </from>
    <to>
      <col>11</col>
      <colOff>190499</colOff>
      <row>21</row>
      <rowOff>74467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10</col>
      <colOff>177800</colOff>
      <row>2</row>
      <rowOff>146050</rowOff>
    </from>
    <to>
      <col>17</col>
      <colOff>342900</colOff>
      <row>21</row>
      <rowOff>127000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0</col>
      <colOff>1933864</colOff>
      <row>2</row>
      <rowOff>126998</rowOff>
    </from>
    <to>
      <col>7</col>
      <colOff>216189</colOff>
      <row>21</row>
      <rowOff>107948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92364</colOff>
      <row>2</row>
      <rowOff>93517</rowOff>
    </from>
    <to>
      <col>10</col>
      <colOff>603250</colOff>
      <row>21</row>
      <rowOff>74467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10</col>
      <colOff>177800</colOff>
      <row>2</row>
      <rowOff>146050</rowOff>
    </from>
    <to>
      <col>17</col>
      <colOff>342900</colOff>
      <row>21</row>
      <rowOff>127000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0</col>
      <colOff>1214360</colOff>
      <row>2</row>
      <rowOff>97691</rowOff>
    </from>
    <to>
      <col>7</col>
      <colOff>26622</colOff>
      <row>21</row>
      <rowOff>78641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92364</colOff>
      <row>2</row>
      <rowOff>93517</rowOff>
    </from>
    <to>
      <col>10</col>
      <colOff>445945</colOff>
      <row>21</row>
      <rowOff>74467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10</col>
      <colOff>177800</colOff>
      <row>2</row>
      <rowOff>146050</rowOff>
    </from>
    <to>
      <col>17</col>
      <colOff>342900</colOff>
      <row>21</row>
      <rowOff>127000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</col>
      <colOff>69274</colOff>
      <row>2</row>
      <rowOff>138545</rowOff>
    </from>
    <to>
      <col>7</col>
      <colOff>96981</colOff>
      <row>21</row>
      <rowOff>124691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46</col>
      <colOff>504270</colOff>
      <row>17</row>
      <rowOff>56029</rowOff>
    </from>
    <to>
      <col>58</col>
      <colOff>235324</colOff>
      <row>35</row>
      <rowOff>26894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46</col>
      <colOff>324976</colOff>
      <row>16</row>
      <rowOff>145676</rowOff>
    </from>
    <to>
      <col>58</col>
      <colOff>56030</colOff>
      <row>34</row>
      <rowOff>116541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 codeName="Лист2">
    <outlinePr summaryBelow="1" summaryRight="1"/>
    <pageSetUpPr/>
  </sheetPr>
  <dimension ref="A1:CG44"/>
  <sheetViews>
    <sheetView zoomScale="77" zoomScaleNormal="80" workbookViewId="0">
      <pane xSplit="3" ySplit="3" topLeftCell="D4" activePane="bottomRight" state="frozen"/>
      <selection pane="topRight" activeCell="C1" sqref="C1"/>
      <selection pane="bottomLeft" activeCell="A4" sqref="A4"/>
      <selection pane="bottomRight" activeCell="CG36" sqref="CG36"/>
    </sheetView>
  </sheetViews>
  <sheetFormatPr baseColWidth="8" defaultColWidth="8.5703125" defaultRowHeight="15"/>
  <cols>
    <col width="8.5703125" customWidth="1" style="185" min="1" max="1"/>
    <col width="11.28515625" bestFit="1" customWidth="1" style="185" min="2" max="2"/>
    <col width="7.42578125" customWidth="1" style="185" min="3" max="3"/>
    <col width="7.28515625" customWidth="1" style="185" min="4" max="4"/>
    <col width="8.5703125" customWidth="1" style="185" min="5" max="63"/>
    <col width="9.28515625" customWidth="1" style="185" min="64" max="64"/>
    <col width="8.5703125" customWidth="1" style="185" min="65" max="79"/>
    <col width="8.5703125" customWidth="1" style="185" min="80" max="16384"/>
  </cols>
  <sheetData>
    <row r="1">
      <c r="B1" s="189" t="inlineStr">
        <is>
          <t>Sector</t>
        </is>
      </c>
      <c r="C1" s="190" t="n"/>
      <c r="D1" s="195" t="inlineStr">
        <is>
          <t>Corporate</t>
        </is>
      </c>
      <c r="V1" s="193" t="inlineStr">
        <is>
          <t>Households</t>
        </is>
      </c>
      <c r="W1" s="179" t="n"/>
      <c r="X1" s="179" t="n"/>
      <c r="Y1" s="179" t="n"/>
      <c r="Z1" s="179" t="n"/>
      <c r="AA1" s="179" t="n"/>
      <c r="AB1" s="179" t="n"/>
      <c r="AC1" s="179" t="n"/>
      <c r="AD1" s="179" t="n"/>
      <c r="AE1" s="179" t="n"/>
      <c r="AF1" s="179" t="n"/>
      <c r="AG1" s="179" t="n"/>
      <c r="AH1" s="179" t="n"/>
      <c r="AI1" s="198" t="inlineStr">
        <is>
          <t>Government</t>
        </is>
      </c>
      <c r="AW1" s="190" t="n"/>
      <c r="AX1" s="197" t="inlineStr">
        <is>
          <t>Banking</t>
        </is>
      </c>
      <c r="BM1" s="194" t="inlineStr">
        <is>
          <t>External</t>
        </is>
      </c>
      <c r="BW1" s="67" t="n"/>
      <c r="BX1" s="67" t="n"/>
      <c r="BY1" s="67" t="n"/>
      <c r="BZ1" s="68" t="inlineStr">
        <is>
          <t>Недвижимость</t>
        </is>
      </c>
      <c r="CA1" s="67" t="n"/>
      <c r="CB1" s="67" t="n"/>
      <c r="CC1" s="67" t="n"/>
      <c r="CD1" s="67" t="n"/>
      <c r="CE1" s="67" t="n"/>
      <c r="CF1" s="67" t="n"/>
    </row>
    <row r="2" ht="47.1" customHeight="1" s="214">
      <c r="B2" s="189" t="inlineStr">
        <is>
          <t>Indicator</t>
        </is>
      </c>
      <c r="C2" s="190" t="n"/>
      <c r="D2" s="191" t="inlineStr">
        <is>
          <t>Debt service ratio, %</t>
        </is>
      </c>
      <c r="E2" s="182" t="n"/>
      <c r="F2" s="182" t="n"/>
      <c r="G2" s="182" t="n"/>
      <c r="H2" s="183" t="n"/>
      <c r="I2" s="186" t="inlineStr">
        <is>
          <t xml:space="preserve">All Debt to GDP ratio, % </t>
        </is>
      </c>
      <c r="J2" s="182" t="n"/>
      <c r="K2" s="182" t="n"/>
      <c r="L2" s="182" t="n"/>
      <c r="M2" s="182" t="n"/>
      <c r="N2" s="178" t="inlineStr">
        <is>
          <t>Прирост реального кредита банков ЮЛ (дефлятор ВВП 2018=1)</t>
        </is>
      </c>
      <c r="O2" s="179" t="n"/>
      <c r="P2" s="180" t="n"/>
      <c r="Q2" s="196" t="inlineStr">
        <is>
          <t>Складские запасы в промышленности к среднемесячному ОПП, %</t>
        </is>
      </c>
      <c r="R2" s="182" t="n"/>
      <c r="S2" s="182" t="n"/>
      <c r="T2" s="182" t="n"/>
      <c r="U2" s="183" t="n"/>
      <c r="V2" s="181" t="inlineStr">
        <is>
          <t>Debt_service ratio_annual</t>
        </is>
      </c>
      <c r="W2" s="182" t="n"/>
      <c r="X2" s="182" t="n"/>
      <c r="Y2" s="182" t="n"/>
      <c r="Z2" s="183" t="n"/>
      <c r="AA2" s="186" t="inlineStr">
        <is>
          <t>Кредит ФЛ к ВВП</t>
        </is>
      </c>
      <c r="AB2" s="182" t="n"/>
      <c r="AC2" s="182" t="n"/>
      <c r="AD2" s="182" t="n"/>
      <c r="AE2" s="182" t="n"/>
      <c r="AF2" s="178" t="inlineStr">
        <is>
          <t>Прирост реального кредита банков ФЛ (ИПЦ 2018=1)</t>
        </is>
      </c>
      <c r="AG2" s="179" t="n"/>
      <c r="AH2" s="180" t="n"/>
      <c r="AI2" s="181" t="inlineStr">
        <is>
          <t>Обслуживание внешнего долга органов государственного управления к ВВП, %</t>
        </is>
      </c>
      <c r="AJ2" s="182" t="n"/>
      <c r="AK2" s="182" t="n"/>
      <c r="AL2" s="182" t="n"/>
      <c r="AM2" s="183" t="n"/>
      <c r="AN2" s="187" t="inlineStr">
        <is>
          <t>Отношение сальдо консолидированного бюджета к ВВП, %</t>
        </is>
      </c>
      <c r="AO2" s="179" t="n"/>
      <c r="AP2" s="179" t="n"/>
      <c r="AQ2" s="179" t="n"/>
      <c r="AR2" s="180" t="n"/>
      <c r="AS2" s="187" t="inlineStr">
        <is>
          <t>Долг сектора государственного управления к ВВП, % (внешний + внутренний)</t>
        </is>
      </c>
      <c r="AT2" s="179" t="n"/>
      <c r="AU2" s="179" t="n"/>
      <c r="AV2" s="179" t="n"/>
      <c r="AW2" s="180" t="n"/>
      <c r="AX2" s="187" t="inlineStr">
        <is>
          <t xml:space="preserve">Требования банков к экономике к ВВП, % </t>
        </is>
      </c>
      <c r="AY2" s="179" t="n"/>
      <c r="AZ2" s="179" t="n"/>
      <c r="BA2" s="179" t="n"/>
      <c r="BB2" s="180" t="n"/>
      <c r="BC2" s="187" t="inlineStr">
        <is>
          <t>Требования банков к депозитам банков, %</t>
        </is>
      </c>
      <c r="BD2" s="179" t="n"/>
      <c r="BE2" s="179" t="n"/>
      <c r="BF2" s="179" t="n"/>
      <c r="BG2" s="180" t="n"/>
      <c r="BH2" s="192" t="inlineStr">
        <is>
          <t>Леверидж (активы к собственному капиталу), раз</t>
        </is>
      </c>
      <c r="BI2" s="179" t="n"/>
      <c r="BJ2" s="179" t="n"/>
      <c r="BK2" s="179" t="n"/>
      <c r="BL2" s="180" t="n"/>
      <c r="BM2" s="184" t="inlineStr">
        <is>
          <t>Счет текущих операций за год, в % к ВВП</t>
        </is>
      </c>
      <c r="BR2" s="184" t="inlineStr">
        <is>
          <t>Валовый внешний долг к ВВП</t>
        </is>
      </c>
      <c r="BW2" s="188" t="inlineStr">
        <is>
          <t>Логарифм цен на коммерческую недвижимость, скорректированных на дефлятор, *100</t>
        </is>
      </c>
      <c r="BX2" s="182" t="n"/>
      <c r="BY2" s="182" t="n"/>
      <c r="BZ2" s="182" t="n"/>
      <c r="CA2" s="183" t="n"/>
      <c r="CB2" s="188" t="inlineStr">
        <is>
          <t>Логарифм цен на жилую недвижимость, скорректированных на ИПЦ</t>
        </is>
      </c>
      <c r="CC2" s="182" t="n"/>
      <c r="CD2" s="182" t="n"/>
      <c r="CE2" s="182" t="n"/>
      <c r="CF2" s="183" t="n"/>
    </row>
    <row r="3" ht="18" customHeight="1" s="214">
      <c r="D3" s="121" t="inlineStr">
        <is>
          <t>dsr</t>
        </is>
      </c>
      <c r="E3" s="121" t="inlineStr">
        <is>
          <t>dsr1</t>
        </is>
      </c>
      <c r="F3" s="121" t="inlineStr">
        <is>
          <t>dsr2</t>
        </is>
      </c>
      <c r="G3" s="121" t="inlineStr">
        <is>
          <t>dsr_av2</t>
        </is>
      </c>
      <c r="H3" s="121" t="inlineStr">
        <is>
          <t>dsr_av3</t>
        </is>
      </c>
      <c r="I3" s="121" t="inlineStr">
        <is>
          <t>ggr</t>
        </is>
      </c>
      <c r="J3" s="121" t="inlineStr">
        <is>
          <t>ggr1</t>
        </is>
      </c>
      <c r="K3" s="121" t="inlineStr">
        <is>
          <t>ggr2</t>
        </is>
      </c>
      <c r="L3" s="121" t="inlineStr">
        <is>
          <t>ggr_av2</t>
        </is>
      </c>
      <c r="M3" s="121" t="inlineStr">
        <is>
          <t>ggr_av3</t>
        </is>
      </c>
      <c r="N3" s="122" t="inlineStr">
        <is>
          <t>rcgr_c1</t>
        </is>
      </c>
      <c r="O3" s="122" t="inlineStr">
        <is>
          <t>rcgr_c2</t>
        </is>
      </c>
      <c r="P3" s="122" t="inlineStr">
        <is>
          <t>rcgr_c3</t>
        </is>
      </c>
      <c r="Q3" s="121" t="inlineStr">
        <is>
          <t>invr</t>
        </is>
      </c>
      <c r="R3" s="121" t="inlineStr">
        <is>
          <t>invr1</t>
        </is>
      </c>
      <c r="S3" s="121" t="inlineStr">
        <is>
          <t>invr2</t>
        </is>
      </c>
      <c r="T3" s="121" t="inlineStr">
        <is>
          <t>invr_av2</t>
        </is>
      </c>
      <c r="U3" s="121" t="inlineStr">
        <is>
          <t>invr_av3</t>
        </is>
      </c>
      <c r="V3" s="121" t="inlineStr">
        <is>
          <t>d_srv</t>
        </is>
      </c>
      <c r="W3" s="121" t="inlineStr">
        <is>
          <t>d_srv1</t>
        </is>
      </c>
      <c r="X3" s="121" t="inlineStr">
        <is>
          <t>d_srv2</t>
        </is>
      </c>
      <c r="Y3" s="121" t="inlineStr">
        <is>
          <t>d_srv_av2</t>
        </is>
      </c>
      <c r="Z3" s="121" t="inlineStr">
        <is>
          <t>d_srv_av3</t>
        </is>
      </c>
      <c r="AA3" s="121" t="inlineStr">
        <is>
          <t>l_gdp</t>
        </is>
      </c>
      <c r="AB3" s="121" t="inlineStr">
        <is>
          <t>l_gdp1</t>
        </is>
      </c>
      <c r="AC3" s="121" t="inlineStr">
        <is>
          <t>l_gdp2</t>
        </is>
      </c>
      <c r="AD3" s="121" t="inlineStr">
        <is>
          <t>l_gdp_av2</t>
        </is>
      </c>
      <c r="AE3" s="121" t="inlineStr">
        <is>
          <t>l_gdp_av3</t>
        </is>
      </c>
      <c r="AF3" s="122" t="inlineStr">
        <is>
          <t>rcgr_h1</t>
        </is>
      </c>
      <c r="AG3" s="122" t="inlineStr">
        <is>
          <t>rcgr_h2</t>
        </is>
      </c>
      <c r="AH3" s="122" t="inlineStr">
        <is>
          <t>rcgr_h3</t>
        </is>
      </c>
      <c r="AI3" s="121" t="inlineStr">
        <is>
          <t>exd_s</t>
        </is>
      </c>
      <c r="AJ3" s="121" t="inlineStr">
        <is>
          <t>exd_s1</t>
        </is>
      </c>
      <c r="AK3" s="121" t="inlineStr">
        <is>
          <t>exd_s2</t>
        </is>
      </c>
      <c r="AL3" s="121" t="inlineStr">
        <is>
          <t>exd_s_av2</t>
        </is>
      </c>
      <c r="AM3" s="121" t="inlineStr">
        <is>
          <t>exd_s_av3</t>
        </is>
      </c>
      <c r="AN3" s="121" t="inlineStr">
        <is>
          <t>bb_gdp</t>
        </is>
      </c>
      <c r="AO3" s="121" t="inlineStr">
        <is>
          <t>bb_gdp1</t>
        </is>
      </c>
      <c r="AP3" s="121" t="inlineStr">
        <is>
          <t>bb_gdp2</t>
        </is>
      </c>
      <c r="AQ3" s="121" t="inlineStr">
        <is>
          <t>bb_gdp_av2</t>
        </is>
      </c>
      <c r="AR3" s="121" t="inlineStr">
        <is>
          <t>bb_gdp_av3</t>
        </is>
      </c>
      <c r="AS3" s="121" t="inlineStr">
        <is>
          <t>ggd</t>
        </is>
      </c>
      <c r="AT3" s="121" t="inlineStr">
        <is>
          <t>ggd1</t>
        </is>
      </c>
      <c r="AU3" s="121" t="inlineStr">
        <is>
          <t>ggd2</t>
        </is>
      </c>
      <c r="AV3" s="121" t="inlineStr">
        <is>
          <t>ggd_av2</t>
        </is>
      </c>
      <c r="AW3" s="121" t="inlineStr">
        <is>
          <t>ggd_av3</t>
        </is>
      </c>
      <c r="AX3" s="121" t="inlineStr">
        <is>
          <t>crr</t>
        </is>
      </c>
      <c r="AY3" s="121" t="inlineStr">
        <is>
          <t>crr1</t>
        </is>
      </c>
      <c r="AZ3" s="121" t="inlineStr">
        <is>
          <t>crr2</t>
        </is>
      </c>
      <c r="BA3" s="121" t="inlineStr">
        <is>
          <t>crr_av2</t>
        </is>
      </c>
      <c r="BB3" s="121" t="inlineStr">
        <is>
          <t>crr_av3</t>
        </is>
      </c>
      <c r="BC3" s="121" t="inlineStr">
        <is>
          <t>d_as</t>
        </is>
      </c>
      <c r="BD3" s="121" t="inlineStr">
        <is>
          <t>d_as1</t>
        </is>
      </c>
      <c r="BE3" s="121" t="inlineStr">
        <is>
          <t>d_as2</t>
        </is>
      </c>
      <c r="BF3" s="121" t="inlineStr">
        <is>
          <t>d_as_av2</t>
        </is>
      </c>
      <c r="BG3" s="121" t="inlineStr">
        <is>
          <t>d_as_av3</t>
        </is>
      </c>
      <c r="BH3" s="121" t="inlineStr">
        <is>
          <t>lvr</t>
        </is>
      </c>
      <c r="BI3" s="121" t="inlineStr">
        <is>
          <t>lvr1</t>
        </is>
      </c>
      <c r="BJ3" s="121" t="inlineStr">
        <is>
          <t>lvr2</t>
        </is>
      </c>
      <c r="BK3" s="121" t="inlineStr">
        <is>
          <t>lvr_av2</t>
        </is>
      </c>
      <c r="BL3" s="121" t="inlineStr">
        <is>
          <t>lvr_av3</t>
        </is>
      </c>
      <c r="BM3" s="121" t="inlineStr">
        <is>
          <t>ca</t>
        </is>
      </c>
      <c r="BN3" s="121" t="inlineStr">
        <is>
          <t>ca1</t>
        </is>
      </c>
      <c r="BO3" s="121" t="inlineStr">
        <is>
          <t>ca2</t>
        </is>
      </c>
      <c r="BP3" s="121" t="inlineStr">
        <is>
          <t>ca_av2</t>
        </is>
      </c>
      <c r="BQ3" s="121" t="inlineStr">
        <is>
          <t>ca_av3</t>
        </is>
      </c>
      <c r="BR3" s="121" t="inlineStr">
        <is>
          <t>gd_gdp</t>
        </is>
      </c>
      <c r="BS3" s="121" t="inlineStr">
        <is>
          <t>gd_gdp1</t>
        </is>
      </c>
      <c r="BT3" s="121" t="inlineStr">
        <is>
          <t>gd_gdp2</t>
        </is>
      </c>
      <c r="BU3" s="121" t="inlineStr">
        <is>
          <t>gd_gdp_av2</t>
        </is>
      </c>
      <c r="BV3" s="121" t="inlineStr">
        <is>
          <t>gd_gdp_av3</t>
        </is>
      </c>
      <c r="BW3" s="121" t="inlineStr">
        <is>
          <t>cest</t>
        </is>
      </c>
      <c r="BX3" s="121" t="inlineStr">
        <is>
          <t>cest1</t>
        </is>
      </c>
      <c r="BY3" s="121" t="inlineStr">
        <is>
          <t>cest2</t>
        </is>
      </c>
      <c r="BZ3" s="121" t="inlineStr">
        <is>
          <t>cest_av2</t>
        </is>
      </c>
      <c r="CA3" s="121" t="inlineStr">
        <is>
          <t>cest_av3</t>
        </is>
      </c>
      <c r="CB3" s="121" t="inlineStr">
        <is>
          <t>pest</t>
        </is>
      </c>
      <c r="CC3" s="121" t="inlineStr">
        <is>
          <t>pest1</t>
        </is>
      </c>
      <c r="CD3" s="121" t="inlineStr">
        <is>
          <t>pest2</t>
        </is>
      </c>
      <c r="CE3" s="121" t="inlineStr">
        <is>
          <t>pest_av2</t>
        </is>
      </c>
      <c r="CF3" s="121" t="inlineStr">
        <is>
          <t>pest_av3</t>
        </is>
      </c>
    </row>
    <row r="4">
      <c r="C4" s="122" t="inlineStr">
        <is>
          <t>12</t>
        </is>
      </c>
      <c r="D4" s="247" t="n">
        <v>0.4884615384615384</v>
      </c>
      <c r="E4" s="248" t="n">
        <v>0.6505376344086021</v>
      </c>
      <c r="F4" s="247" t="n">
        <v>0.7471264367816092</v>
      </c>
      <c r="G4" s="247" t="n">
        <v>0.7413793103448276</v>
      </c>
      <c r="H4" s="248" t="n">
        <v>0.6727272727272727</v>
      </c>
      <c r="I4" s="248" t="n">
        <v>0.5661764705882353</v>
      </c>
      <c r="J4" s="248" t="n">
        <v>0.6171875</v>
      </c>
      <c r="K4" s="248" t="n">
        <v>0.5027322404371585</v>
      </c>
      <c r="L4" s="248" t="n">
        <v>0.5300546448087432</v>
      </c>
      <c r="M4" s="248" t="n">
        <v>0.543859649122807</v>
      </c>
      <c r="N4" s="249" t="n">
        <v>0.7242647058823529</v>
      </c>
      <c r="O4" s="249" t="n">
        <v>0.6544117647058824</v>
      </c>
      <c r="P4" s="249" t="n">
        <v>0.7052238805970149</v>
      </c>
      <c r="Q4" s="247" t="n">
        <v>0.7610294117647058</v>
      </c>
      <c r="R4" s="247" t="n">
        <v>0.58203125</v>
      </c>
      <c r="S4" s="247" t="n">
        <v>0.7213114754098361</v>
      </c>
      <c r="T4" s="247" t="n">
        <v>0.5901639344262295</v>
      </c>
      <c r="U4" s="247" t="n">
        <v>0.6257309941520468</v>
      </c>
      <c r="V4" s="250" t="n">
        <v>0.5546875</v>
      </c>
      <c r="W4" s="250" t="n">
        <v>0.6010928961748634</v>
      </c>
      <c r="X4" s="250" t="n">
        <v>0.5730994152046783</v>
      </c>
      <c r="Y4" s="250" t="n">
        <v>0.5906432748538012</v>
      </c>
      <c r="Z4" s="250" t="n">
        <v>0.5277777777777778</v>
      </c>
      <c r="AA4" s="250" t="n">
        <v>0.5036764705882353</v>
      </c>
      <c r="AB4" s="250" t="n">
        <v>0.69921875</v>
      </c>
      <c r="AC4" s="249" t="n">
        <v>0.459016393442623</v>
      </c>
      <c r="AD4" s="249" t="n">
        <v>0.6338797814207651</v>
      </c>
      <c r="AE4" s="249" t="n">
        <v>0.5847953216374269</v>
      </c>
      <c r="AF4" s="249" t="n">
        <v>0.5919117647058824</v>
      </c>
      <c r="AG4" s="249" t="n">
        <v>0.5183823529411765</v>
      </c>
      <c r="AH4" s="249" t="n">
        <v>0.4962686567164179</v>
      </c>
      <c r="AI4" s="248" t="n">
        <v>0.6544117647058824</v>
      </c>
      <c r="AJ4" s="248" t="n">
        <v>0.66015625</v>
      </c>
      <c r="AK4" s="248" t="n">
        <v>0.4863387978142076</v>
      </c>
      <c r="AL4" s="248" t="n">
        <v>0.546448087431694</v>
      </c>
      <c r="AM4" s="248" t="n">
        <v>0.5847953216374269</v>
      </c>
      <c r="AN4" s="248" t="n">
        <v>0.6911764705882353</v>
      </c>
      <c r="AO4" s="248" t="n">
        <v>0.49609375</v>
      </c>
      <c r="AP4" s="247" t="n">
        <v>0.8743169398907104</v>
      </c>
      <c r="AQ4" s="247" t="n">
        <v>0.726775956284153</v>
      </c>
      <c r="AR4" s="247" t="n">
        <v>0.8187134502923976</v>
      </c>
      <c r="AS4" s="247" t="n">
        <v>0.5036764705882353</v>
      </c>
      <c r="AT4" s="247" t="n">
        <v>0.53515625</v>
      </c>
      <c r="AU4" s="247" t="n">
        <v>0.5792349726775956</v>
      </c>
      <c r="AV4" s="247" t="n">
        <v>0.5355191256830601</v>
      </c>
      <c r="AW4" s="247" t="n">
        <v>0.5380116959064327</v>
      </c>
      <c r="AX4" s="247" t="n">
        <v>0.5441176470588235</v>
      </c>
      <c r="AY4" s="247" t="n">
        <v>0.70703125</v>
      </c>
      <c r="AZ4" s="247" t="n">
        <v>0.4754098360655737</v>
      </c>
      <c r="BA4" s="247" t="n">
        <v>0.5901639344262295</v>
      </c>
      <c r="BB4" s="247" t="n">
        <v>0.5087719298245614</v>
      </c>
      <c r="BC4" s="247" t="n">
        <v>0.5698529411764706</v>
      </c>
      <c r="BD4" s="247" t="n">
        <v>0.66015625</v>
      </c>
      <c r="BE4" s="247" t="n">
        <v>0.4699453551912569</v>
      </c>
      <c r="BF4" s="247" t="n">
        <v>0.6010928961748634</v>
      </c>
      <c r="BG4" s="247" t="n">
        <v>0.5555555555555556</v>
      </c>
      <c r="BH4" s="247" t="n">
        <v>0.458955223880597</v>
      </c>
      <c r="BI4" s="247" t="n">
        <v>0.7604166666666666</v>
      </c>
      <c r="BJ4" s="247" t="n">
        <v>0.7388888888888889</v>
      </c>
      <c r="BK4" s="247" t="n">
        <v>0.75</v>
      </c>
      <c r="BL4" s="247" t="n">
        <v>0.7738095238095238</v>
      </c>
      <c r="BM4" s="247" t="n">
        <v>0.5661764705882353</v>
      </c>
      <c r="BN4" s="247" t="n">
        <v>0.7109375</v>
      </c>
      <c r="BO4" s="247" t="n">
        <v>0.5573770491803278</v>
      </c>
      <c r="BP4" s="247" t="n">
        <v>0.6612021857923497</v>
      </c>
      <c r="BQ4" s="247" t="n">
        <v>0.6140350877192983</v>
      </c>
      <c r="BR4" s="247" t="n">
        <v>0.5294117647058824</v>
      </c>
      <c r="BS4" s="247" t="n">
        <v>0.55078125</v>
      </c>
      <c r="BT4" s="247" t="n">
        <v>0.6174863387978142</v>
      </c>
      <c r="BU4" s="247" t="n">
        <v>0.5573770491803278</v>
      </c>
      <c r="BV4" s="247" t="n">
        <v>0.5730994152046783</v>
      </c>
      <c r="BW4" s="247" t="n">
        <v>0.7346153846153847</v>
      </c>
      <c r="BX4" s="247" t="n">
        <v>0.6559139784946236</v>
      </c>
      <c r="BY4" s="247" t="n">
        <v>0.5287356321839081</v>
      </c>
      <c r="BZ4" s="247" t="n">
        <v>0.632183908045977</v>
      </c>
      <c r="CA4" s="247" t="n">
        <v>0.6636363636363637</v>
      </c>
      <c r="CB4" s="249" t="n">
        <v>0.6145833333333334</v>
      </c>
      <c r="CC4" s="249" t="n">
        <v>0.8222222222222222</v>
      </c>
      <c r="CD4" s="249" t="n">
        <v>0.625</v>
      </c>
      <c r="CE4" s="249" t="n">
        <v>0.8392857142857143</v>
      </c>
      <c r="CF4" s="249" t="n">
        <v>0.5</v>
      </c>
    </row>
    <row r="5">
      <c r="C5" s="122" t="inlineStr">
        <is>
          <t>11</t>
        </is>
      </c>
      <c r="D5" s="247" t="n">
        <v>0.5795454545454546</v>
      </c>
      <c r="E5" s="248" t="n">
        <v>0.544973544973545</v>
      </c>
      <c r="F5" s="247" t="n">
        <v>0.655367231638418</v>
      </c>
      <c r="G5" s="247" t="n">
        <v>0.5310734463276836</v>
      </c>
      <c r="H5" s="248" t="n">
        <v>0.4910714285714285</v>
      </c>
      <c r="I5" s="248" t="n">
        <v>0.6702898550724637</v>
      </c>
      <c r="J5" s="248" t="n">
        <v>0.6884615384615385</v>
      </c>
      <c r="K5" s="248" t="n">
        <v>0.6075268817204301</v>
      </c>
      <c r="L5" s="248" t="n">
        <v>0.6505376344086021</v>
      </c>
      <c r="M5" s="248" t="n">
        <v>0.6149425287356322</v>
      </c>
      <c r="N5" s="249" t="n">
        <v>0.7101449275362319</v>
      </c>
      <c r="O5" s="249" t="n">
        <v>0.6666666666666666</v>
      </c>
      <c r="P5" s="249" t="n">
        <v>0.7095588235294118</v>
      </c>
      <c r="Q5" s="247" t="n">
        <v>0.7663043478260869</v>
      </c>
      <c r="R5" s="247" t="n">
        <v>0.6192307692307693</v>
      </c>
      <c r="S5" s="247" t="n">
        <v>0.6827956989247311</v>
      </c>
      <c r="T5" s="247" t="n">
        <v>0.5913978494623656</v>
      </c>
      <c r="U5" s="247" t="n">
        <v>0.6954022988505747</v>
      </c>
      <c r="V5" s="250" t="n">
        <v>0.5384615384615384</v>
      </c>
      <c r="W5" s="250" t="n">
        <v>0.532258064516129</v>
      </c>
      <c r="X5" s="250" t="n">
        <v>0.5747126436781609</v>
      </c>
      <c r="Y5" s="250" t="n">
        <v>0.5747126436781609</v>
      </c>
      <c r="Z5" s="250" t="n">
        <v>0.5</v>
      </c>
      <c r="AA5" s="250" t="n">
        <v>0.6159420289855072</v>
      </c>
      <c r="AB5" s="250" t="n">
        <v>0.6730769230769231</v>
      </c>
      <c r="AC5" s="249" t="n">
        <v>0.5645161290322581</v>
      </c>
      <c r="AD5" s="249" t="n">
        <v>0.6397849462365591</v>
      </c>
      <c r="AE5" s="249" t="n">
        <v>0.5862068965517241</v>
      </c>
      <c r="AF5" s="249" t="n">
        <v>0.5471014492753623</v>
      </c>
      <c r="AG5" s="249" t="n">
        <v>0.5108695652173914</v>
      </c>
      <c r="AH5" s="249" t="n">
        <v>0.5477941176470589</v>
      </c>
      <c r="AI5" s="248" t="n">
        <v>0.6811594202898551</v>
      </c>
      <c r="AJ5" s="248" t="n">
        <v>0.6461538461538462</v>
      </c>
      <c r="AK5" s="248" t="n">
        <v>0.478494623655914</v>
      </c>
      <c r="AL5" s="248" t="n">
        <v>0.5860215053763441</v>
      </c>
      <c r="AM5" s="248" t="n">
        <v>0.5632183908045977</v>
      </c>
      <c r="AN5" s="248" t="n">
        <v>0.7246376811594203</v>
      </c>
      <c r="AO5" s="248" t="n">
        <v>0.4653846153846154</v>
      </c>
      <c r="AP5" s="247" t="n">
        <v>0.8494623655913979</v>
      </c>
      <c r="AQ5" s="247" t="n">
        <v>0.7258064516129032</v>
      </c>
      <c r="AR5" s="247" t="n">
        <v>0.8275862068965517</v>
      </c>
      <c r="AS5" s="247" t="n">
        <v>0.6086956521739131</v>
      </c>
      <c r="AT5" s="247" t="n">
        <v>0.5076923076923077</v>
      </c>
      <c r="AU5" s="247" t="n">
        <v>0.6451612903225806</v>
      </c>
      <c r="AV5" s="247" t="n">
        <v>0.6182795698924731</v>
      </c>
      <c r="AW5" s="247" t="n">
        <v>0.632183908045977</v>
      </c>
      <c r="AX5" s="247" t="n">
        <v>0.6666666666666666</v>
      </c>
      <c r="AY5" s="247" t="n">
        <v>0.7115384615384616</v>
      </c>
      <c r="AZ5" s="247" t="n">
        <v>0.6612903225806451</v>
      </c>
      <c r="BA5" s="247" t="n">
        <v>0.6935483870967742</v>
      </c>
      <c r="BB5" s="247" t="n">
        <v>0.6954022988505747</v>
      </c>
      <c r="BC5" s="247" t="n">
        <v>0.5326086956521739</v>
      </c>
      <c r="BD5" s="247" t="n">
        <v>0.6192307692307693</v>
      </c>
      <c r="BE5" s="247" t="n">
        <v>0.543010752688172</v>
      </c>
      <c r="BF5" s="247" t="n">
        <v>0.553763440860215</v>
      </c>
      <c r="BG5" s="247" t="n">
        <v>0.5344827586206896</v>
      </c>
      <c r="BH5" s="247" t="n">
        <v>0.5551470588235294</v>
      </c>
      <c r="BI5" s="247" t="n">
        <v>0.54296875</v>
      </c>
      <c r="BJ5" s="247" t="n">
        <v>0.6721311475409836</v>
      </c>
      <c r="BK5" s="247" t="n">
        <v>0.5136612021857924</v>
      </c>
      <c r="BL5" s="247" t="n">
        <v>0.5906432748538012</v>
      </c>
      <c r="BM5" s="247" t="n">
        <v>0.572463768115942</v>
      </c>
      <c r="BN5" s="247" t="n">
        <v>0.6</v>
      </c>
      <c r="BO5" s="247" t="n">
        <v>0.5483870967741935</v>
      </c>
      <c r="BP5" s="247" t="n">
        <v>0.6236559139784946</v>
      </c>
      <c r="BQ5" s="247" t="n">
        <v>0.5689655172413793</v>
      </c>
      <c r="BR5" s="247" t="n">
        <v>0.5833333333333334</v>
      </c>
      <c r="BS5" s="247" t="n">
        <v>0.5538461538461539</v>
      </c>
      <c r="BT5" s="247" t="n">
        <v>0.6021505376344086</v>
      </c>
      <c r="BU5" s="247" t="n">
        <v>0.553763440860215</v>
      </c>
      <c r="BV5" s="247" t="n">
        <v>0.5689655172413793</v>
      </c>
      <c r="BW5" s="247" t="n">
        <v>0.6401515151515151</v>
      </c>
      <c r="BX5" s="247" t="n">
        <v>0.5978835978835979</v>
      </c>
      <c r="BY5" s="247" t="n">
        <v>0.6666666666666666</v>
      </c>
      <c r="BZ5" s="247" t="n">
        <v>0.5423728813559322</v>
      </c>
      <c r="CA5" s="247" t="n">
        <v>0.5803571428571429</v>
      </c>
      <c r="CB5" s="249" t="n">
        <v>0.48828125</v>
      </c>
      <c r="CC5" s="249" t="n">
        <v>0.7431693989071039</v>
      </c>
      <c r="CD5" s="249" t="n">
        <v>0.7894736842105263</v>
      </c>
      <c r="CE5" s="249" t="n">
        <v>0.9298245614035088</v>
      </c>
      <c r="CF5" s="249" t="n">
        <v>0.6666666666666666</v>
      </c>
    </row>
    <row r="6">
      <c r="C6" s="122" t="inlineStr">
        <is>
          <t>10</t>
        </is>
      </c>
      <c r="D6" s="247" t="n">
        <v>0.6231343283582089</v>
      </c>
      <c r="E6" s="248" t="n">
        <v>0.7083333333333334</v>
      </c>
      <c r="F6" s="247" t="n">
        <v>0.5055555555555555</v>
      </c>
      <c r="G6" s="247" t="n">
        <v>0.6722222222222223</v>
      </c>
      <c r="H6" s="248" t="n">
        <v>0.5238095238095238</v>
      </c>
      <c r="I6" s="248" t="n">
        <v>0.8142857142857143</v>
      </c>
      <c r="J6" s="248" t="n">
        <v>0.7651515151515151</v>
      </c>
      <c r="K6" s="248" t="n">
        <v>0.7248677248677249</v>
      </c>
      <c r="L6" s="248" t="n">
        <v>0.798941798941799</v>
      </c>
      <c r="M6" s="248" t="n">
        <v>0.7457627118644068</v>
      </c>
      <c r="N6" s="249" t="n">
        <v>0.5928571428571429</v>
      </c>
      <c r="O6" s="249" t="n">
        <v>0.7071428571428572</v>
      </c>
      <c r="P6" s="249" t="n">
        <v>0.6847826086956522</v>
      </c>
      <c r="Q6" s="247" t="n">
        <v>0.7892857142857143</v>
      </c>
      <c r="R6" s="247" t="n">
        <v>0.4886363636363636</v>
      </c>
      <c r="S6" s="247" t="n">
        <v>0.582010582010582</v>
      </c>
      <c r="T6" s="247" t="n">
        <v>0.5714285714285714</v>
      </c>
      <c r="U6" s="247" t="n">
        <v>0.6497175141242938</v>
      </c>
      <c r="V6" s="250" t="n">
        <v>0.5492424242424242</v>
      </c>
      <c r="W6" s="250" t="n">
        <v>0.4708994708994709</v>
      </c>
      <c r="X6" s="250" t="n">
        <v>0.5649717514124294</v>
      </c>
      <c r="Y6" s="250" t="n">
        <v>0.5706214689265536</v>
      </c>
      <c r="Z6" s="250" t="n">
        <v>0.5</v>
      </c>
      <c r="AA6" s="250" t="n">
        <v>0.5392857142857143</v>
      </c>
      <c r="AB6" s="250" t="n">
        <v>0.5681818181818182</v>
      </c>
      <c r="AC6" s="249" t="n">
        <v>0.5608465608465608</v>
      </c>
      <c r="AD6" s="249" t="n">
        <v>0.5767195767195767</v>
      </c>
      <c r="AE6" s="249" t="n">
        <v>0.5480225988700564</v>
      </c>
      <c r="AF6" s="249" t="n">
        <v>0.4785714285714286</v>
      </c>
      <c r="AG6" s="249" t="n">
        <v>0.5035714285714286</v>
      </c>
      <c r="AH6" s="249" t="n">
        <v>0.605072463768116</v>
      </c>
      <c r="AI6" s="248" t="n">
        <v>0.6535714285714286</v>
      </c>
      <c r="AJ6" s="248" t="n">
        <v>0.5681818181818182</v>
      </c>
      <c r="AK6" s="248" t="n">
        <v>0.5396825396825397</v>
      </c>
      <c r="AL6" s="248" t="n">
        <v>0.5238095238095238</v>
      </c>
      <c r="AM6" s="248" t="n">
        <v>0.5028248587570622</v>
      </c>
      <c r="AN6" s="248" t="n">
        <v>0.7</v>
      </c>
      <c r="AO6" s="248" t="n">
        <v>0.5227272727272727</v>
      </c>
      <c r="AP6" s="247" t="n">
        <v>0.6031746031746031</v>
      </c>
      <c r="AQ6" s="247" t="n">
        <v>0.5502645502645502</v>
      </c>
      <c r="AR6" s="247" t="n">
        <v>0.711864406779661</v>
      </c>
      <c r="AS6" s="247" t="n">
        <v>0.6571428571428571</v>
      </c>
      <c r="AT6" s="247" t="n">
        <v>0.571969696969697</v>
      </c>
      <c r="AU6" s="247" t="n">
        <v>0.7037037037037037</v>
      </c>
      <c r="AV6" s="247" t="n">
        <v>0.656084656084656</v>
      </c>
      <c r="AW6" s="247" t="n">
        <v>0.7231638418079096</v>
      </c>
      <c r="AX6" s="247" t="n">
        <v>0.7821428571428571</v>
      </c>
      <c r="AY6" s="247" t="n">
        <v>0.6742424242424242</v>
      </c>
      <c r="AZ6" s="247" t="n">
        <v>0.7195767195767195</v>
      </c>
      <c r="BA6" s="247" t="n">
        <v>0.7301587301587301</v>
      </c>
      <c r="BB6" s="247" t="n">
        <v>0.6779661016949152</v>
      </c>
      <c r="BC6" s="247" t="n">
        <v>0.5035714285714286</v>
      </c>
      <c r="BD6" s="247" t="n">
        <v>0.5303030303030303</v>
      </c>
      <c r="BE6" s="247" t="n">
        <v>0.5132275132275133</v>
      </c>
      <c r="BF6" s="247" t="n">
        <v>0.5291005291005291</v>
      </c>
      <c r="BG6" s="247" t="n">
        <v>0.5254237288135594</v>
      </c>
      <c r="BH6" s="247" t="n">
        <v>0.7173913043478261</v>
      </c>
      <c r="BI6" s="247" t="n">
        <v>0.6</v>
      </c>
      <c r="BJ6" s="247" t="n">
        <v>0.5483870967741935</v>
      </c>
      <c r="BK6" s="247" t="n">
        <v>0.6720430107526881</v>
      </c>
      <c r="BL6" s="247" t="n">
        <v>0.5574712643678161</v>
      </c>
      <c r="BM6" s="247" t="n">
        <v>0.6071428571428571</v>
      </c>
      <c r="BN6" s="247" t="n">
        <v>0.553030303030303</v>
      </c>
      <c r="BO6" s="247" t="n">
        <v>0.5978835978835979</v>
      </c>
      <c r="BP6" s="247" t="n">
        <v>0.6031746031746031</v>
      </c>
      <c r="BQ6" s="247" t="n">
        <v>0.5480225988700564</v>
      </c>
      <c r="BR6" s="247" t="n">
        <v>0.65</v>
      </c>
      <c r="BS6" s="247" t="n">
        <v>0.5416666666666666</v>
      </c>
      <c r="BT6" s="247" t="n">
        <v>0.6296296296296297</v>
      </c>
      <c r="BU6" s="247" t="n">
        <v>0.6402116402116402</v>
      </c>
      <c r="BV6" s="247" t="n">
        <v>0.6384180790960452</v>
      </c>
      <c r="BW6" s="247" t="n">
        <v>0.6492537313432836</v>
      </c>
      <c r="BX6" s="247" t="n">
        <v>0.5625</v>
      </c>
      <c r="BY6" s="247" t="n">
        <v>0.5833333333333334</v>
      </c>
      <c r="BZ6" s="247" t="n">
        <v>0.5611111111111111</v>
      </c>
      <c r="CA6" s="247" t="n">
        <v>0.4642857142857143</v>
      </c>
      <c r="CB6" s="249" t="n">
        <v>0.5346153846153846</v>
      </c>
      <c r="CC6" s="249" t="n">
        <v>0.5698924731182796</v>
      </c>
      <c r="CD6" s="249" t="n">
        <v>0.8045977011494253</v>
      </c>
      <c r="CE6" s="249" t="n">
        <v>0.6954022988505747</v>
      </c>
      <c r="CF6" s="249" t="n">
        <v>0.7</v>
      </c>
    </row>
    <row r="7">
      <c r="C7" s="122" t="inlineStr">
        <is>
          <t>9</t>
        </is>
      </c>
      <c r="D7" s="247" t="n">
        <v>0.7095588235294118</v>
      </c>
      <c r="E7" s="248" t="n">
        <v>0.8359375</v>
      </c>
      <c r="F7" s="247" t="n">
        <v>0.5956284153005464</v>
      </c>
      <c r="G7" s="247" t="n">
        <v>0.819672131147541</v>
      </c>
      <c r="H7" s="248" t="n">
        <v>0.6666666666666666</v>
      </c>
      <c r="I7" s="248" t="n">
        <v>0.7147887323943662</v>
      </c>
      <c r="J7" s="248" t="n">
        <v>0.6119402985074627</v>
      </c>
      <c r="K7" s="248" t="n">
        <v>0.6979166666666666</v>
      </c>
      <c r="L7" s="248" t="n">
        <v>0.671875</v>
      </c>
      <c r="M7" s="248" t="n">
        <v>0.6722222222222223</v>
      </c>
      <c r="N7" s="249" t="n">
        <v>0.5950704225352113</v>
      </c>
      <c r="O7" s="249" t="n">
        <v>0.5316901408450704</v>
      </c>
      <c r="P7" s="249" t="n">
        <v>0.525</v>
      </c>
      <c r="Q7" s="247" t="n">
        <v>0.5845070422535211</v>
      </c>
      <c r="R7" s="247" t="n">
        <v>0.6977611940298507</v>
      </c>
      <c r="S7" s="247" t="n">
        <v>0.6197916666666666</v>
      </c>
      <c r="T7" s="247" t="n">
        <v>0.7135416666666666</v>
      </c>
      <c r="U7" s="247" t="n">
        <v>0.5944444444444444</v>
      </c>
      <c r="V7" s="250" t="n">
        <v>0.5895522388059702</v>
      </c>
      <c r="W7" s="250" t="n">
        <v>0.4427083333333333</v>
      </c>
      <c r="X7" s="250" t="n">
        <v>0.5833333333333334</v>
      </c>
      <c r="Y7" s="250" t="n">
        <v>0.5722222222222222</v>
      </c>
      <c r="Z7" s="250" t="n">
        <v>0.5952380952380952</v>
      </c>
      <c r="AA7" s="250" t="n">
        <v>0.4507042253521127</v>
      </c>
      <c r="AB7" s="250" t="n">
        <v>0.458955223880597</v>
      </c>
      <c r="AC7" s="249" t="n">
        <v>0.515625</v>
      </c>
      <c r="AD7" s="249" t="n">
        <v>0.4791666666666667</v>
      </c>
      <c r="AE7" s="249" t="n">
        <v>0.4611111111111111</v>
      </c>
      <c r="AF7" s="249" t="n">
        <v>0.4401408450704226</v>
      </c>
      <c r="AG7" s="249" t="n">
        <v>0.5035211267605634</v>
      </c>
      <c r="AH7" s="249" t="n">
        <v>0.6</v>
      </c>
      <c r="AI7" s="248" t="n">
        <v>0.6619718309859155</v>
      </c>
      <c r="AJ7" s="248" t="n">
        <v>0.6231343283582089</v>
      </c>
      <c r="AK7" s="248" t="n">
        <v>0.5364583333333334</v>
      </c>
      <c r="AL7" s="248" t="n">
        <v>0.6041666666666666</v>
      </c>
      <c r="AM7" s="248" t="n">
        <v>0.5166666666666667</v>
      </c>
      <c r="AN7" s="248" t="n">
        <v>0.6936619718309859</v>
      </c>
      <c r="AO7" s="248" t="n">
        <v>0.5335820895522388</v>
      </c>
      <c r="AP7" s="247" t="n">
        <v>0.53125</v>
      </c>
      <c r="AQ7" s="247" t="n">
        <v>0.5989583333333334</v>
      </c>
      <c r="AR7" s="247" t="n">
        <v>0.5388888888888889</v>
      </c>
      <c r="AS7" s="247" t="n">
        <v>0.5880281690140845</v>
      </c>
      <c r="AT7" s="247" t="n">
        <v>0.5111940298507462</v>
      </c>
      <c r="AU7" s="247" t="n">
        <v>0.6302083333333334</v>
      </c>
      <c r="AV7" s="247" t="n">
        <v>0.5520833333333334</v>
      </c>
      <c r="AW7" s="247" t="n">
        <v>0.6555555555555556</v>
      </c>
      <c r="AX7" s="247" t="n">
        <v>0.6443661971830986</v>
      </c>
      <c r="AY7" s="247" t="n">
        <v>0.5597014925373134</v>
      </c>
      <c r="AZ7" s="247" t="n">
        <v>0.6354166666666666</v>
      </c>
      <c r="BA7" s="247" t="n">
        <v>0.5989583333333334</v>
      </c>
      <c r="BB7" s="247" t="n">
        <v>0.5888888888888889</v>
      </c>
      <c r="BC7" s="247" t="n">
        <v>0.5633802816901409</v>
      </c>
      <c r="BD7" s="247" t="n">
        <v>0.4664179104477612</v>
      </c>
      <c r="BE7" s="247" t="n">
        <v>0.5260416666666666</v>
      </c>
      <c r="BF7" s="247" t="n">
        <v>0.5260416666666666</v>
      </c>
      <c r="BG7" s="247" t="n">
        <v>0.4944444444444445</v>
      </c>
      <c r="BH7" s="247" t="n">
        <v>0.725</v>
      </c>
      <c r="BI7" s="247" t="n">
        <v>0.6704545454545454</v>
      </c>
      <c r="BJ7" s="247" t="n">
        <v>0.5873015873015873</v>
      </c>
      <c r="BK7" s="247" t="n">
        <v>0.7777777777777778</v>
      </c>
      <c r="BL7" s="247" t="n">
        <v>0.632768361581921</v>
      </c>
      <c r="BM7" s="247" t="n">
        <v>0.545774647887324</v>
      </c>
      <c r="BN7" s="247" t="n">
        <v>0.6455223880597015</v>
      </c>
      <c r="BO7" s="247" t="n">
        <v>0.5104166666666666</v>
      </c>
      <c r="BP7" s="247" t="n">
        <v>0.4791666666666667</v>
      </c>
      <c r="BQ7" s="247" t="n">
        <v>0.4555555555555555</v>
      </c>
      <c r="BR7" s="247" t="n">
        <v>0.6971830985915493</v>
      </c>
      <c r="BS7" s="247" t="n">
        <v>0.5708955223880597</v>
      </c>
      <c r="BT7" s="247" t="n">
        <v>0.6458333333333334</v>
      </c>
      <c r="BU7" s="247" t="n">
        <v>0.6302083333333334</v>
      </c>
      <c r="BV7" s="247" t="n">
        <v>0.6666666666666666</v>
      </c>
      <c r="BW7" s="247" t="n">
        <v>0.8272058823529411</v>
      </c>
      <c r="BX7" s="247" t="n">
        <v>0.8359375</v>
      </c>
      <c r="BY7" s="247" t="n">
        <v>0.7158469945355191</v>
      </c>
      <c r="BZ7" s="247" t="n">
        <v>0.8852459016393442</v>
      </c>
      <c r="CA7" s="247" t="n">
        <v>0.8070175438596491</v>
      </c>
      <c r="CB7" s="249" t="n">
        <v>0.5416666666666666</v>
      </c>
      <c r="CC7" s="249" t="n">
        <v>0.5396825396825397</v>
      </c>
      <c r="CD7" s="249" t="n">
        <v>0.8135593220338984</v>
      </c>
      <c r="CE7" s="249" t="n">
        <v>0.6101694915254238</v>
      </c>
      <c r="CF7" s="249" t="n">
        <v>0.6607142857142857</v>
      </c>
    </row>
    <row r="8">
      <c r="C8" s="122" t="inlineStr">
        <is>
          <t>8</t>
        </is>
      </c>
      <c r="D8" s="247" t="n">
        <v>0.7101449275362319</v>
      </c>
      <c r="E8" s="248" t="n">
        <v>0.8269230769230769</v>
      </c>
      <c r="F8" s="247" t="n">
        <v>0.6827956989247311</v>
      </c>
      <c r="G8" s="247" t="n">
        <v>0.8225806451612904</v>
      </c>
      <c r="H8" s="248" t="n">
        <v>0.6954022988505747</v>
      </c>
      <c r="I8" s="248" t="n">
        <v>0.5381944444444444</v>
      </c>
      <c r="J8" s="248" t="n">
        <v>0.4191176470588235</v>
      </c>
      <c r="K8" s="248" t="n">
        <v>0.578125</v>
      </c>
      <c r="L8" s="248" t="n">
        <v>0.43359375</v>
      </c>
      <c r="M8" s="248" t="n">
        <v>0.5300546448087432</v>
      </c>
      <c r="N8" s="249" t="n">
        <v>0.7395833333333334</v>
      </c>
      <c r="O8" s="249" t="n">
        <v>0.5069444444444444</v>
      </c>
      <c r="P8" s="249" t="n">
        <v>0.5422535211267606</v>
      </c>
      <c r="Q8" s="247" t="n">
        <v>0.5902777777777778</v>
      </c>
      <c r="R8" s="247" t="n">
        <v>0.7794117647058824</v>
      </c>
      <c r="S8" s="247" t="n">
        <v>0.693359375</v>
      </c>
      <c r="T8" s="247" t="n">
        <v>0.7578125</v>
      </c>
      <c r="U8" s="247" t="n">
        <v>0.7377049180327869</v>
      </c>
      <c r="V8" s="250" t="n">
        <v>0.5845588235294118</v>
      </c>
      <c r="W8" s="250" t="n">
        <v>0.62890625</v>
      </c>
      <c r="X8" s="250" t="n">
        <v>0.6120218579234973</v>
      </c>
      <c r="Y8" s="250" t="n">
        <v>0.6120218579234973</v>
      </c>
      <c r="Z8" s="250" t="n">
        <v>0.6081871345029239</v>
      </c>
      <c r="AA8" s="250" t="n">
        <v>0.4305555555555556</v>
      </c>
      <c r="AB8" s="250" t="n">
        <v>0.4191176470588235</v>
      </c>
      <c r="AC8" s="249" t="n">
        <v>0.515625</v>
      </c>
      <c r="AD8" s="249" t="n">
        <v>0.43359375</v>
      </c>
      <c r="AE8" s="249" t="n">
        <v>0.3989071038251366</v>
      </c>
      <c r="AF8" s="249" t="n">
        <v>0.6423611111111112</v>
      </c>
      <c r="AG8" s="249" t="n">
        <v>0.5104166666666666</v>
      </c>
      <c r="AH8" s="249" t="n">
        <v>0.6126760563380281</v>
      </c>
      <c r="AI8" s="248" t="n">
        <v>0.6666666666666666</v>
      </c>
      <c r="AJ8" s="248" t="n">
        <v>0.5404411764705882</v>
      </c>
      <c r="AK8" s="248" t="n">
        <v>0.66796875</v>
      </c>
      <c r="AL8" s="248" t="n">
        <v>0.62109375</v>
      </c>
      <c r="AM8" s="248" t="n">
        <v>0.4644808743169399</v>
      </c>
      <c r="AN8" s="248" t="n">
        <v>0.5659722222222222</v>
      </c>
      <c r="AO8" s="248" t="n">
        <v>0.6617647058823529</v>
      </c>
      <c r="AP8" s="247" t="n">
        <v>0.53125</v>
      </c>
      <c r="AQ8" s="247" t="n">
        <v>0.64453125</v>
      </c>
      <c r="AR8" s="247" t="n">
        <v>0.7158469945355191</v>
      </c>
      <c r="AS8" s="247" t="n">
        <v>0.6631944444444444</v>
      </c>
      <c r="AT8" s="247" t="n">
        <v>0.5735294117647058</v>
      </c>
      <c r="AU8" s="247" t="n">
        <v>0.59375</v>
      </c>
      <c r="AV8" s="247" t="n">
        <v>0.58203125</v>
      </c>
      <c r="AW8" s="247" t="n">
        <v>0.639344262295082</v>
      </c>
      <c r="AX8" s="247" t="n">
        <v>0.5</v>
      </c>
      <c r="AY8" s="247" t="n">
        <v>0.4558823529411765</v>
      </c>
      <c r="AZ8" s="247" t="n">
        <v>0.59765625</v>
      </c>
      <c r="BA8" s="247" t="n">
        <v>0.48046875</v>
      </c>
      <c r="BB8" s="247" t="n">
        <v>0.5355191256830601</v>
      </c>
      <c r="BC8" s="247" t="n">
        <v>0.4930555555555556</v>
      </c>
      <c r="BD8" s="247" t="n">
        <v>0.5735294117647058</v>
      </c>
      <c r="BE8" s="247" t="n">
        <v>0.48828125</v>
      </c>
      <c r="BF8" s="247" t="n">
        <v>0.56640625</v>
      </c>
      <c r="BG8" s="247" t="n">
        <v>0.4808743169398907</v>
      </c>
      <c r="BH8" s="247" t="n">
        <v>0.6232394366197183</v>
      </c>
      <c r="BI8" s="247" t="n">
        <v>0.6231343283582089</v>
      </c>
      <c r="BJ8" s="247" t="n">
        <v>0.515625</v>
      </c>
      <c r="BK8" s="247" t="n">
        <v>0.6302083333333334</v>
      </c>
      <c r="BL8" s="247" t="n">
        <v>0.5</v>
      </c>
      <c r="BM8" s="247" t="n">
        <v>0.6319444444444444</v>
      </c>
      <c r="BN8" s="247" t="n">
        <v>0.6691176470588235</v>
      </c>
      <c r="BO8" s="247" t="n">
        <v>0.4453125</v>
      </c>
      <c r="BP8" s="247" t="n">
        <v>0.65625</v>
      </c>
      <c r="BQ8" s="247" t="n">
        <v>0.5792349726775956</v>
      </c>
      <c r="BR8" s="247" t="n">
        <v>0.6875</v>
      </c>
      <c r="BS8" s="247" t="n">
        <v>0.6102941176470589</v>
      </c>
      <c r="BT8" s="247" t="n">
        <v>0.66796875</v>
      </c>
      <c r="BU8" s="247" t="n">
        <v>0.62890625</v>
      </c>
      <c r="BV8" s="247" t="n">
        <v>0.6666666666666666</v>
      </c>
      <c r="BW8" s="247" t="n">
        <v>0.7826086956521739</v>
      </c>
      <c r="BX8" s="247" t="n">
        <v>0.8307692307692308</v>
      </c>
      <c r="BY8" s="247" t="n">
        <v>0.6881720430107527</v>
      </c>
      <c r="BZ8" s="247" t="n">
        <v>0.8010752688172043</v>
      </c>
      <c r="CA8" s="247" t="n">
        <v>0.7988505747126436</v>
      </c>
      <c r="CB8" s="249" t="n">
        <v>0.5261194029850746</v>
      </c>
      <c r="CC8" s="249" t="n">
        <v>0.609375</v>
      </c>
      <c r="CD8" s="249" t="n">
        <v>0.65</v>
      </c>
      <c r="CE8" s="249" t="n">
        <v>0.4833333333333333</v>
      </c>
      <c r="CF8" s="249" t="n">
        <v>0.6428571428571429</v>
      </c>
    </row>
    <row r="9">
      <c r="C9" s="122" t="inlineStr">
        <is>
          <t>7</t>
        </is>
      </c>
      <c r="D9" s="247" t="n">
        <v>0.6857142857142857</v>
      </c>
      <c r="E9" s="248" t="n">
        <v>0.5984848484848485</v>
      </c>
      <c r="F9" s="247" t="n">
        <v>0.6825396825396826</v>
      </c>
      <c r="G9" s="247" t="n">
        <v>0.7513227513227513</v>
      </c>
      <c r="H9" s="248" t="n">
        <v>0.6384180790960452</v>
      </c>
      <c r="I9" s="248" t="n">
        <v>0.5205479452054794</v>
      </c>
      <c r="J9" s="248" t="n">
        <v>0.6739130434782609</v>
      </c>
      <c r="K9" s="248" t="n">
        <v>0.4769230769230769</v>
      </c>
      <c r="L9" s="248" t="n">
        <v>0.6269230769230769</v>
      </c>
      <c r="M9" s="248" t="n">
        <v>0.5806451612903226</v>
      </c>
      <c r="N9" s="249" t="n">
        <v>0.8595890410958904</v>
      </c>
      <c r="O9" s="249" t="n">
        <v>0.636986301369863</v>
      </c>
      <c r="P9" s="249" t="n">
        <v>0.6111111111111112</v>
      </c>
      <c r="Q9" s="247" t="n">
        <v>0.7671232876712328</v>
      </c>
      <c r="R9" s="247" t="n">
        <v>0.8731884057971014</v>
      </c>
      <c r="S9" s="247" t="n">
        <v>0.7615384615384615</v>
      </c>
      <c r="T9" s="247" t="n">
        <v>0.9</v>
      </c>
      <c r="U9" s="247" t="n">
        <v>0.9139784946236559</v>
      </c>
      <c r="V9" s="250" t="n">
        <v>0.4891304347826087</v>
      </c>
      <c r="W9" s="250" t="n">
        <v>0.6692307692307692</v>
      </c>
      <c r="X9" s="250" t="n">
        <v>0.6236559139784946</v>
      </c>
      <c r="Y9" s="250" t="n">
        <v>0.6075268817204301</v>
      </c>
      <c r="Z9" s="250" t="n">
        <v>0.6379310344827587</v>
      </c>
      <c r="AA9" s="250" t="n">
        <v>0.5616438356164384</v>
      </c>
      <c r="AB9" s="250" t="n">
        <v>0.5905797101449275</v>
      </c>
      <c r="AC9" s="249" t="n">
        <v>0.5</v>
      </c>
      <c r="AD9" s="249" t="n">
        <v>0.4653846153846154</v>
      </c>
      <c r="AE9" s="249" t="n">
        <v>0.4086021505376344</v>
      </c>
      <c r="AF9" s="249" t="n">
        <v>0.613013698630137</v>
      </c>
      <c r="AG9" s="249" t="n">
        <v>0.523972602739726</v>
      </c>
      <c r="AH9" s="249" t="n">
        <v>0.5868055555555556</v>
      </c>
      <c r="AI9" s="248" t="n">
        <v>0.6267123287671232</v>
      </c>
      <c r="AJ9" s="248" t="n">
        <v>0.6014492753623188</v>
      </c>
      <c r="AK9" s="248" t="n">
        <v>0.5884615384615385</v>
      </c>
      <c r="AL9" s="248" t="n">
        <v>0.5230769230769231</v>
      </c>
      <c r="AM9" s="248" t="n">
        <v>0.532258064516129</v>
      </c>
      <c r="AN9" s="248" t="n">
        <v>0.6335616438356164</v>
      </c>
      <c r="AO9" s="248" t="n">
        <v>0.7318840579710145</v>
      </c>
      <c r="AP9" s="247" t="n">
        <v>0.7230769230769231</v>
      </c>
      <c r="AQ9" s="247" t="n">
        <v>0.7230769230769231</v>
      </c>
      <c r="AR9" s="247" t="n">
        <v>0.8333333333333334</v>
      </c>
      <c r="AS9" s="247" t="n">
        <v>0.6541095890410958</v>
      </c>
      <c r="AT9" s="247" t="n">
        <v>0.5217391304347826</v>
      </c>
      <c r="AU9" s="247" t="n">
        <v>0.5615384615384615</v>
      </c>
      <c r="AV9" s="247" t="n">
        <v>0.5576923076923077</v>
      </c>
      <c r="AW9" s="247" t="n">
        <v>0.5645161290322581</v>
      </c>
      <c r="AX9" s="247" t="n">
        <v>0.4554794520547945</v>
      </c>
      <c r="AY9" s="247" t="n">
        <v>0.6485507246376812</v>
      </c>
      <c r="AZ9" s="247" t="n">
        <v>0.5153846153846153</v>
      </c>
      <c r="BA9" s="247" t="n">
        <v>0.6076923076923076</v>
      </c>
      <c r="BB9" s="247" t="n">
        <v>0.5376344086021505</v>
      </c>
      <c r="BC9" s="247" t="n">
        <v>0.6506849315068494</v>
      </c>
      <c r="BD9" s="247" t="n">
        <v>0.6992753623188406</v>
      </c>
      <c r="BE9" s="247" t="n">
        <v>0.4538461538461538</v>
      </c>
      <c r="BF9" s="247" t="n">
        <v>0.6269230769230769</v>
      </c>
      <c r="BG9" s="247" t="n">
        <v>0.5645161290322581</v>
      </c>
      <c r="BH9" s="247" t="n">
        <v>0.5555555555555556</v>
      </c>
      <c r="BI9" s="247" t="n">
        <v>0.5257352941176471</v>
      </c>
      <c r="BJ9" s="247" t="n">
        <v>0.58203125</v>
      </c>
      <c r="BK9" s="247" t="n">
        <v>0.51953125</v>
      </c>
      <c r="BL9" s="247" t="n">
        <v>0.5355191256830601</v>
      </c>
      <c r="BM9" s="247" t="n">
        <v>0.6917808219178082</v>
      </c>
      <c r="BN9" s="247" t="n">
        <v>0.8260869565217391</v>
      </c>
      <c r="BO9" s="247" t="n">
        <v>0.5769230769230769</v>
      </c>
      <c r="BP9" s="247" t="n">
        <v>0.7576923076923077</v>
      </c>
      <c r="BQ9" s="247" t="n">
        <v>0.6505376344086021</v>
      </c>
      <c r="BR9" s="247" t="n">
        <v>0.5684931506849316</v>
      </c>
      <c r="BS9" s="247" t="n">
        <v>0.4311594202898551</v>
      </c>
      <c r="BT9" s="247" t="n">
        <v>0.5923076923076923</v>
      </c>
      <c r="BU9" s="247" t="n">
        <v>0.4923076923076923</v>
      </c>
      <c r="BV9" s="247" t="n">
        <v>0.6182795698924731</v>
      </c>
      <c r="BW9" s="247" t="n">
        <v>0.7928571428571428</v>
      </c>
      <c r="BX9" s="247" t="n">
        <v>0.7840909090909091</v>
      </c>
      <c r="BY9" s="247" t="n">
        <v>0.7671957671957672</v>
      </c>
      <c r="BZ9" s="247" t="n">
        <v>0.7724867724867724</v>
      </c>
      <c r="CA9" s="247" t="n">
        <v>0.7853107344632768</v>
      </c>
      <c r="CB9" s="249" t="n">
        <v>0.5588235294117647</v>
      </c>
      <c r="CC9" s="249" t="n">
        <v>0.5390625</v>
      </c>
      <c r="CD9" s="249" t="n">
        <v>0.5737704918032787</v>
      </c>
      <c r="CE9" s="249" t="n">
        <v>0.5409836065573771</v>
      </c>
      <c r="CF9" s="249" t="n">
        <v>0.5847953216374269</v>
      </c>
    </row>
    <row r="10">
      <c r="C10" s="122" t="inlineStr">
        <is>
          <t>6</t>
        </is>
      </c>
      <c r="D10" s="247" t="n">
        <v>0.6725352112676056</v>
      </c>
      <c r="E10" s="248" t="n">
        <v>0.503731343283582</v>
      </c>
      <c r="F10" s="247" t="n">
        <v>0.71875</v>
      </c>
      <c r="G10" s="247" t="n">
        <v>0.6666666666666666</v>
      </c>
      <c r="H10" s="248" t="n">
        <v>0.6166666666666667</v>
      </c>
      <c r="I10" s="248" t="n">
        <v>0.527027027027027</v>
      </c>
      <c r="J10" s="248" t="n">
        <v>0.6892857142857143</v>
      </c>
      <c r="K10" s="248" t="n">
        <v>0.4583333333333333</v>
      </c>
      <c r="L10" s="248" t="n">
        <v>0.6174242424242424</v>
      </c>
      <c r="M10" s="248" t="n">
        <v>0.5978835978835979</v>
      </c>
      <c r="N10" s="249" t="n">
        <v>0.8614864864864865</v>
      </c>
      <c r="O10" s="249" t="n">
        <v>0.6317567567567568</v>
      </c>
      <c r="P10" s="249" t="n">
        <v>0.5445205479452054</v>
      </c>
      <c r="Q10" s="247" t="n">
        <v>0.7195945945945946</v>
      </c>
      <c r="R10" s="247" t="n">
        <v>0.875</v>
      </c>
      <c r="S10" s="247" t="n">
        <v>0.7954545454545454</v>
      </c>
      <c r="T10" s="247" t="n">
        <v>0.803030303030303</v>
      </c>
      <c r="U10" s="247" t="n">
        <v>0.873015873015873</v>
      </c>
      <c r="V10" s="250" t="n">
        <v>0.5321428571428571</v>
      </c>
      <c r="W10" s="250" t="n">
        <v>0.678030303030303</v>
      </c>
      <c r="X10" s="250" t="n">
        <v>0.6190476190476191</v>
      </c>
      <c r="Y10" s="250" t="n">
        <v>0.6243386243386243</v>
      </c>
      <c r="Z10" s="250" t="n">
        <v>0.6271186440677966</v>
      </c>
      <c r="AA10" s="250" t="n">
        <v>0.5540540540540541</v>
      </c>
      <c r="AB10" s="250" t="n">
        <v>0.6607142857142857</v>
      </c>
      <c r="AC10" s="249" t="n">
        <v>0.4848484848484849</v>
      </c>
      <c r="AD10" s="249" t="n">
        <v>0.5303030303030303</v>
      </c>
      <c r="AE10" s="249" t="n">
        <v>0.5873015873015873</v>
      </c>
      <c r="AF10" s="249" t="n">
        <v>0.5506756756756757</v>
      </c>
      <c r="AG10" s="249" t="n">
        <v>0.5033783783783784</v>
      </c>
      <c r="AH10" s="249" t="n">
        <v>0.5342465753424658</v>
      </c>
      <c r="AI10" s="248" t="n">
        <v>0.6148648648648649</v>
      </c>
      <c r="AJ10" s="248" t="n">
        <v>0.5535714285714286</v>
      </c>
      <c r="AK10" s="248" t="n">
        <v>0.5643939393939394</v>
      </c>
      <c r="AL10" s="248" t="n">
        <v>0.4962121212121212</v>
      </c>
      <c r="AM10" s="248" t="n">
        <v>0.5185185185185185</v>
      </c>
      <c r="AN10" s="248" t="n">
        <v>0.5743243243243243</v>
      </c>
      <c r="AO10" s="248" t="n">
        <v>0.6678571428571428</v>
      </c>
      <c r="AP10" s="247" t="n">
        <v>0.678030303030303</v>
      </c>
      <c r="AQ10" s="247" t="n">
        <v>0.6477272727272727</v>
      </c>
      <c r="AR10" s="247" t="n">
        <v>0.7619047619047619</v>
      </c>
      <c r="AS10" s="247" t="n">
        <v>0.5202702702702703</v>
      </c>
      <c r="AT10" s="247" t="n">
        <v>0.5357142857142857</v>
      </c>
      <c r="AU10" s="247" t="n">
        <v>0.5151515151515151</v>
      </c>
      <c r="AV10" s="247" t="n">
        <v>0.5227272727272727</v>
      </c>
      <c r="AW10" s="247" t="n">
        <v>0.5925925925925926</v>
      </c>
      <c r="AX10" s="247" t="n">
        <v>0.5304054054054054</v>
      </c>
      <c r="AY10" s="247" t="n">
        <v>0.7678571428571429</v>
      </c>
      <c r="AZ10" s="247" t="n">
        <v>0.4583333333333333</v>
      </c>
      <c r="BA10" s="247" t="n">
        <v>0.6022727272727273</v>
      </c>
      <c r="BB10" s="247" t="n">
        <v>0.5661375661375662</v>
      </c>
      <c r="BC10" s="247" t="n">
        <v>0.6959459459459459</v>
      </c>
      <c r="BD10" s="247" t="n">
        <v>0.825</v>
      </c>
      <c r="BE10" s="247" t="n">
        <v>0.6060606060606061</v>
      </c>
      <c r="BF10" s="247" t="n">
        <v>0.678030303030303</v>
      </c>
      <c r="BG10" s="247" t="n">
        <v>0.582010582010582</v>
      </c>
      <c r="BH10" s="247" t="n">
        <v>0.5376712328767124</v>
      </c>
      <c r="BI10" s="247" t="n">
        <v>0.5942028985507246</v>
      </c>
      <c r="BJ10" s="247" t="n">
        <v>0.4807692307692308</v>
      </c>
      <c r="BK10" s="247" t="n">
        <v>0.5576923076923077</v>
      </c>
      <c r="BL10" s="247" t="n">
        <v>0.4677419354838709</v>
      </c>
      <c r="BM10" s="247" t="n">
        <v>0.7263513513513513</v>
      </c>
      <c r="BN10" s="247" t="n">
        <v>0.8535714285714285</v>
      </c>
      <c r="BO10" s="247" t="n">
        <v>0.6174242424242424</v>
      </c>
      <c r="BP10" s="247" t="n">
        <v>0.7840909090909091</v>
      </c>
      <c r="BQ10" s="247" t="n">
        <v>0.708994708994709</v>
      </c>
      <c r="BR10" s="247" t="n">
        <v>0.4831081081081081</v>
      </c>
      <c r="BS10" s="247" t="n">
        <v>0.6321428571428571</v>
      </c>
      <c r="BT10" s="247" t="n">
        <v>0.4810606060606061</v>
      </c>
      <c r="BU10" s="247" t="n">
        <v>0.6060606060606061</v>
      </c>
      <c r="BV10" s="247" t="n">
        <v>0.5238095238095238</v>
      </c>
      <c r="BW10" s="247" t="n">
        <v>0.5035211267605634</v>
      </c>
      <c r="BX10" s="247" t="n">
        <v>0.5559701492537313</v>
      </c>
      <c r="BY10" s="247" t="n">
        <v>0.6458333333333334</v>
      </c>
      <c r="BZ10" s="247" t="n">
        <v>0.6302083333333334</v>
      </c>
      <c r="CA10" s="247" t="n">
        <v>0.6111111111111112</v>
      </c>
      <c r="CB10" s="249" t="n">
        <v>0.6376811594202898</v>
      </c>
      <c r="CC10" s="249" t="n">
        <v>0.5923076923076923</v>
      </c>
      <c r="CD10" s="249" t="n">
        <v>0.4731182795698925</v>
      </c>
      <c r="CE10" s="249" t="n">
        <v>0.5268817204301075</v>
      </c>
      <c r="CF10" s="249" t="n">
        <v>0.5862068965517241</v>
      </c>
    </row>
    <row r="11">
      <c r="C11" s="122" t="inlineStr">
        <is>
          <t>5</t>
        </is>
      </c>
      <c r="D11" s="247" t="n">
        <v>0.6631944444444444</v>
      </c>
      <c r="E11" s="248" t="n">
        <v>0.5992647058823529</v>
      </c>
      <c r="F11" s="247" t="n">
        <v>0.6171875</v>
      </c>
      <c r="G11" s="247" t="n">
        <v>0.4921875</v>
      </c>
      <c r="H11" s="248" t="n">
        <v>0.644808743169399</v>
      </c>
      <c r="I11" s="248" t="n">
        <v>0.5766666666666667</v>
      </c>
      <c r="J11" s="248" t="n">
        <v>0.7394366197183099</v>
      </c>
      <c r="K11" s="248" t="n">
        <v>0.585820895522388</v>
      </c>
      <c r="L11" s="248" t="n">
        <v>0.6455223880597015</v>
      </c>
      <c r="M11" s="248" t="n">
        <v>0.609375</v>
      </c>
      <c r="N11" s="249" t="n">
        <v>0.7333333333333333</v>
      </c>
      <c r="O11" s="249" t="n">
        <v>0.7766666666666666</v>
      </c>
      <c r="P11" s="249" t="n">
        <v>0.6081081081081081</v>
      </c>
      <c r="Q11" s="247" t="n">
        <v>0.5933333333333334</v>
      </c>
      <c r="R11" s="247" t="n">
        <v>0.5985915492957746</v>
      </c>
      <c r="S11" s="247" t="n">
        <v>0.7425373134328358</v>
      </c>
      <c r="T11" s="247" t="n">
        <v>0.6305970149253731</v>
      </c>
      <c r="U11" s="247" t="n">
        <v>0.7604166666666666</v>
      </c>
      <c r="V11" s="250" t="n">
        <v>0.5704225352112676</v>
      </c>
      <c r="W11" s="250" t="n">
        <v>0.7052238805970149</v>
      </c>
      <c r="X11" s="250" t="n">
        <v>0.6041666666666666</v>
      </c>
      <c r="Y11" s="250" t="n">
        <v>0.5729166666666666</v>
      </c>
      <c r="Z11" s="250" t="n">
        <v>0.5944444444444444</v>
      </c>
      <c r="AA11" s="250" t="n">
        <v>0.5833333333333334</v>
      </c>
      <c r="AB11" s="250" t="n">
        <v>0.6302816901408451</v>
      </c>
      <c r="AC11" s="249" t="n">
        <v>0.4813432835820896</v>
      </c>
      <c r="AD11" s="249" t="n">
        <v>0.5485074626865671</v>
      </c>
      <c r="AE11" s="249" t="n">
        <v>0.5572916666666666</v>
      </c>
      <c r="AF11" s="249" t="n">
        <v>0.5266666666666666</v>
      </c>
      <c r="AG11" s="249" t="n">
        <v>0.51</v>
      </c>
      <c r="AH11" s="249" t="n">
        <v>0.5236486486486487</v>
      </c>
      <c r="AI11" s="248" t="n">
        <v>0.55</v>
      </c>
      <c r="AJ11" s="248" t="n">
        <v>0.602112676056338</v>
      </c>
      <c r="AK11" s="248" t="n">
        <v>0.5410447761194029</v>
      </c>
      <c r="AL11" s="248" t="n">
        <v>0.5671641791044776</v>
      </c>
      <c r="AM11" s="248" t="n">
        <v>0.5572916666666666</v>
      </c>
      <c r="AN11" s="248" t="n">
        <v>0.7433333333333333</v>
      </c>
      <c r="AO11" s="248" t="n">
        <v>0.8028169014084507</v>
      </c>
      <c r="AP11" s="247" t="n">
        <v>0.7313432835820896</v>
      </c>
      <c r="AQ11" s="247" t="n">
        <v>0.832089552238806</v>
      </c>
      <c r="AR11" s="247" t="n">
        <v>0.859375</v>
      </c>
      <c r="AS11" s="247" t="n">
        <v>0.52</v>
      </c>
      <c r="AT11" s="247" t="n">
        <v>0.528169014084507</v>
      </c>
      <c r="AU11" s="247" t="n">
        <v>0.5186567164179104</v>
      </c>
      <c r="AV11" s="247" t="n">
        <v>0.5149253731343284</v>
      </c>
      <c r="AW11" s="247" t="n">
        <v>0.5989583333333334</v>
      </c>
      <c r="AX11" s="247" t="n">
        <v>0.5433333333333333</v>
      </c>
      <c r="AY11" s="247" t="n">
        <v>0.7464788732394366</v>
      </c>
      <c r="AZ11" s="247" t="n">
        <v>0.5932835820895522</v>
      </c>
      <c r="BA11" s="247" t="n">
        <v>0.6194029850746269</v>
      </c>
      <c r="BB11" s="247" t="n">
        <v>0.5729166666666666</v>
      </c>
      <c r="BC11" s="247" t="n">
        <v>0.74</v>
      </c>
      <c r="BD11" s="247" t="n">
        <v>0.8450704225352113</v>
      </c>
      <c r="BE11" s="247" t="n">
        <v>0.6529850746268657</v>
      </c>
      <c r="BF11" s="247" t="n">
        <v>0.7574626865671642</v>
      </c>
      <c r="BG11" s="247" t="n">
        <v>0.609375</v>
      </c>
      <c r="BH11" s="247" t="n">
        <v>0.5</v>
      </c>
      <c r="BI11" s="247" t="n">
        <v>0.6964285714285714</v>
      </c>
      <c r="BJ11" s="247" t="n">
        <v>0.5303030303030303</v>
      </c>
      <c r="BK11" s="247" t="n">
        <v>0.5681818181818182</v>
      </c>
      <c r="BL11" s="247" t="n">
        <v>0.4761904761904762</v>
      </c>
      <c r="BM11" s="247" t="n">
        <v>0.67</v>
      </c>
      <c r="BN11" s="247" t="n">
        <v>0.6443661971830986</v>
      </c>
      <c r="BO11" s="247" t="n">
        <v>0.7126865671641791</v>
      </c>
      <c r="BP11" s="247" t="n">
        <v>0.7164179104477612</v>
      </c>
      <c r="BQ11" s="247" t="n">
        <v>0.6510416666666666</v>
      </c>
      <c r="BR11" s="247" t="n">
        <v>0.5666666666666667</v>
      </c>
      <c r="BS11" s="247" t="n">
        <v>0.6690140845070423</v>
      </c>
      <c r="BT11" s="247" t="n">
        <v>0.5783582089552238</v>
      </c>
      <c r="BU11" s="247" t="n">
        <v>0.6455223880597015</v>
      </c>
      <c r="BV11" s="247" t="n">
        <v>0.59375</v>
      </c>
      <c r="BW11" s="247" t="n">
        <v>0.8274647887323944</v>
      </c>
      <c r="BX11" s="247" t="n">
        <v>0.9029850746268657</v>
      </c>
      <c r="BY11" s="247" t="n">
        <v>0.5357142857142857</v>
      </c>
      <c r="BZ11" s="247" t="n">
        <v>0.8531746031746031</v>
      </c>
      <c r="CA11" s="247" t="n">
        <v>0.8444444444444444</v>
      </c>
      <c r="CB11" s="249" t="n">
        <v>0.6678571428571428</v>
      </c>
      <c r="CC11" s="249" t="n">
        <v>0.5909090909090909</v>
      </c>
      <c r="CD11" s="249" t="n">
        <v>0.4444444444444444</v>
      </c>
      <c r="CE11" s="249" t="n">
        <v>0.492063492063492</v>
      </c>
      <c r="CF11" s="249" t="n">
        <v>0.5988700564971752</v>
      </c>
    </row>
    <row r="12">
      <c r="C12" s="122" t="inlineStr">
        <is>
          <t>4</t>
        </is>
      </c>
      <c r="D12" s="247" t="n">
        <v>0.5924657534246576</v>
      </c>
      <c r="E12" s="248" t="n">
        <v>0.6195652173913043</v>
      </c>
      <c r="F12" s="247" t="n">
        <v>0.5538461538461539</v>
      </c>
      <c r="G12" s="247" t="n">
        <v>0.5307692307692308</v>
      </c>
      <c r="H12" s="248" t="n">
        <v>0.6344086021505376</v>
      </c>
      <c r="I12" s="248" t="n">
        <v>0.5855263157894737</v>
      </c>
      <c r="J12" s="248" t="n">
        <v>0.6666666666666666</v>
      </c>
      <c r="K12" s="248" t="n">
        <v>0.5919117647058824</v>
      </c>
      <c r="L12" s="248" t="n">
        <v>0.6654411764705882</v>
      </c>
      <c r="M12" s="248" t="n">
        <v>0.58984375</v>
      </c>
      <c r="N12" s="249" t="n">
        <v>0.6447368421052632</v>
      </c>
      <c r="O12" s="249" t="n">
        <v>0.7894736842105263</v>
      </c>
      <c r="P12" s="249" t="n">
        <v>0.5966666666666667</v>
      </c>
      <c r="Q12" s="247" t="n">
        <v>0.5049342105263158</v>
      </c>
      <c r="R12" s="247" t="n">
        <v>0.6805555555555556</v>
      </c>
      <c r="S12" s="247" t="n">
        <v>0.6617647058823529</v>
      </c>
      <c r="T12" s="247" t="n">
        <v>0.5183823529411765</v>
      </c>
      <c r="U12" s="247" t="n">
        <v>0.57421875</v>
      </c>
      <c r="V12" s="250" t="n">
        <v>0.6006944444444444</v>
      </c>
      <c r="W12" s="250" t="n">
        <v>0.5955882352941176</v>
      </c>
      <c r="X12" s="250" t="n">
        <v>0.609375</v>
      </c>
      <c r="Y12" s="250" t="n">
        <v>0.625</v>
      </c>
      <c r="Z12" s="250" t="n">
        <v>0.5628415300546448</v>
      </c>
      <c r="AA12" s="250" t="n">
        <v>0.5789473684210527</v>
      </c>
      <c r="AB12" s="250" t="n">
        <v>0.5625</v>
      </c>
      <c r="AC12" s="249" t="n">
        <v>0.5257352941176471</v>
      </c>
      <c r="AD12" s="249" t="n">
        <v>0.5845588235294118</v>
      </c>
      <c r="AE12" s="249" t="n">
        <v>0.5</v>
      </c>
      <c r="AF12" s="249" t="n">
        <v>0.4967105263157895</v>
      </c>
      <c r="AG12" s="249" t="n">
        <v>0.6118421052631579</v>
      </c>
      <c r="AH12" s="249" t="n">
        <v>0.5133333333333333</v>
      </c>
      <c r="AI12" s="248" t="n">
        <v>0.5921052631578947</v>
      </c>
      <c r="AJ12" s="248" t="n">
        <v>0.5868055555555556</v>
      </c>
      <c r="AK12" s="248" t="n">
        <v>0.5220588235294118</v>
      </c>
      <c r="AL12" s="248" t="n">
        <v>0.5588235294117647</v>
      </c>
      <c r="AM12" s="248" t="n">
        <v>0.52734375</v>
      </c>
      <c r="AN12" s="248" t="n">
        <v>0.7467105263157895</v>
      </c>
      <c r="AO12" s="248" t="n">
        <v>0.7395833333333334</v>
      </c>
      <c r="AP12" s="247" t="n">
        <v>0.7463235294117647</v>
      </c>
      <c r="AQ12" s="247" t="n">
        <v>0.7977941176470589</v>
      </c>
      <c r="AR12" s="247" t="n">
        <v>0.78125</v>
      </c>
      <c r="AS12" s="247" t="n">
        <v>0.4736842105263158</v>
      </c>
      <c r="AT12" s="247" t="n">
        <v>0.6284722222222222</v>
      </c>
      <c r="AU12" s="247" t="n">
        <v>0.4705882352941176</v>
      </c>
      <c r="AV12" s="247" t="n">
        <v>0.5845588235294118</v>
      </c>
      <c r="AW12" s="247" t="n">
        <v>0.5546875</v>
      </c>
      <c r="AX12" s="247" t="n">
        <v>0.5098684210526315</v>
      </c>
      <c r="AY12" s="247" t="n">
        <v>0.6527777777777778</v>
      </c>
      <c r="AZ12" s="247" t="n">
        <v>0.5625</v>
      </c>
      <c r="BA12" s="247" t="n">
        <v>0.6286764705882353</v>
      </c>
      <c r="BB12" s="247" t="n">
        <v>0.5390625</v>
      </c>
      <c r="BC12" s="247" t="n">
        <v>0.7269736842105263</v>
      </c>
      <c r="BD12" s="247" t="n">
        <v>0.78125</v>
      </c>
      <c r="BE12" s="247" t="n">
        <v>0.6654411764705882</v>
      </c>
      <c r="BF12" s="247" t="n">
        <v>0.7536764705882353</v>
      </c>
      <c r="BG12" s="247" t="n">
        <v>0.6875</v>
      </c>
      <c r="BH12" s="247" t="n">
        <v>0.5333333333333333</v>
      </c>
      <c r="BI12" s="247" t="n">
        <v>0.647887323943662</v>
      </c>
      <c r="BJ12" s="247" t="n">
        <v>0.5298507462686567</v>
      </c>
      <c r="BK12" s="247" t="n">
        <v>0.6492537313432836</v>
      </c>
      <c r="BL12" s="247" t="n">
        <v>0.4427083333333333</v>
      </c>
      <c r="BM12" s="247" t="n">
        <v>0.6480263157894737</v>
      </c>
      <c r="BN12" s="247" t="n">
        <v>0.5034722222222222</v>
      </c>
      <c r="BO12" s="247" t="n">
        <v>0.6911764705882353</v>
      </c>
      <c r="BP12" s="247" t="n">
        <v>0.6323529411764706</v>
      </c>
      <c r="BQ12" s="247" t="n">
        <v>0.6640625</v>
      </c>
      <c r="BR12" s="247" t="n">
        <v>0.6019736842105263</v>
      </c>
      <c r="BS12" s="247" t="n">
        <v>0.7256944444444444</v>
      </c>
      <c r="BT12" s="247" t="n">
        <v>0.6066176470588235</v>
      </c>
      <c r="BU12" s="247" t="n">
        <v>0.6727941176470589</v>
      </c>
      <c r="BV12" s="247" t="n">
        <v>0.64453125</v>
      </c>
      <c r="BW12" s="247" t="n">
        <v>0.8274647887323944</v>
      </c>
      <c r="BX12" s="247" t="n">
        <v>0.8805970149253731</v>
      </c>
      <c r="BY12" s="247" t="n">
        <v>0.5198412698412699</v>
      </c>
      <c r="BZ12" s="247" t="n">
        <v>0.8174603174603174</v>
      </c>
      <c r="CA12" s="247" t="n">
        <v>0.8277777777777777</v>
      </c>
      <c r="CB12" s="249" t="n">
        <v>0.704225352112676</v>
      </c>
      <c r="CC12" s="249" t="n">
        <v>0.6529850746268657</v>
      </c>
      <c r="CD12" s="249" t="n">
        <v>0.4947916666666667</v>
      </c>
      <c r="CE12" s="249" t="n">
        <v>0.546875</v>
      </c>
      <c r="CF12" s="249" t="n">
        <v>0.6277777777777778</v>
      </c>
    </row>
    <row r="14">
      <c r="C14" s="122" t="n">
        <v>-12</v>
      </c>
      <c r="D14" s="247" t="n">
        <v>-0.01153846153846155</v>
      </c>
      <c r="E14" s="247" t="n">
        <v>0.1505376344086021</v>
      </c>
      <c r="F14" s="247" t="n">
        <v>0.2471264367816092</v>
      </c>
      <c r="G14" s="247" t="n">
        <v>0.2413793103448276</v>
      </c>
      <c r="H14" s="247" t="n">
        <v>0.1727272727272727</v>
      </c>
      <c r="I14" s="247" t="n">
        <v>0.06617647058823528</v>
      </c>
      <c r="J14" s="247" t="n">
        <v>0.1171875</v>
      </c>
      <c r="K14" s="247" t="n">
        <v>0.002732240437158473</v>
      </c>
      <c r="L14" s="247" t="n">
        <v>0.0300546448087432</v>
      </c>
      <c r="M14" s="247" t="n">
        <v>0.04385964912280704</v>
      </c>
      <c r="N14" s="247" t="n">
        <v>0.2242647058823529</v>
      </c>
      <c r="O14" s="247" t="n">
        <v>0.1544117647058824</v>
      </c>
      <c r="P14" s="247" t="n">
        <v>0.2052238805970149</v>
      </c>
      <c r="Q14" s="247" t="n">
        <v>0.2610294117647058</v>
      </c>
      <c r="R14" s="247" t="n">
        <v>0.08203125</v>
      </c>
      <c r="S14" s="247" t="n">
        <v>0.2213114754098361</v>
      </c>
      <c r="T14" s="247" t="n">
        <v>0.0901639344262295</v>
      </c>
      <c r="U14" s="247" t="n">
        <v>0.1257309941520468</v>
      </c>
      <c r="V14" s="247" t="n">
        <v>0.0546875</v>
      </c>
      <c r="W14" s="247" t="n">
        <v>0.1010928961748634</v>
      </c>
      <c r="X14" s="247" t="n">
        <v>0.07309941520467833</v>
      </c>
      <c r="Y14" s="247" t="n">
        <v>0.09064327485380119</v>
      </c>
      <c r="Z14" s="247" t="n">
        <v>0.02777777777777779</v>
      </c>
      <c r="AA14" s="247" t="n">
        <v>0.003676470588235281</v>
      </c>
      <c r="AB14" s="247" t="n">
        <v>0.19921875</v>
      </c>
      <c r="AC14" s="247" t="n">
        <v>-0.04098360655737704</v>
      </c>
      <c r="AD14" s="247" t="n">
        <v>0.1338797814207651</v>
      </c>
      <c r="AE14" s="247" t="n">
        <v>0.08479532163742687</v>
      </c>
      <c r="AF14" s="247" t="n">
        <v>0.09191176470588236</v>
      </c>
      <c r="AG14" s="247" t="n">
        <v>0.01838235294117652</v>
      </c>
      <c r="AH14" s="247" t="n">
        <v>-0.0037313432835821</v>
      </c>
      <c r="AI14" s="247" t="n">
        <v>0.1544117647058824</v>
      </c>
      <c r="AJ14" s="247" t="n">
        <v>0.16015625</v>
      </c>
      <c r="AK14" s="247" t="n">
        <v>-0.01366120218579236</v>
      </c>
      <c r="AL14" s="247" t="n">
        <v>0.04644808743169404</v>
      </c>
      <c r="AM14" s="247" t="n">
        <v>0.08479532163742687</v>
      </c>
      <c r="AN14" s="247" t="n">
        <v>0.1911764705882353</v>
      </c>
      <c r="AO14" s="247" t="n">
        <v>-0.00390625</v>
      </c>
      <c r="AP14" s="247" t="n">
        <v>0.3743169398907104</v>
      </c>
      <c r="AQ14" s="247" t="n">
        <v>0.226775956284153</v>
      </c>
      <c r="AR14" s="247" t="n">
        <v>0.3187134502923976</v>
      </c>
      <c r="AS14" s="247" t="n">
        <v>0.003676470588235281</v>
      </c>
      <c r="AT14" s="247" t="n">
        <v>0.03515625</v>
      </c>
      <c r="AU14" s="247" t="n">
        <v>0.07923497267759561</v>
      </c>
      <c r="AV14" s="247" t="n">
        <v>0.03551912568306015</v>
      </c>
      <c r="AW14" s="247" t="n">
        <v>0.03801169590643272</v>
      </c>
      <c r="AX14" s="247" t="n">
        <v>0.04411764705882348</v>
      </c>
      <c r="AY14" s="247" t="n">
        <v>0.20703125</v>
      </c>
      <c r="AZ14" s="247" t="n">
        <v>-0.02459016393442626</v>
      </c>
      <c r="BA14" s="247" t="n">
        <v>0.0901639344262295</v>
      </c>
      <c r="BB14" s="247" t="n">
        <v>0.008771929824561431</v>
      </c>
      <c r="BC14" s="247" t="n">
        <v>0.06985294117647056</v>
      </c>
      <c r="BD14" s="247" t="n">
        <v>0.16015625</v>
      </c>
      <c r="BE14" s="247" t="n">
        <v>-0.03005464480874315</v>
      </c>
      <c r="BF14" s="247" t="n">
        <v>0.1010928961748634</v>
      </c>
      <c r="BG14" s="247" t="n">
        <v>0.05555555555555558</v>
      </c>
      <c r="BH14" s="247" t="n">
        <v>-0.04104477611940299</v>
      </c>
      <c r="BI14" s="247" t="n">
        <v>0.2604166666666666</v>
      </c>
      <c r="BJ14" s="247" t="n">
        <v>0.2388888888888889</v>
      </c>
      <c r="BK14" s="247" t="n">
        <v>0.25</v>
      </c>
      <c r="BL14" s="247" t="n">
        <v>0.2738095238095238</v>
      </c>
      <c r="BM14" s="247" t="n">
        <v>0.06617647058823528</v>
      </c>
      <c r="BN14" s="247" t="n">
        <v>0.2109375</v>
      </c>
      <c r="BO14" s="247" t="n">
        <v>0.05737704918032782</v>
      </c>
      <c r="BP14" s="247" t="n">
        <v>0.1612021857923497</v>
      </c>
      <c r="BQ14" s="247" t="n">
        <v>0.1140350877192983</v>
      </c>
      <c r="BR14" s="247" t="n">
        <v>0.02941176470588236</v>
      </c>
      <c r="BS14" s="247" t="n">
        <v>0.05078125</v>
      </c>
      <c r="BT14" s="247" t="n">
        <v>0.1174863387978142</v>
      </c>
      <c r="BU14" s="247" t="n">
        <v>0.05737704918032782</v>
      </c>
      <c r="BV14" s="247" t="n">
        <v>0.07309941520467833</v>
      </c>
      <c r="BW14" s="247" t="n">
        <v>0.2346153846153847</v>
      </c>
      <c r="BX14" s="247" t="n">
        <v>0.1559139784946236</v>
      </c>
      <c r="BY14" s="247" t="n">
        <v>0.02873563218390807</v>
      </c>
      <c r="BZ14" s="247" t="n">
        <v>0.132183908045977</v>
      </c>
      <c r="CA14" s="247" t="n">
        <v>0.1636363636363637</v>
      </c>
      <c r="CB14" s="247" t="n">
        <v>0.1145833333333334</v>
      </c>
      <c r="CC14" s="247" t="n">
        <v>0.3222222222222222</v>
      </c>
      <c r="CD14" s="247" t="n">
        <v>0.125</v>
      </c>
      <c r="CE14" s="247" t="n">
        <v>0.3392857142857143</v>
      </c>
      <c r="CF14" s="247" t="n">
        <v>0</v>
      </c>
    </row>
    <row r="15">
      <c r="C15" s="122" t="n">
        <v>-11</v>
      </c>
      <c r="D15" s="247" t="n">
        <v>0.07954545454545459</v>
      </c>
      <c r="E15" s="247" t="n">
        <v>0.044973544973545</v>
      </c>
      <c r="F15" s="247" t="n">
        <v>0.155367231638418</v>
      </c>
      <c r="G15" s="247" t="n">
        <v>0.03107344632768361</v>
      </c>
      <c r="H15" s="247" t="n">
        <v>-0.008928571428571452</v>
      </c>
      <c r="I15" s="247" t="n">
        <v>0.1702898550724637</v>
      </c>
      <c r="J15" s="247" t="n">
        <v>0.1884615384615385</v>
      </c>
      <c r="K15" s="247" t="n">
        <v>0.1075268817204301</v>
      </c>
      <c r="L15" s="247" t="n">
        <v>0.1505376344086021</v>
      </c>
      <c r="M15" s="247" t="n">
        <v>0.1149425287356322</v>
      </c>
      <c r="N15" s="247" t="n">
        <v>0.2101449275362319</v>
      </c>
      <c r="O15" s="247" t="n">
        <v>0.1666666666666666</v>
      </c>
      <c r="P15" s="247" t="n">
        <v>0.2095588235294118</v>
      </c>
      <c r="Q15" s="247" t="n">
        <v>0.2663043478260869</v>
      </c>
      <c r="R15" s="247" t="n">
        <v>0.1192307692307693</v>
      </c>
      <c r="S15" s="247" t="n">
        <v>0.1827956989247311</v>
      </c>
      <c r="T15" s="247" t="n">
        <v>0.09139784946236562</v>
      </c>
      <c r="U15" s="247" t="n">
        <v>0.1954022988505747</v>
      </c>
      <c r="V15" s="247" t="n">
        <v>0.03846153846153844</v>
      </c>
      <c r="W15" s="247" t="n">
        <v>0.032258064516129</v>
      </c>
      <c r="X15" s="247" t="n">
        <v>0.07471264367816088</v>
      </c>
      <c r="Y15" s="247" t="n">
        <v>0.07471264367816088</v>
      </c>
      <c r="Z15" s="247" t="n">
        <v>0</v>
      </c>
      <c r="AA15" s="247" t="n">
        <v>0.1159420289855072</v>
      </c>
      <c r="AB15" s="247" t="n">
        <v>0.1730769230769231</v>
      </c>
      <c r="AC15" s="247" t="n">
        <v>0.06451612903225812</v>
      </c>
      <c r="AD15" s="247" t="n">
        <v>0.1397849462365591</v>
      </c>
      <c r="AE15" s="247" t="n">
        <v>0.08620689655172409</v>
      </c>
      <c r="AF15" s="247" t="n">
        <v>0.04710144927536231</v>
      </c>
      <c r="AG15" s="247" t="n">
        <v>0.01086956521739135</v>
      </c>
      <c r="AH15" s="247" t="n">
        <v>0.04779411764705888</v>
      </c>
      <c r="AI15" s="247" t="n">
        <v>0.1811594202898551</v>
      </c>
      <c r="AJ15" s="247" t="n">
        <v>0.1461538461538462</v>
      </c>
      <c r="AK15" s="247" t="n">
        <v>-0.021505376344086</v>
      </c>
      <c r="AL15" s="247" t="n">
        <v>0.08602150537634412</v>
      </c>
      <c r="AM15" s="247" t="n">
        <v>0.06321839080459768</v>
      </c>
      <c r="AN15" s="247" t="n">
        <v>0.2246376811594203</v>
      </c>
      <c r="AO15" s="247" t="n">
        <v>-0.0346153846153846</v>
      </c>
      <c r="AP15" s="247" t="n">
        <v>0.3494623655913979</v>
      </c>
      <c r="AQ15" s="247" t="n">
        <v>0.2258064516129032</v>
      </c>
      <c r="AR15" s="247" t="n">
        <v>0.3275862068965517</v>
      </c>
      <c r="AS15" s="247" t="n">
        <v>0.1086956521739131</v>
      </c>
      <c r="AT15" s="247" t="n">
        <v>0.007692307692307665</v>
      </c>
      <c r="AU15" s="247" t="n">
        <v>0.1451612903225806</v>
      </c>
      <c r="AV15" s="247" t="n">
        <v>0.1182795698924731</v>
      </c>
      <c r="AW15" s="247" t="n">
        <v>0.132183908045977</v>
      </c>
      <c r="AX15" s="247" t="n">
        <v>0.1666666666666666</v>
      </c>
      <c r="AY15" s="247" t="n">
        <v>0.2115384615384616</v>
      </c>
      <c r="AZ15" s="247" t="n">
        <v>0.1612903225806451</v>
      </c>
      <c r="BA15" s="247" t="n">
        <v>0.1935483870967742</v>
      </c>
      <c r="BB15" s="247" t="n">
        <v>0.1954022988505747</v>
      </c>
      <c r="BC15" s="247" t="n">
        <v>0.03260869565217395</v>
      </c>
      <c r="BD15" s="247" t="n">
        <v>0.1192307692307693</v>
      </c>
      <c r="BE15" s="247" t="n">
        <v>0.043010752688172</v>
      </c>
      <c r="BF15" s="247" t="n">
        <v>0.05376344086021501</v>
      </c>
      <c r="BG15" s="247" t="n">
        <v>0.03448275862068961</v>
      </c>
      <c r="BH15" s="247" t="n">
        <v>0.05514705882352944</v>
      </c>
      <c r="BI15" s="247" t="n">
        <v>0.04296875</v>
      </c>
      <c r="BJ15" s="247" t="n">
        <v>0.1721311475409836</v>
      </c>
      <c r="BK15" s="247" t="n">
        <v>0.01366120218579236</v>
      </c>
      <c r="BL15" s="247" t="n">
        <v>0.09064327485380119</v>
      </c>
      <c r="BM15" s="247" t="n">
        <v>0.07246376811594202</v>
      </c>
      <c r="BN15" s="247" t="n">
        <v>0.09999999999999998</v>
      </c>
      <c r="BO15" s="247" t="n">
        <v>0.04838709677419351</v>
      </c>
      <c r="BP15" s="247" t="n">
        <v>0.1236559139784946</v>
      </c>
      <c r="BQ15" s="247" t="n">
        <v>0.06896551724137934</v>
      </c>
      <c r="BR15" s="247" t="n">
        <v>0.08333333333333337</v>
      </c>
      <c r="BS15" s="247" t="n">
        <v>0.05384615384615388</v>
      </c>
      <c r="BT15" s="247" t="n">
        <v>0.1021505376344086</v>
      </c>
      <c r="BU15" s="247" t="n">
        <v>0.05376344086021501</v>
      </c>
      <c r="BV15" s="247" t="n">
        <v>0.06896551724137934</v>
      </c>
      <c r="BW15" s="247" t="n">
        <v>0.1401515151515151</v>
      </c>
      <c r="BX15" s="247" t="n">
        <v>0.09788359788359791</v>
      </c>
      <c r="BY15" s="247" t="n">
        <v>0.1666666666666666</v>
      </c>
      <c r="BZ15" s="247" t="n">
        <v>0.0423728813559322</v>
      </c>
      <c r="CA15" s="247" t="n">
        <v>0.0803571428571429</v>
      </c>
      <c r="CB15" s="247" t="n">
        <v>-0.01171875</v>
      </c>
      <c r="CC15" s="247" t="n">
        <v>0.2431693989071039</v>
      </c>
      <c r="CD15" s="247" t="n">
        <v>0.2894736842105263</v>
      </c>
      <c r="CE15" s="247" t="n">
        <v>0.4298245614035088</v>
      </c>
      <c r="CF15" s="247" t="n">
        <v>0.1666666666666666</v>
      </c>
    </row>
    <row r="16">
      <c r="C16" s="122" t="n">
        <v>-10</v>
      </c>
      <c r="D16" s="247" t="n">
        <v>0.1231343283582089</v>
      </c>
      <c r="E16" s="247" t="n">
        <v>0.2083333333333334</v>
      </c>
      <c r="F16" s="247" t="n">
        <v>0.005555555555555536</v>
      </c>
      <c r="G16" s="247" t="n">
        <v>0.1722222222222223</v>
      </c>
      <c r="H16" s="247" t="n">
        <v>0.02380952380952384</v>
      </c>
      <c r="I16" s="247" t="n">
        <v>0.3142857142857143</v>
      </c>
      <c r="J16" s="247" t="n">
        <v>0.2651515151515151</v>
      </c>
      <c r="K16" s="247" t="n">
        <v>0.2248677248677249</v>
      </c>
      <c r="L16" s="247" t="n">
        <v>0.298941798941799</v>
      </c>
      <c r="M16" s="247" t="n">
        <v>0.2457627118644068</v>
      </c>
      <c r="N16" s="247" t="n">
        <v>0.09285714285714286</v>
      </c>
      <c r="O16" s="247" t="n">
        <v>0.2071428571428572</v>
      </c>
      <c r="P16" s="247" t="n">
        <v>0.1847826086956522</v>
      </c>
      <c r="Q16" s="247" t="n">
        <v>0.2892857142857143</v>
      </c>
      <c r="R16" s="247" t="n">
        <v>-0.01136363636363635</v>
      </c>
      <c r="S16" s="247" t="n">
        <v>0.08201058201058198</v>
      </c>
      <c r="T16" s="247" t="n">
        <v>0.0714285714285714</v>
      </c>
      <c r="U16" s="247" t="n">
        <v>0.1497175141242938</v>
      </c>
      <c r="V16" s="247" t="n">
        <v>0.0492424242424242</v>
      </c>
      <c r="W16" s="247" t="n">
        <v>-0.02910052910052913</v>
      </c>
      <c r="X16" s="247" t="n">
        <v>0.06497175141242939</v>
      </c>
      <c r="Y16" s="247" t="n">
        <v>0.07062146892655363</v>
      </c>
      <c r="Z16" s="247" t="n">
        <v>0</v>
      </c>
      <c r="AA16" s="247" t="n">
        <v>0.03928571428571426</v>
      </c>
      <c r="AB16" s="247" t="n">
        <v>0.06818181818181823</v>
      </c>
      <c r="AC16" s="247" t="n">
        <v>0.06084656084656082</v>
      </c>
      <c r="AD16" s="247" t="n">
        <v>0.07671957671957674</v>
      </c>
      <c r="AE16" s="247" t="n">
        <v>0.04802259887005644</v>
      </c>
      <c r="AF16" s="247" t="n">
        <v>-0.02142857142857141</v>
      </c>
      <c r="AG16" s="247" t="n">
        <v>0.003571428571428559</v>
      </c>
      <c r="AH16" s="247" t="n">
        <v>0.105072463768116</v>
      </c>
      <c r="AI16" s="247" t="n">
        <v>0.1535714285714286</v>
      </c>
      <c r="AJ16" s="247" t="n">
        <v>0.06818181818181823</v>
      </c>
      <c r="AK16" s="247" t="n">
        <v>0.03968253968253965</v>
      </c>
      <c r="AL16" s="247" t="n">
        <v>0.02380952380952384</v>
      </c>
      <c r="AM16" s="247" t="n">
        <v>0.002824858757062176</v>
      </c>
      <c r="AN16" s="247" t="n">
        <v>0.2</v>
      </c>
      <c r="AO16" s="247" t="n">
        <v>0.02272727272727271</v>
      </c>
      <c r="AP16" s="247" t="n">
        <v>0.1031746031746031</v>
      </c>
      <c r="AQ16" s="247" t="n">
        <v>0.05026455026455023</v>
      </c>
      <c r="AR16" s="247" t="n">
        <v>0.211864406779661</v>
      </c>
      <c r="AS16" s="247" t="n">
        <v>0.1571428571428571</v>
      </c>
      <c r="AT16" s="247" t="n">
        <v>0.07196969696969702</v>
      </c>
      <c r="AU16" s="247" t="n">
        <v>0.2037037037037037</v>
      </c>
      <c r="AV16" s="247" t="n">
        <v>0.156084656084656</v>
      </c>
      <c r="AW16" s="247" t="n">
        <v>0.2231638418079096</v>
      </c>
      <c r="AX16" s="247" t="n">
        <v>0.2821428571428571</v>
      </c>
      <c r="AY16" s="247" t="n">
        <v>0.1742424242424242</v>
      </c>
      <c r="AZ16" s="247" t="n">
        <v>0.2195767195767195</v>
      </c>
      <c r="BA16" s="247" t="n">
        <v>0.2301587301587301</v>
      </c>
      <c r="BB16" s="247" t="n">
        <v>0.1779661016949152</v>
      </c>
      <c r="BC16" s="247" t="n">
        <v>0.003571428571428559</v>
      </c>
      <c r="BD16" s="247" t="n">
        <v>0.03030303030303028</v>
      </c>
      <c r="BE16" s="247" t="n">
        <v>0.01322751322751325</v>
      </c>
      <c r="BF16" s="247" t="n">
        <v>0.02910052910052907</v>
      </c>
      <c r="BG16" s="247" t="n">
        <v>0.02542372881355937</v>
      </c>
      <c r="BH16" s="247" t="n">
        <v>0.2173913043478261</v>
      </c>
      <c r="BI16" s="247" t="n">
        <v>0.09999999999999998</v>
      </c>
      <c r="BJ16" s="247" t="n">
        <v>0.04838709677419351</v>
      </c>
      <c r="BK16" s="247" t="n">
        <v>0.1720430107526881</v>
      </c>
      <c r="BL16" s="247" t="n">
        <v>0.05747126436781613</v>
      </c>
      <c r="BM16" s="247" t="n">
        <v>0.1071428571428571</v>
      </c>
      <c r="BN16" s="247" t="n">
        <v>0.05303030303030298</v>
      </c>
      <c r="BO16" s="247" t="n">
        <v>0.09788359788359791</v>
      </c>
      <c r="BP16" s="247" t="n">
        <v>0.1031746031746031</v>
      </c>
      <c r="BQ16" s="247" t="n">
        <v>0.04802259887005644</v>
      </c>
      <c r="BR16" s="247" t="n">
        <v>0.15</v>
      </c>
      <c r="BS16" s="247" t="n">
        <v>0.04166666666666663</v>
      </c>
      <c r="BT16" s="247" t="n">
        <v>0.1296296296296297</v>
      </c>
      <c r="BU16" s="247" t="n">
        <v>0.1402116402116402</v>
      </c>
      <c r="BV16" s="247" t="n">
        <v>0.1384180790960452</v>
      </c>
      <c r="BW16" s="247" t="n">
        <v>0.1492537313432836</v>
      </c>
      <c r="BX16" s="247" t="n">
        <v>0.0625</v>
      </c>
      <c r="BY16" s="247" t="n">
        <v>0.08333333333333337</v>
      </c>
      <c r="BZ16" s="247" t="n">
        <v>0.06111111111111112</v>
      </c>
      <c r="CA16" s="247" t="n">
        <v>-0.0357142857142857</v>
      </c>
      <c r="CB16" s="247" t="n">
        <v>0.0346153846153846</v>
      </c>
      <c r="CC16" s="247" t="n">
        <v>0.06989247311827962</v>
      </c>
      <c r="CD16" s="247" t="n">
        <v>0.3045977011494253</v>
      </c>
      <c r="CE16" s="247" t="n">
        <v>0.1954022988505747</v>
      </c>
      <c r="CF16" s="247" t="n">
        <v>0.2</v>
      </c>
    </row>
    <row r="17">
      <c r="C17" s="122" t="n">
        <v>-9</v>
      </c>
      <c r="D17" s="247" t="n">
        <v>0.2095588235294118</v>
      </c>
      <c r="E17" s="247" t="n">
        <v>0.3359375</v>
      </c>
      <c r="F17" s="247" t="n">
        <v>0.09562841530054644</v>
      </c>
      <c r="G17" s="247" t="n">
        <v>0.319672131147541</v>
      </c>
      <c r="H17" s="247" t="n">
        <v>0.1666666666666666</v>
      </c>
      <c r="I17" s="247" t="n">
        <v>0.2147887323943662</v>
      </c>
      <c r="J17" s="247" t="n">
        <v>0.1119402985074627</v>
      </c>
      <c r="K17" s="247" t="n">
        <v>0.1979166666666666</v>
      </c>
      <c r="L17" s="247" t="n">
        <v>0.171875</v>
      </c>
      <c r="M17" s="247" t="n">
        <v>0.1722222222222223</v>
      </c>
      <c r="N17" s="247" t="n">
        <v>0.09507042253521125</v>
      </c>
      <c r="O17" s="247" t="n">
        <v>0.03169014084507038</v>
      </c>
      <c r="P17" s="247" t="n">
        <v>0.02500000000000002</v>
      </c>
      <c r="Q17" s="247" t="n">
        <v>0.08450704225352113</v>
      </c>
      <c r="R17" s="247" t="n">
        <v>0.1977611940298507</v>
      </c>
      <c r="S17" s="247" t="n">
        <v>0.1197916666666666</v>
      </c>
      <c r="T17" s="247" t="n">
        <v>0.2135416666666666</v>
      </c>
      <c r="U17" s="247" t="n">
        <v>0.09444444444444444</v>
      </c>
      <c r="V17" s="247" t="n">
        <v>0.08955223880597019</v>
      </c>
      <c r="W17" s="247" t="n">
        <v>-0.05729166666666669</v>
      </c>
      <c r="X17" s="247" t="n">
        <v>0.08333333333333337</v>
      </c>
      <c r="Y17" s="247" t="n">
        <v>0.07222222222222219</v>
      </c>
      <c r="Z17" s="247" t="n">
        <v>0.09523809523809523</v>
      </c>
      <c r="AA17" s="247" t="n">
        <v>-0.04929577464788731</v>
      </c>
      <c r="AB17" s="247" t="n">
        <v>-0.04104477611940299</v>
      </c>
      <c r="AC17" s="247" t="n">
        <v>0.015625</v>
      </c>
      <c r="AD17" s="247" t="n">
        <v>-0.02083333333333331</v>
      </c>
      <c r="AE17" s="247" t="n">
        <v>-0.03888888888888886</v>
      </c>
      <c r="AF17" s="247" t="n">
        <v>-0.05985915492957744</v>
      </c>
      <c r="AG17" s="247" t="n">
        <v>0.003521126760563376</v>
      </c>
      <c r="AH17" s="247" t="n">
        <v>0.09999999999999998</v>
      </c>
      <c r="AI17" s="247" t="n">
        <v>0.1619718309859155</v>
      </c>
      <c r="AJ17" s="247" t="n">
        <v>0.1231343283582089</v>
      </c>
      <c r="AK17" s="247" t="n">
        <v>0.03645833333333337</v>
      </c>
      <c r="AL17" s="247" t="n">
        <v>0.1041666666666666</v>
      </c>
      <c r="AM17" s="247" t="n">
        <v>0.01666666666666672</v>
      </c>
      <c r="AN17" s="247" t="n">
        <v>0.1936619718309859</v>
      </c>
      <c r="AO17" s="247" t="n">
        <v>0.03358208955223885</v>
      </c>
      <c r="AP17" s="247" t="n">
        <v>0.03125</v>
      </c>
      <c r="AQ17" s="247" t="n">
        <v>0.09895833333333337</v>
      </c>
      <c r="AR17" s="247" t="n">
        <v>0.03888888888888886</v>
      </c>
      <c r="AS17" s="247" t="n">
        <v>0.0880281690140845</v>
      </c>
      <c r="AT17" s="247" t="n">
        <v>0.01119402985074625</v>
      </c>
      <c r="AU17" s="247" t="n">
        <v>0.1302083333333334</v>
      </c>
      <c r="AV17" s="247" t="n">
        <v>0.05208333333333337</v>
      </c>
      <c r="AW17" s="247" t="n">
        <v>0.1555555555555556</v>
      </c>
      <c r="AX17" s="247" t="n">
        <v>0.1443661971830986</v>
      </c>
      <c r="AY17" s="247" t="n">
        <v>0.05970149253731338</v>
      </c>
      <c r="AZ17" s="247" t="n">
        <v>0.1354166666666666</v>
      </c>
      <c r="BA17" s="247" t="n">
        <v>0.09895833333333337</v>
      </c>
      <c r="BB17" s="247" t="n">
        <v>0.08888888888888891</v>
      </c>
      <c r="BC17" s="247" t="n">
        <v>0.06338028169014087</v>
      </c>
      <c r="BD17" s="247" t="n">
        <v>-0.03358208955223879</v>
      </c>
      <c r="BE17" s="247" t="n">
        <v>0.02604166666666663</v>
      </c>
      <c r="BF17" s="247" t="n">
        <v>0.02604166666666663</v>
      </c>
      <c r="BG17" s="247" t="n">
        <v>-0.005555555555555536</v>
      </c>
      <c r="BH17" s="247" t="n">
        <v>0.225</v>
      </c>
      <c r="BI17" s="247" t="n">
        <v>0.1704545454545454</v>
      </c>
      <c r="BJ17" s="247" t="n">
        <v>0.08730158730158732</v>
      </c>
      <c r="BK17" s="247" t="n">
        <v>0.2777777777777778</v>
      </c>
      <c r="BL17" s="247" t="n">
        <v>0.132768361581921</v>
      </c>
      <c r="BM17" s="247" t="n">
        <v>0.04577464788732399</v>
      </c>
      <c r="BN17" s="247" t="n">
        <v>0.1455223880597015</v>
      </c>
      <c r="BO17" s="247" t="n">
        <v>0.01041666666666663</v>
      </c>
      <c r="BP17" s="247" t="n">
        <v>-0.02083333333333331</v>
      </c>
      <c r="BQ17" s="247" t="n">
        <v>-0.04444444444444445</v>
      </c>
      <c r="BR17" s="247" t="n">
        <v>0.1971830985915493</v>
      </c>
      <c r="BS17" s="247" t="n">
        <v>0.07089552238805974</v>
      </c>
      <c r="BT17" s="247" t="n">
        <v>0.1458333333333334</v>
      </c>
      <c r="BU17" s="247" t="n">
        <v>0.1302083333333334</v>
      </c>
      <c r="BV17" s="247" t="n">
        <v>0.1666666666666666</v>
      </c>
      <c r="BW17" s="247" t="n">
        <v>0.3272058823529411</v>
      </c>
      <c r="BX17" s="247" t="n">
        <v>0.3359375</v>
      </c>
      <c r="BY17" s="247" t="n">
        <v>0.2158469945355191</v>
      </c>
      <c r="BZ17" s="247" t="n">
        <v>0.3852459016393442</v>
      </c>
      <c r="CA17" s="247" t="n">
        <v>0.3070175438596491</v>
      </c>
      <c r="CB17" s="247" t="n">
        <v>0.04166666666666663</v>
      </c>
      <c r="CC17" s="247" t="n">
        <v>0.03968253968253965</v>
      </c>
      <c r="CD17" s="247" t="n">
        <v>0.3135593220338984</v>
      </c>
      <c r="CE17" s="247" t="n">
        <v>0.1101694915254238</v>
      </c>
      <c r="CF17" s="247" t="n">
        <v>0.1607142857142857</v>
      </c>
    </row>
    <row r="18">
      <c r="C18" s="122" t="n">
        <v>-8</v>
      </c>
      <c r="D18" s="247" t="n">
        <v>0.2101449275362319</v>
      </c>
      <c r="E18" s="247" t="n">
        <v>0.3269230769230769</v>
      </c>
      <c r="F18" s="247" t="n">
        <v>0.1827956989247311</v>
      </c>
      <c r="G18" s="247" t="n">
        <v>0.3225806451612904</v>
      </c>
      <c r="H18" s="247" t="n">
        <v>0.1954022988505747</v>
      </c>
      <c r="I18" s="247" t="n">
        <v>0.03819444444444442</v>
      </c>
      <c r="J18" s="247" t="n">
        <v>-0.08088235294117646</v>
      </c>
      <c r="K18" s="247" t="n">
        <v>0.078125</v>
      </c>
      <c r="L18" s="247" t="n">
        <v>-0.06640625</v>
      </c>
      <c r="M18" s="247" t="n">
        <v>0.0300546448087432</v>
      </c>
      <c r="N18" s="247" t="n">
        <v>0.2395833333333334</v>
      </c>
      <c r="O18" s="247" t="n">
        <v>0.00694444444444442</v>
      </c>
      <c r="P18" s="247" t="n">
        <v>0.04225352112676062</v>
      </c>
      <c r="Q18" s="247" t="n">
        <v>0.09027777777777779</v>
      </c>
      <c r="R18" s="247" t="n">
        <v>0.2794117647058824</v>
      </c>
      <c r="S18" s="247" t="n">
        <v>0.193359375</v>
      </c>
      <c r="T18" s="247" t="n">
        <v>0.2578125</v>
      </c>
      <c r="U18" s="247" t="n">
        <v>0.2377049180327869</v>
      </c>
      <c r="V18" s="247" t="n">
        <v>0.0845588235294118</v>
      </c>
      <c r="W18" s="247" t="n">
        <v>0.12890625</v>
      </c>
      <c r="X18" s="247" t="n">
        <v>0.1120218579234973</v>
      </c>
      <c r="Y18" s="247" t="n">
        <v>0.1120218579234973</v>
      </c>
      <c r="Z18" s="247" t="n">
        <v>0.1081871345029239</v>
      </c>
      <c r="AA18" s="247" t="n">
        <v>-0.06944444444444442</v>
      </c>
      <c r="AB18" s="247" t="n">
        <v>-0.08088235294117646</v>
      </c>
      <c r="AC18" s="247" t="n">
        <v>0.015625</v>
      </c>
      <c r="AD18" s="247" t="n">
        <v>-0.06640625</v>
      </c>
      <c r="AE18" s="247" t="n">
        <v>-0.1010928961748634</v>
      </c>
      <c r="AF18" s="247" t="n">
        <v>0.1423611111111112</v>
      </c>
      <c r="AG18" s="247" t="n">
        <v>0.01041666666666663</v>
      </c>
      <c r="AH18" s="247" t="n">
        <v>0.1126760563380281</v>
      </c>
      <c r="AI18" s="247" t="n">
        <v>0.1666666666666666</v>
      </c>
      <c r="AJ18" s="247" t="n">
        <v>0.0404411764705882</v>
      </c>
      <c r="AK18" s="247" t="n">
        <v>0.16796875</v>
      </c>
      <c r="AL18" s="247" t="n">
        <v>0.12109375</v>
      </c>
      <c r="AM18" s="247" t="n">
        <v>-0.03551912568306009</v>
      </c>
      <c r="AN18" s="247" t="n">
        <v>0.06597222222222221</v>
      </c>
      <c r="AO18" s="247" t="n">
        <v>0.1617647058823529</v>
      </c>
      <c r="AP18" s="247" t="n">
        <v>0.03125</v>
      </c>
      <c r="AQ18" s="247" t="n">
        <v>0.14453125</v>
      </c>
      <c r="AR18" s="247" t="n">
        <v>0.2158469945355191</v>
      </c>
      <c r="AS18" s="247" t="n">
        <v>0.1631944444444444</v>
      </c>
      <c r="AT18" s="247" t="n">
        <v>0.07352941176470584</v>
      </c>
      <c r="AU18" s="247" t="n">
        <v>0.09375</v>
      </c>
      <c r="AV18" s="247" t="n">
        <v>0.08203125</v>
      </c>
      <c r="AW18" s="247" t="n">
        <v>0.139344262295082</v>
      </c>
      <c r="AX18" s="247" t="n">
        <v>0</v>
      </c>
      <c r="AY18" s="247" t="n">
        <v>-0.04411764705882354</v>
      </c>
      <c r="AZ18" s="247" t="n">
        <v>0.09765625</v>
      </c>
      <c r="BA18" s="247" t="n">
        <v>-0.01953125</v>
      </c>
      <c r="BB18" s="247" t="n">
        <v>0.03551912568306015</v>
      </c>
      <c r="BC18" s="247" t="n">
        <v>-0.00694444444444442</v>
      </c>
      <c r="BD18" s="247" t="n">
        <v>0.07352941176470584</v>
      </c>
      <c r="BE18" s="247" t="n">
        <v>-0.01171875</v>
      </c>
      <c r="BF18" s="247" t="n">
        <v>0.06640625</v>
      </c>
      <c r="BG18" s="247" t="n">
        <v>-0.01912568306010931</v>
      </c>
      <c r="BH18" s="247" t="n">
        <v>0.1232394366197183</v>
      </c>
      <c r="BI18" s="247" t="n">
        <v>0.1231343283582089</v>
      </c>
      <c r="BJ18" s="247" t="n">
        <v>0.015625</v>
      </c>
      <c r="BK18" s="247" t="n">
        <v>0.1302083333333334</v>
      </c>
      <c r="BL18" s="247" t="n">
        <v>0</v>
      </c>
      <c r="BM18" s="247" t="n">
        <v>0.1319444444444444</v>
      </c>
      <c r="BN18" s="247" t="n">
        <v>0.1691176470588235</v>
      </c>
      <c r="BO18" s="247" t="n">
        <v>-0.0546875</v>
      </c>
      <c r="BP18" s="247" t="n">
        <v>0.15625</v>
      </c>
      <c r="BQ18" s="247" t="n">
        <v>0.07923497267759561</v>
      </c>
      <c r="BR18" s="247" t="n">
        <v>0.1875</v>
      </c>
      <c r="BS18" s="247" t="n">
        <v>0.1102941176470589</v>
      </c>
      <c r="BT18" s="247" t="n">
        <v>0.16796875</v>
      </c>
      <c r="BU18" s="247" t="n">
        <v>0.12890625</v>
      </c>
      <c r="BV18" s="247" t="n">
        <v>0.1666666666666666</v>
      </c>
      <c r="BW18" s="247" t="n">
        <v>0.2826086956521739</v>
      </c>
      <c r="BX18" s="247" t="n">
        <v>0.3307692307692308</v>
      </c>
      <c r="BY18" s="247" t="n">
        <v>0.1881720430107527</v>
      </c>
      <c r="BZ18" s="247" t="n">
        <v>0.3010752688172043</v>
      </c>
      <c r="CA18" s="247" t="n">
        <v>0.2988505747126436</v>
      </c>
      <c r="CB18" s="247" t="n">
        <v>0.02611940298507465</v>
      </c>
      <c r="CC18" s="247" t="n">
        <v>0.109375</v>
      </c>
      <c r="CD18" s="247" t="n">
        <v>0.15</v>
      </c>
      <c r="CE18" s="247" t="n">
        <v>-0.01666666666666666</v>
      </c>
      <c r="CF18" s="247" t="n">
        <v>0.1428571428571429</v>
      </c>
    </row>
    <row r="19">
      <c r="C19" s="122" t="n">
        <v>-7</v>
      </c>
      <c r="D19" s="247" t="n">
        <v>0.1857142857142857</v>
      </c>
      <c r="E19" s="247" t="n">
        <v>0.09848484848484851</v>
      </c>
      <c r="F19" s="247" t="n">
        <v>0.1825396825396826</v>
      </c>
      <c r="G19" s="247" t="n">
        <v>0.2513227513227513</v>
      </c>
      <c r="H19" s="247" t="n">
        <v>0.1384180790960452</v>
      </c>
      <c r="I19" s="247" t="n">
        <v>0.02054794520547942</v>
      </c>
      <c r="J19" s="247" t="n">
        <v>0.1739130434782609</v>
      </c>
      <c r="K19" s="247" t="n">
        <v>-0.02307692307692305</v>
      </c>
      <c r="L19" s="247" t="n">
        <v>0.1269230769230769</v>
      </c>
      <c r="M19" s="247" t="n">
        <v>0.08064516129032262</v>
      </c>
      <c r="N19" s="247" t="n">
        <v>0.3595890410958904</v>
      </c>
      <c r="O19" s="247" t="n">
        <v>0.136986301369863</v>
      </c>
      <c r="P19" s="247" t="n">
        <v>0.1111111111111112</v>
      </c>
      <c r="Q19" s="247" t="n">
        <v>0.2671232876712328</v>
      </c>
      <c r="R19" s="247" t="n">
        <v>0.3731884057971014</v>
      </c>
      <c r="S19" s="247" t="n">
        <v>0.2615384615384615</v>
      </c>
      <c r="T19" s="247" t="n">
        <v>0.4</v>
      </c>
      <c r="U19" s="247" t="n">
        <v>0.4139784946236559</v>
      </c>
      <c r="V19" s="247" t="n">
        <v>-0.0108695652173913</v>
      </c>
      <c r="W19" s="247" t="n">
        <v>0.1692307692307692</v>
      </c>
      <c r="X19" s="247" t="n">
        <v>0.1236559139784946</v>
      </c>
      <c r="Y19" s="247" t="n">
        <v>0.1075268817204301</v>
      </c>
      <c r="Z19" s="247" t="n">
        <v>0.1379310344827587</v>
      </c>
      <c r="AA19" s="247" t="n">
        <v>0.06164383561643838</v>
      </c>
      <c r="AB19" s="247" t="n">
        <v>0.09057971014492749</v>
      </c>
      <c r="AC19" s="247" t="n">
        <v>0</v>
      </c>
      <c r="AD19" s="247" t="n">
        <v>-0.0346153846153846</v>
      </c>
      <c r="AE19" s="247" t="n">
        <v>-0.09139784946236557</v>
      </c>
      <c r="AF19" s="247" t="n">
        <v>0.113013698630137</v>
      </c>
      <c r="AG19" s="247" t="n">
        <v>0.02397260273972601</v>
      </c>
      <c r="AH19" s="247" t="n">
        <v>0.08680555555555558</v>
      </c>
      <c r="AI19" s="247" t="n">
        <v>0.1267123287671232</v>
      </c>
      <c r="AJ19" s="247" t="n">
        <v>0.1014492753623188</v>
      </c>
      <c r="AK19" s="247" t="n">
        <v>0.08846153846153848</v>
      </c>
      <c r="AL19" s="247" t="n">
        <v>0.02307692307692311</v>
      </c>
      <c r="AM19" s="247" t="n">
        <v>0.032258064516129</v>
      </c>
      <c r="AN19" s="247" t="n">
        <v>0.1335616438356164</v>
      </c>
      <c r="AO19" s="247" t="n">
        <v>0.2318840579710145</v>
      </c>
      <c r="AP19" s="247" t="n">
        <v>0.2230769230769231</v>
      </c>
      <c r="AQ19" s="247" t="n">
        <v>0.2230769230769231</v>
      </c>
      <c r="AR19" s="247" t="n">
        <v>0.3333333333333334</v>
      </c>
      <c r="AS19" s="247" t="n">
        <v>0.1541095890410958</v>
      </c>
      <c r="AT19" s="247" t="n">
        <v>0.02173913043478259</v>
      </c>
      <c r="AU19" s="247" t="n">
        <v>0.06153846153846154</v>
      </c>
      <c r="AV19" s="247" t="n">
        <v>0.05769230769230771</v>
      </c>
      <c r="AW19" s="247" t="n">
        <v>0.06451612903225812</v>
      </c>
      <c r="AX19" s="247" t="n">
        <v>-0.04452054794520549</v>
      </c>
      <c r="AY19" s="247" t="n">
        <v>0.1485507246376812</v>
      </c>
      <c r="AZ19" s="247" t="n">
        <v>0.01538461538461533</v>
      </c>
      <c r="BA19" s="247" t="n">
        <v>0.1076923076923076</v>
      </c>
      <c r="BB19" s="247" t="n">
        <v>0.0376344086021505</v>
      </c>
      <c r="BC19" s="247" t="n">
        <v>0.1506849315068494</v>
      </c>
      <c r="BD19" s="247" t="n">
        <v>0.1992753623188406</v>
      </c>
      <c r="BE19" s="247" t="n">
        <v>-0.04615384615384616</v>
      </c>
      <c r="BF19" s="247" t="n">
        <v>0.1269230769230769</v>
      </c>
      <c r="BG19" s="247" t="n">
        <v>0.06451612903225812</v>
      </c>
      <c r="BH19" s="247" t="n">
        <v>0.05555555555555558</v>
      </c>
      <c r="BI19" s="247" t="n">
        <v>0.02573529411764708</v>
      </c>
      <c r="BJ19" s="247" t="n">
        <v>0.08203125</v>
      </c>
      <c r="BK19" s="247" t="n">
        <v>0.01953125</v>
      </c>
      <c r="BL19" s="247" t="n">
        <v>0.03551912568306015</v>
      </c>
      <c r="BM19" s="247" t="n">
        <v>0.1917808219178082</v>
      </c>
      <c r="BN19" s="247" t="n">
        <v>0.3260869565217391</v>
      </c>
      <c r="BO19" s="247" t="n">
        <v>0.07692307692307687</v>
      </c>
      <c r="BP19" s="247" t="n">
        <v>0.2576923076923077</v>
      </c>
      <c r="BQ19" s="247" t="n">
        <v>0.1505376344086021</v>
      </c>
      <c r="BR19" s="247" t="n">
        <v>0.06849315068493156</v>
      </c>
      <c r="BS19" s="247" t="n">
        <v>-0.0688405797101449</v>
      </c>
      <c r="BT19" s="247" t="n">
        <v>0.09230769230769231</v>
      </c>
      <c r="BU19" s="247" t="n">
        <v>-0.007692307692307665</v>
      </c>
      <c r="BV19" s="247" t="n">
        <v>0.1182795698924731</v>
      </c>
      <c r="BW19" s="247" t="n">
        <v>0.2928571428571428</v>
      </c>
      <c r="BX19" s="247" t="n">
        <v>0.2840909090909091</v>
      </c>
      <c r="BY19" s="247" t="n">
        <v>0.2671957671957672</v>
      </c>
      <c r="BZ19" s="247" t="n">
        <v>0.2724867724867724</v>
      </c>
      <c r="CA19" s="247" t="n">
        <v>0.2853107344632768</v>
      </c>
      <c r="CB19" s="247" t="n">
        <v>0.05882352941176472</v>
      </c>
      <c r="CC19" s="247" t="n">
        <v>0.0390625</v>
      </c>
      <c r="CD19" s="247" t="n">
        <v>0.07377049180327866</v>
      </c>
      <c r="CE19" s="247" t="n">
        <v>0.04098360655737709</v>
      </c>
      <c r="CF19" s="247" t="n">
        <v>0.08479532163742687</v>
      </c>
    </row>
    <row r="20">
      <c r="C20" s="122" t="n">
        <v>-6</v>
      </c>
      <c r="D20" s="247" t="n">
        <v>0.1725352112676056</v>
      </c>
      <c r="E20" s="247" t="n">
        <v>0.003731343283582045</v>
      </c>
      <c r="F20" s="247" t="n">
        <v>0.21875</v>
      </c>
      <c r="G20" s="247" t="n">
        <v>0.1666666666666666</v>
      </c>
      <c r="H20" s="247" t="n">
        <v>0.1166666666666667</v>
      </c>
      <c r="I20" s="247" t="n">
        <v>0.02702702702702697</v>
      </c>
      <c r="J20" s="247" t="n">
        <v>0.1892857142857143</v>
      </c>
      <c r="K20" s="247" t="n">
        <v>-0.04166666666666669</v>
      </c>
      <c r="L20" s="247" t="n">
        <v>0.1174242424242424</v>
      </c>
      <c r="M20" s="247" t="n">
        <v>0.09788359788359791</v>
      </c>
      <c r="N20" s="247" t="n">
        <v>0.3614864864864865</v>
      </c>
      <c r="O20" s="247" t="n">
        <v>0.1317567567567568</v>
      </c>
      <c r="P20" s="247" t="n">
        <v>0.04452054794520544</v>
      </c>
      <c r="Q20" s="247" t="n">
        <v>0.2195945945945946</v>
      </c>
      <c r="R20" s="247" t="n">
        <v>0.375</v>
      </c>
      <c r="S20" s="247" t="n">
        <v>0.2954545454545454</v>
      </c>
      <c r="T20" s="247" t="n">
        <v>0.303030303030303</v>
      </c>
      <c r="U20" s="247" t="n">
        <v>0.373015873015873</v>
      </c>
      <c r="V20" s="247" t="n">
        <v>0.03214285714285714</v>
      </c>
      <c r="W20" s="247" t="n">
        <v>0.178030303030303</v>
      </c>
      <c r="X20" s="247" t="n">
        <v>0.1190476190476191</v>
      </c>
      <c r="Y20" s="247" t="n">
        <v>0.1243386243386243</v>
      </c>
      <c r="Z20" s="247" t="n">
        <v>0.1271186440677966</v>
      </c>
      <c r="AA20" s="247" t="n">
        <v>0.05405405405405406</v>
      </c>
      <c r="AB20" s="247" t="n">
        <v>0.1607142857142857</v>
      </c>
      <c r="AC20" s="247" t="n">
        <v>-0.01515151515151514</v>
      </c>
      <c r="AD20" s="247" t="n">
        <v>0.03030303030303028</v>
      </c>
      <c r="AE20" s="247" t="n">
        <v>0.08730158730158732</v>
      </c>
      <c r="AF20" s="247" t="n">
        <v>0.05067567567567566</v>
      </c>
      <c r="AG20" s="247" t="n">
        <v>0.003378378378378399</v>
      </c>
      <c r="AH20" s="247" t="n">
        <v>0.03424657534246578</v>
      </c>
      <c r="AI20" s="247" t="n">
        <v>0.1148648648648649</v>
      </c>
      <c r="AJ20" s="247" t="n">
        <v>0.0535714285714286</v>
      </c>
      <c r="AK20" s="247" t="n">
        <v>0.06439393939393945</v>
      </c>
      <c r="AL20" s="247" t="n">
        <v>-0.003787878787878785</v>
      </c>
      <c r="AM20" s="247" t="n">
        <v>0.01851851851851849</v>
      </c>
      <c r="AN20" s="247" t="n">
        <v>0.07432432432432434</v>
      </c>
      <c r="AO20" s="247" t="n">
        <v>0.1678571428571428</v>
      </c>
      <c r="AP20" s="247" t="n">
        <v>0.178030303030303</v>
      </c>
      <c r="AQ20" s="247" t="n">
        <v>0.1477272727272727</v>
      </c>
      <c r="AR20" s="247" t="n">
        <v>0.2619047619047619</v>
      </c>
      <c r="AS20" s="247" t="n">
        <v>0.02027027027027029</v>
      </c>
      <c r="AT20" s="247" t="n">
        <v>0.0357142857142857</v>
      </c>
      <c r="AU20" s="247" t="n">
        <v>0.01515151515151514</v>
      </c>
      <c r="AV20" s="247" t="n">
        <v>0.02272727272727271</v>
      </c>
      <c r="AW20" s="247" t="n">
        <v>0.09259259259259256</v>
      </c>
      <c r="AX20" s="247" t="n">
        <v>0.03040540540540537</v>
      </c>
      <c r="AY20" s="247" t="n">
        <v>0.2678571428571429</v>
      </c>
      <c r="AZ20" s="247" t="n">
        <v>-0.04166666666666669</v>
      </c>
      <c r="BA20" s="247" t="n">
        <v>0.1022727272727273</v>
      </c>
      <c r="BB20" s="247" t="n">
        <v>0.06613756613756616</v>
      </c>
      <c r="BC20" s="247" t="n">
        <v>0.1959459459459459</v>
      </c>
      <c r="BD20" s="247" t="n">
        <v>0.325</v>
      </c>
      <c r="BE20" s="247" t="n">
        <v>0.1060606060606061</v>
      </c>
      <c r="BF20" s="247" t="n">
        <v>0.178030303030303</v>
      </c>
      <c r="BG20" s="247" t="n">
        <v>0.08201058201058198</v>
      </c>
      <c r="BH20" s="247" t="n">
        <v>0.03767123287671237</v>
      </c>
      <c r="BI20" s="247" t="n">
        <v>0.09420289855072461</v>
      </c>
      <c r="BJ20" s="247" t="n">
        <v>-0.01923076923076922</v>
      </c>
      <c r="BK20" s="247" t="n">
        <v>0.05769230769230771</v>
      </c>
      <c r="BL20" s="247" t="n">
        <v>-0.03225806451612906</v>
      </c>
      <c r="BM20" s="247" t="n">
        <v>0.2263513513513513</v>
      </c>
      <c r="BN20" s="247" t="n">
        <v>0.3535714285714285</v>
      </c>
      <c r="BO20" s="247" t="n">
        <v>0.1174242424242424</v>
      </c>
      <c r="BP20" s="247" t="n">
        <v>0.2840909090909091</v>
      </c>
      <c r="BQ20" s="247" t="n">
        <v>0.208994708994709</v>
      </c>
      <c r="BR20" s="247" t="n">
        <v>-0.01689189189189189</v>
      </c>
      <c r="BS20" s="247" t="n">
        <v>0.1321428571428571</v>
      </c>
      <c r="BT20" s="247" t="n">
        <v>-0.01893939393939392</v>
      </c>
      <c r="BU20" s="247" t="n">
        <v>0.1060606060606061</v>
      </c>
      <c r="BV20" s="247" t="n">
        <v>0.02380952380952384</v>
      </c>
      <c r="BW20" s="247" t="n">
        <v>0.003521126760563376</v>
      </c>
      <c r="BX20" s="247" t="n">
        <v>0.05597014925373134</v>
      </c>
      <c r="BY20" s="247" t="n">
        <v>0.1458333333333334</v>
      </c>
      <c r="BZ20" s="247" t="n">
        <v>0.1302083333333334</v>
      </c>
      <c r="CA20" s="247" t="n">
        <v>0.1111111111111112</v>
      </c>
      <c r="CB20" s="247" t="n">
        <v>0.1376811594202898</v>
      </c>
      <c r="CC20" s="247" t="n">
        <v>0.09230769230769231</v>
      </c>
      <c r="CD20" s="247" t="n">
        <v>-0.0268817204301075</v>
      </c>
      <c r="CE20" s="247" t="n">
        <v>0.0268817204301075</v>
      </c>
      <c r="CF20" s="247" t="n">
        <v>0.08620689655172409</v>
      </c>
    </row>
    <row r="21">
      <c r="B21" s="34" t="n"/>
      <c r="C21" s="122" t="n">
        <v>-5</v>
      </c>
      <c r="D21" s="247" t="n">
        <v>0.1631944444444444</v>
      </c>
      <c r="E21" s="247" t="n">
        <v>0.09926470588235292</v>
      </c>
      <c r="F21" s="247" t="n">
        <v>0.1171875</v>
      </c>
      <c r="G21" s="247" t="n">
        <v>-0.0078125</v>
      </c>
      <c r="H21" s="247" t="n">
        <v>0.144808743169399</v>
      </c>
      <c r="I21" s="247" t="n">
        <v>0.07666666666666666</v>
      </c>
      <c r="J21" s="247" t="n">
        <v>0.2394366197183099</v>
      </c>
      <c r="K21" s="247" t="n">
        <v>0.08582089552238803</v>
      </c>
      <c r="L21" s="247" t="n">
        <v>0.1455223880597015</v>
      </c>
      <c r="M21" s="247" t="n">
        <v>0.109375</v>
      </c>
      <c r="N21" s="247" t="n">
        <v>0.2333333333333333</v>
      </c>
      <c r="O21" s="247" t="n">
        <v>0.2766666666666666</v>
      </c>
      <c r="P21" s="247" t="n">
        <v>0.1081081081081081</v>
      </c>
      <c r="Q21" s="247" t="n">
        <v>0.09333333333333338</v>
      </c>
      <c r="R21" s="247" t="n">
        <v>0.09859154929577463</v>
      </c>
      <c r="S21" s="247" t="n">
        <v>0.2425373134328358</v>
      </c>
      <c r="T21" s="247" t="n">
        <v>0.1305970149253731</v>
      </c>
      <c r="U21" s="247" t="n">
        <v>0.2604166666666666</v>
      </c>
      <c r="V21" s="247" t="n">
        <v>0.07042253521126762</v>
      </c>
      <c r="W21" s="247" t="n">
        <v>0.2052238805970149</v>
      </c>
      <c r="X21" s="247" t="n">
        <v>0.1041666666666666</v>
      </c>
      <c r="Y21" s="247" t="n">
        <v>0.07291666666666663</v>
      </c>
      <c r="Z21" s="247" t="n">
        <v>0.09444444444444444</v>
      </c>
      <c r="AA21" s="247" t="n">
        <v>0.08333333333333337</v>
      </c>
      <c r="AB21" s="247" t="n">
        <v>0.1302816901408451</v>
      </c>
      <c r="AC21" s="247" t="n">
        <v>-0.01865671641791045</v>
      </c>
      <c r="AD21" s="247" t="n">
        <v>0.04850746268656714</v>
      </c>
      <c r="AE21" s="247" t="n">
        <v>0.05729166666666663</v>
      </c>
      <c r="AF21" s="247" t="n">
        <v>0.02666666666666662</v>
      </c>
      <c r="AG21" s="247" t="n">
        <v>0.01000000000000001</v>
      </c>
      <c r="AH21" s="247" t="n">
        <v>0.02364864864864868</v>
      </c>
      <c r="AI21" s="247" t="n">
        <v>0.05000000000000004</v>
      </c>
      <c r="AJ21" s="247" t="n">
        <v>0.102112676056338</v>
      </c>
      <c r="AK21" s="247" t="n">
        <v>0.04104477611940294</v>
      </c>
      <c r="AL21" s="247" t="n">
        <v>0.06716417910447758</v>
      </c>
      <c r="AM21" s="247" t="n">
        <v>0.05729166666666663</v>
      </c>
      <c r="AN21" s="247" t="n">
        <v>0.2433333333333333</v>
      </c>
      <c r="AO21" s="247" t="n">
        <v>0.3028169014084507</v>
      </c>
      <c r="AP21" s="247" t="n">
        <v>0.2313432835820896</v>
      </c>
      <c r="AQ21" s="247" t="n">
        <v>0.332089552238806</v>
      </c>
      <c r="AR21" s="247" t="n">
        <v>0.359375</v>
      </c>
      <c r="AS21" s="247" t="n">
        <v>0.02000000000000002</v>
      </c>
      <c r="AT21" s="247" t="n">
        <v>0.028169014084507</v>
      </c>
      <c r="AU21" s="247" t="n">
        <v>0.01865671641791045</v>
      </c>
      <c r="AV21" s="247" t="n">
        <v>0.0149253731343284</v>
      </c>
      <c r="AW21" s="247" t="n">
        <v>0.09895833333333337</v>
      </c>
      <c r="AX21" s="247" t="n">
        <v>0.04333333333333333</v>
      </c>
      <c r="AY21" s="247" t="n">
        <v>0.2464788732394366</v>
      </c>
      <c r="AZ21" s="247" t="n">
        <v>0.09328358208955223</v>
      </c>
      <c r="BA21" s="247" t="n">
        <v>0.1194029850746269</v>
      </c>
      <c r="BB21" s="247" t="n">
        <v>0.07291666666666663</v>
      </c>
      <c r="BC21" s="247" t="n">
        <v>0.24</v>
      </c>
      <c r="BD21" s="247" t="n">
        <v>0.3450704225352113</v>
      </c>
      <c r="BE21" s="247" t="n">
        <v>0.1529850746268657</v>
      </c>
      <c r="BF21" s="247" t="n">
        <v>0.2574626865671642</v>
      </c>
      <c r="BG21" s="247" t="n">
        <v>0.109375</v>
      </c>
      <c r="BH21" s="247" t="n">
        <v>0</v>
      </c>
      <c r="BI21" s="247" t="n">
        <v>0.1964285714285714</v>
      </c>
      <c r="BJ21" s="247" t="n">
        <v>0.03030303030303028</v>
      </c>
      <c r="BK21" s="247" t="n">
        <v>0.06818181818181823</v>
      </c>
      <c r="BL21" s="247" t="n">
        <v>-0.02380952380952384</v>
      </c>
      <c r="BM21" s="247" t="n">
        <v>0.17</v>
      </c>
      <c r="BN21" s="247" t="n">
        <v>0.1443661971830986</v>
      </c>
      <c r="BO21" s="247" t="n">
        <v>0.2126865671641791</v>
      </c>
      <c r="BP21" s="247" t="n">
        <v>0.2164179104477612</v>
      </c>
      <c r="BQ21" s="247" t="n">
        <v>0.1510416666666666</v>
      </c>
      <c r="BR21" s="247" t="n">
        <v>0.06666666666666665</v>
      </c>
      <c r="BS21" s="247" t="n">
        <v>0.1690140845070423</v>
      </c>
      <c r="BT21" s="247" t="n">
        <v>0.07835820895522383</v>
      </c>
      <c r="BU21" s="247" t="n">
        <v>0.1455223880597015</v>
      </c>
      <c r="BV21" s="247" t="n">
        <v>0.09375</v>
      </c>
      <c r="BW21" s="247" t="n">
        <v>0.3274647887323944</v>
      </c>
      <c r="BX21" s="247" t="n">
        <v>0.4029850746268657</v>
      </c>
      <c r="BY21" s="247" t="n">
        <v>0.0357142857142857</v>
      </c>
      <c r="BZ21" s="247" t="n">
        <v>0.3531746031746031</v>
      </c>
      <c r="CA21" s="247" t="n">
        <v>0.3444444444444444</v>
      </c>
      <c r="CB21" s="247" t="n">
        <v>0.1678571428571428</v>
      </c>
      <c r="CC21" s="247" t="n">
        <v>0.09090909090909094</v>
      </c>
      <c r="CD21" s="247" t="n">
        <v>-0.05555555555555558</v>
      </c>
      <c r="CE21" s="247" t="n">
        <v>-0.007936507936507964</v>
      </c>
      <c r="CF21" s="247" t="n">
        <v>0.09887005649717517</v>
      </c>
    </row>
    <row r="22">
      <c r="C22" s="122" t="n">
        <v>-4</v>
      </c>
      <c r="D22" s="247" t="n">
        <v>0.09246575342465757</v>
      </c>
      <c r="E22" s="247" t="n">
        <v>0.1195652173913043</v>
      </c>
      <c r="F22" s="247" t="n">
        <v>0.05384615384615388</v>
      </c>
      <c r="G22" s="247" t="n">
        <v>0.03076923076923077</v>
      </c>
      <c r="H22" s="247" t="n">
        <v>0.1344086021505376</v>
      </c>
      <c r="I22" s="247" t="n">
        <v>0.08552631578947367</v>
      </c>
      <c r="J22" s="247" t="n">
        <v>0.1666666666666666</v>
      </c>
      <c r="K22" s="247" t="n">
        <v>0.09191176470588236</v>
      </c>
      <c r="L22" s="247" t="n">
        <v>0.1654411764705882</v>
      </c>
      <c r="M22" s="247" t="n">
        <v>0.08984375</v>
      </c>
      <c r="N22" s="247" t="n">
        <v>0.1447368421052632</v>
      </c>
      <c r="O22" s="247" t="n">
        <v>0.2894736842105263</v>
      </c>
      <c r="P22" s="247" t="n">
        <v>0.09666666666666668</v>
      </c>
      <c r="Q22" s="247" t="n">
        <v>0.004934210526315819</v>
      </c>
      <c r="R22" s="247" t="n">
        <v>0.1805555555555556</v>
      </c>
      <c r="S22" s="247" t="n">
        <v>0.1617647058823529</v>
      </c>
      <c r="T22" s="247" t="n">
        <v>0.01838235294117652</v>
      </c>
      <c r="U22" s="247" t="n">
        <v>0.07421875</v>
      </c>
      <c r="V22" s="247" t="n">
        <v>0.1006944444444444</v>
      </c>
      <c r="W22" s="247" t="n">
        <v>0.09558823529411764</v>
      </c>
      <c r="X22" s="247" t="n">
        <v>0.109375</v>
      </c>
      <c r="Y22" s="247" t="n">
        <v>0.125</v>
      </c>
      <c r="Z22" s="247" t="n">
        <v>0.06284153005464477</v>
      </c>
      <c r="AA22" s="247" t="n">
        <v>0.07894736842105265</v>
      </c>
      <c r="AB22" s="247" t="n">
        <v>0.0625</v>
      </c>
      <c r="AC22" s="247" t="n">
        <v>0.02573529411764708</v>
      </c>
      <c r="AD22" s="247" t="n">
        <v>0.0845588235294118</v>
      </c>
      <c r="AE22" s="247" t="n">
        <v>0</v>
      </c>
      <c r="AF22" s="247" t="n">
        <v>-0.003289473684210509</v>
      </c>
      <c r="AG22" s="247" t="n">
        <v>0.1118421052631579</v>
      </c>
      <c r="AH22" s="247" t="n">
        <v>0.01333333333333331</v>
      </c>
      <c r="AI22" s="247" t="n">
        <v>0.09210526315789469</v>
      </c>
      <c r="AJ22" s="247" t="n">
        <v>0.08680555555555558</v>
      </c>
      <c r="AK22" s="247" t="n">
        <v>0.0220588235294118</v>
      </c>
      <c r="AL22" s="247" t="n">
        <v>0.05882352941176472</v>
      </c>
      <c r="AM22" s="247" t="n">
        <v>0.02734375</v>
      </c>
      <c r="AN22" s="247" t="n">
        <v>0.2467105263157895</v>
      </c>
      <c r="AO22" s="247" t="n">
        <v>0.2395833333333334</v>
      </c>
      <c r="AP22" s="247" t="n">
        <v>0.2463235294117647</v>
      </c>
      <c r="AQ22" s="247" t="n">
        <v>0.2977941176470589</v>
      </c>
      <c r="AR22" s="247" t="n">
        <v>0.28125</v>
      </c>
      <c r="AS22" s="247" t="n">
        <v>-0.02631578947368424</v>
      </c>
      <c r="AT22" s="247" t="n">
        <v>0.1284722222222222</v>
      </c>
      <c r="AU22" s="247" t="n">
        <v>-0.02941176470588236</v>
      </c>
      <c r="AV22" s="247" t="n">
        <v>0.0845588235294118</v>
      </c>
      <c r="AW22" s="247" t="n">
        <v>0.0546875</v>
      </c>
      <c r="AX22" s="247" t="n">
        <v>0.009868421052631526</v>
      </c>
      <c r="AY22" s="247" t="n">
        <v>0.1527777777777778</v>
      </c>
      <c r="AZ22" s="247" t="n">
        <v>0.0625</v>
      </c>
      <c r="BA22" s="247" t="n">
        <v>0.1286764705882353</v>
      </c>
      <c r="BB22" s="247" t="n">
        <v>0.0390625</v>
      </c>
      <c r="BC22" s="247" t="n">
        <v>0.2269736842105263</v>
      </c>
      <c r="BD22" s="247" t="n">
        <v>0.28125</v>
      </c>
      <c r="BE22" s="247" t="n">
        <v>0.1654411764705882</v>
      </c>
      <c r="BF22" s="247" t="n">
        <v>0.2536764705882353</v>
      </c>
      <c r="BG22" s="247" t="n">
        <v>0.1875</v>
      </c>
      <c r="BH22" s="247" t="n">
        <v>0.03333333333333333</v>
      </c>
      <c r="BI22" s="247" t="n">
        <v>0.147887323943662</v>
      </c>
      <c r="BJ22" s="247" t="n">
        <v>0.02985074626865669</v>
      </c>
      <c r="BK22" s="247" t="n">
        <v>0.1492537313432836</v>
      </c>
      <c r="BL22" s="247" t="n">
        <v>-0.05729166666666669</v>
      </c>
      <c r="BM22" s="247" t="n">
        <v>0.1480263157894737</v>
      </c>
      <c r="BN22" s="247" t="n">
        <v>0.00347222222222221</v>
      </c>
      <c r="BO22" s="247" t="n">
        <v>0.1911764705882353</v>
      </c>
      <c r="BP22" s="247" t="n">
        <v>0.1323529411764706</v>
      </c>
      <c r="BQ22" s="247" t="n">
        <v>0.1640625</v>
      </c>
      <c r="BR22" s="247" t="n">
        <v>0.1019736842105263</v>
      </c>
      <c r="BS22" s="247" t="n">
        <v>0.2256944444444444</v>
      </c>
      <c r="BT22" s="247" t="n">
        <v>0.1066176470588235</v>
      </c>
      <c r="BU22" s="247" t="n">
        <v>0.1727941176470589</v>
      </c>
      <c r="BV22" s="247" t="n">
        <v>0.14453125</v>
      </c>
      <c r="BW22" s="247" t="n">
        <v>0.3274647887323944</v>
      </c>
      <c r="BX22" s="247" t="n">
        <v>0.3805970149253731</v>
      </c>
      <c r="BY22" s="247" t="n">
        <v>0.01984126984126988</v>
      </c>
      <c r="BZ22" s="247" t="n">
        <v>0.3174603174603174</v>
      </c>
      <c r="CA22" s="247" t="n">
        <v>0.3277777777777777</v>
      </c>
      <c r="CB22" s="247" t="n">
        <v>0.204225352112676</v>
      </c>
      <c r="CC22" s="247" t="n">
        <v>0.1529850746268657</v>
      </c>
      <c r="CD22" s="247" t="n">
        <v>-0.005208333333333315</v>
      </c>
      <c r="CE22" s="247" t="n">
        <v>0.046875</v>
      </c>
      <c r="CF22" s="247" t="n">
        <v>0.1277777777777778</v>
      </c>
    </row>
    <row r="24">
      <c r="A24" s="88" t="n"/>
      <c r="C24" s="121" t="inlineStr">
        <is>
          <t>Max AUROC in indicator</t>
        </is>
      </c>
      <c r="D24" s="247" t="n">
        <v>0.2101449275362319</v>
      </c>
      <c r="E24" s="247" t="n">
        <v>0.3359375</v>
      </c>
      <c r="F24" s="247" t="n">
        <v>0.2471264367816092</v>
      </c>
      <c r="G24" s="247" t="n">
        <v>0.3225806451612904</v>
      </c>
      <c r="H24" s="247" t="n">
        <v>0.1954022988505747</v>
      </c>
      <c r="I24" s="247" t="n">
        <v>0.3142857142857143</v>
      </c>
      <c r="J24" s="247" t="n">
        <v>0.2651515151515151</v>
      </c>
      <c r="K24" s="247" t="n">
        <v>0.2248677248677249</v>
      </c>
      <c r="L24" s="247" t="n">
        <v>0.298941798941799</v>
      </c>
      <c r="M24" s="247" t="n">
        <v>0.2457627118644068</v>
      </c>
      <c r="N24" s="247" t="n">
        <v>0.3614864864864865</v>
      </c>
      <c r="O24" s="247" t="n">
        <v>0.2894736842105263</v>
      </c>
      <c r="P24" s="247" t="n">
        <v>0.2095588235294118</v>
      </c>
      <c r="Q24" s="247" t="n">
        <v>0.2892857142857143</v>
      </c>
      <c r="R24" s="247" t="n">
        <v>0.375</v>
      </c>
      <c r="S24" s="247" t="n">
        <v>0.2954545454545454</v>
      </c>
      <c r="T24" s="247" t="n">
        <v>0.4</v>
      </c>
      <c r="U24" s="247" t="n">
        <v>0.4139784946236559</v>
      </c>
      <c r="V24" s="247" t="n">
        <v>0.1006944444444444</v>
      </c>
      <c r="W24" s="247" t="n">
        <v>0.2052238805970149</v>
      </c>
      <c r="X24" s="247" t="n">
        <v>0.1236559139784946</v>
      </c>
      <c r="Y24" s="247" t="n">
        <v>0.125</v>
      </c>
      <c r="Z24" s="247" t="n">
        <v>0.1379310344827587</v>
      </c>
      <c r="AA24" s="247" t="n">
        <v>0.1159420289855072</v>
      </c>
      <c r="AB24" s="247" t="n">
        <v>0.19921875</v>
      </c>
      <c r="AC24" s="247" t="n">
        <v>0.06451612903225812</v>
      </c>
      <c r="AD24" s="247" t="n">
        <v>0.1397849462365591</v>
      </c>
      <c r="AE24" s="247" t="n">
        <v>0.08730158730158732</v>
      </c>
      <c r="AF24" s="247" t="n">
        <v>0.1423611111111112</v>
      </c>
      <c r="AG24" s="247" t="n">
        <v>0.1118421052631579</v>
      </c>
      <c r="AH24" s="247" t="n">
        <v>0.1126760563380281</v>
      </c>
      <c r="AI24" s="247" t="n">
        <v>0.1811594202898551</v>
      </c>
      <c r="AJ24" s="247" t="n">
        <v>0.16015625</v>
      </c>
      <c r="AK24" s="247" t="n">
        <v>0.16796875</v>
      </c>
      <c r="AL24" s="247" t="n">
        <v>0.12109375</v>
      </c>
      <c r="AM24" s="247" t="n">
        <v>0.08479532163742687</v>
      </c>
      <c r="AN24" s="247" t="n">
        <v>0.2467105263157895</v>
      </c>
      <c r="AO24" s="247" t="n">
        <v>0.3028169014084507</v>
      </c>
      <c r="AP24" s="247" t="n">
        <v>0.3743169398907104</v>
      </c>
      <c r="AQ24" s="247" t="n">
        <v>0.332089552238806</v>
      </c>
      <c r="AR24" s="247" t="n">
        <v>0.359375</v>
      </c>
      <c r="AS24" s="247" t="n">
        <v>0.1631944444444444</v>
      </c>
      <c r="AT24" s="247" t="n">
        <v>0.1284722222222222</v>
      </c>
      <c r="AU24" s="247" t="n">
        <v>0.2037037037037037</v>
      </c>
      <c r="AV24" s="247" t="n">
        <v>0.156084656084656</v>
      </c>
      <c r="AW24" s="247" t="n">
        <v>0.2231638418079096</v>
      </c>
      <c r="AX24" s="247" t="n">
        <v>0.2821428571428571</v>
      </c>
      <c r="AY24" s="247" t="n">
        <v>0.2678571428571429</v>
      </c>
      <c r="AZ24" s="247" t="n">
        <v>0.2195767195767195</v>
      </c>
      <c r="BA24" s="247" t="n">
        <v>0.2301587301587301</v>
      </c>
      <c r="BB24" s="247" t="n">
        <v>0.1954022988505747</v>
      </c>
      <c r="BC24" s="247" t="n">
        <v>0.24</v>
      </c>
      <c r="BD24" s="247" t="n">
        <v>0.3450704225352113</v>
      </c>
      <c r="BE24" s="247" t="n">
        <v>0.1654411764705882</v>
      </c>
      <c r="BF24" s="247" t="n">
        <v>0.2574626865671642</v>
      </c>
      <c r="BG24" s="247" t="n">
        <v>0.1875</v>
      </c>
      <c r="BH24" s="247" t="n">
        <v>0.225</v>
      </c>
      <c r="BI24" s="247" t="n">
        <v>0.2604166666666666</v>
      </c>
      <c r="BJ24" s="247" t="n">
        <v>0.2388888888888889</v>
      </c>
      <c r="BK24" s="247" t="n">
        <v>0.2777777777777778</v>
      </c>
      <c r="BL24" s="247" t="n">
        <v>0.2738095238095238</v>
      </c>
      <c r="BM24" s="247" t="n">
        <v>0.2263513513513513</v>
      </c>
      <c r="BN24" s="247" t="n">
        <v>0.3535714285714285</v>
      </c>
      <c r="BO24" s="247" t="n">
        <v>0.2126865671641791</v>
      </c>
      <c r="BP24" s="247" t="n">
        <v>0.2840909090909091</v>
      </c>
      <c r="BQ24" s="247" t="n">
        <v>0.208994708994709</v>
      </c>
      <c r="BR24" s="247" t="n">
        <v>0.1971830985915493</v>
      </c>
      <c r="BS24" s="247" t="n">
        <v>0.2256944444444444</v>
      </c>
      <c r="BT24" s="247" t="n">
        <v>0.16796875</v>
      </c>
      <c r="BU24" s="247" t="n">
        <v>0.1727941176470589</v>
      </c>
      <c r="BV24" s="247" t="n">
        <v>0.1666666666666666</v>
      </c>
      <c r="BW24" s="247" t="n">
        <v>0.3274647887323944</v>
      </c>
      <c r="BX24" s="247" t="n">
        <v>0.4029850746268657</v>
      </c>
      <c r="BY24" s="247" t="n">
        <v>0.2671957671957672</v>
      </c>
      <c r="BZ24" s="247" t="n">
        <v>0.3852459016393442</v>
      </c>
      <c r="CA24" s="247" t="n">
        <v>0.3444444444444444</v>
      </c>
      <c r="CB24" s="247" t="n">
        <v>0.204225352112676</v>
      </c>
      <c r="CC24" s="247" t="n">
        <v>0.3222222222222222</v>
      </c>
      <c r="CD24" s="247" t="n">
        <v>0.3135593220338984</v>
      </c>
      <c r="CE24" s="247" t="n">
        <v>0.4298245614035088</v>
      </c>
      <c r="CF24" s="247" t="n">
        <v>0.2</v>
      </c>
    </row>
    <row r="25">
      <c r="A25" s="88" t="n"/>
      <c r="C25" s="121" t="inlineStr">
        <is>
          <t>Sum of max AUROC in Mj</t>
        </is>
      </c>
      <c r="D25" s="97" t="n">
        <v>1.311191808329706</v>
      </c>
      <c r="E25" s="182" t="inlineStr"/>
      <c r="F25" s="182" t="inlineStr"/>
      <c r="G25" s="182" t="inlineStr"/>
      <c r="H25" s="183" t="inlineStr"/>
      <c r="I25" s="97" t="n">
        <v>1.34900946511116</v>
      </c>
      <c r="J25" s="182" t="inlineStr"/>
      <c r="K25" s="182" t="inlineStr"/>
      <c r="L25" s="182" t="inlineStr"/>
      <c r="M25" s="183" t="inlineStr"/>
      <c r="N25" s="71" t="n">
        <v>0.8605189942264246</v>
      </c>
      <c r="O25" s="182" t="inlineStr"/>
      <c r="P25" s="183" t="inlineStr"/>
      <c r="Q25" s="97" t="n">
        <v>1.773718754363915</v>
      </c>
      <c r="R25" s="182" t="inlineStr"/>
      <c r="S25" s="182" t="inlineStr"/>
      <c r="T25" s="182" t="inlineStr"/>
      <c r="U25" s="183" t="inlineStr"/>
      <c r="V25" s="100" t="n">
        <v>0.6925052735027126</v>
      </c>
      <c r="W25" s="182" t="inlineStr"/>
      <c r="X25" s="182" t="inlineStr"/>
      <c r="Y25" s="182" t="inlineStr"/>
      <c r="Z25" s="182" t="inlineStr"/>
      <c r="AA25" s="97" t="n">
        <v>0.6067634415559118</v>
      </c>
      <c r="AB25" s="182" t="inlineStr"/>
      <c r="AC25" s="182" t="inlineStr"/>
      <c r="AD25" s="182" t="inlineStr"/>
      <c r="AE25" s="183" t="inlineStr"/>
      <c r="AF25" s="71" t="n">
        <v>0.3668792727122971</v>
      </c>
      <c r="AG25" s="182" t="inlineStr"/>
      <c r="AH25" s="183" t="inlineStr"/>
      <c r="AI25" s="97" t="n">
        <v>0.715173491927282</v>
      </c>
      <c r="AJ25" s="182" t="inlineStr"/>
      <c r="AK25" s="182" t="inlineStr"/>
      <c r="AL25" s="182" t="inlineStr"/>
      <c r="AM25" s="183" t="inlineStr"/>
      <c r="AN25" s="97" t="n">
        <v>1.615308919853756</v>
      </c>
      <c r="AO25" s="182" t="inlineStr"/>
      <c r="AP25" s="182" t="inlineStr"/>
      <c r="AQ25" s="182" t="inlineStr"/>
      <c r="AR25" s="183" t="inlineStr"/>
      <c r="AS25" s="97" t="n">
        <v>0.874618868262936</v>
      </c>
      <c r="AT25" s="182" t="inlineStr"/>
      <c r="AU25" s="182" t="inlineStr"/>
      <c r="AV25" s="182" t="inlineStr"/>
      <c r="AW25" s="183" t="inlineStr"/>
      <c r="AX25" s="97" t="n">
        <v>1.195137748586024</v>
      </c>
      <c r="AY25" s="182" t="inlineStr"/>
      <c r="AZ25" s="182" t="inlineStr"/>
      <c r="BA25" s="182" t="inlineStr"/>
      <c r="BB25" s="183" t="inlineStr"/>
      <c r="BC25" s="97" t="n">
        <v>1.195474285572964</v>
      </c>
      <c r="BD25" s="182" t="inlineStr"/>
      <c r="BE25" s="182" t="inlineStr"/>
      <c r="BF25" s="182" t="inlineStr"/>
      <c r="BG25" s="183" t="inlineStr"/>
      <c r="BH25" s="97" t="n">
        <v>1.275892857142857</v>
      </c>
      <c r="BI25" s="182" t="inlineStr"/>
      <c r="BJ25" s="182" t="inlineStr"/>
      <c r="BK25" s="182" t="inlineStr"/>
      <c r="BL25" s="183" t="inlineStr"/>
      <c r="BM25" s="97" t="n">
        <v>1.285694965172577</v>
      </c>
      <c r="BN25" s="182" t="inlineStr"/>
      <c r="BO25" s="182" t="inlineStr"/>
      <c r="BP25" s="182" t="inlineStr"/>
      <c r="BQ25" s="183" t="inlineStr"/>
      <c r="BR25" s="97" t="n">
        <v>0.9303070773497192</v>
      </c>
      <c r="BS25" s="182" t="inlineStr"/>
      <c r="BT25" s="182" t="inlineStr"/>
      <c r="BU25" s="182" t="inlineStr"/>
      <c r="BV25" s="183" t="inlineStr"/>
      <c r="BW25" s="97" t="n">
        <v>1.727335976638816</v>
      </c>
      <c r="BX25" s="182" t="inlineStr"/>
      <c r="BY25" s="182" t="inlineStr"/>
      <c r="BZ25" s="182" t="inlineStr"/>
      <c r="CA25" s="183" t="inlineStr"/>
      <c r="CB25" s="97" t="n">
        <v>1.469831457772305</v>
      </c>
      <c r="CC25" s="182" t="inlineStr"/>
      <c r="CD25" s="182" t="inlineStr"/>
      <c r="CE25" s="182" t="inlineStr"/>
      <c r="CF25" s="183" t="inlineStr"/>
    </row>
    <row r="26" customFormat="1" s="50">
      <c r="B26" s="87" t="n"/>
      <c r="C26" s="122" t="inlineStr">
        <is>
          <t>Number of indicators in Mj</t>
        </is>
      </c>
      <c r="D26" s="126" t="n">
        <v>5</v>
      </c>
      <c r="E26" s="126" t="inlineStr"/>
      <c r="F26" s="126" t="inlineStr"/>
      <c r="G26" s="126" t="inlineStr"/>
      <c r="H26" s="126" t="inlineStr"/>
      <c r="I26" s="126" t="n">
        <v>5</v>
      </c>
      <c r="J26" s="126" t="inlineStr"/>
      <c r="K26" s="126" t="inlineStr"/>
      <c r="L26" s="126" t="inlineStr"/>
      <c r="M26" s="126" t="inlineStr"/>
      <c r="N26" s="126" t="n">
        <v>3</v>
      </c>
      <c r="O26" s="126" t="inlineStr"/>
      <c r="P26" s="126" t="inlineStr"/>
      <c r="Q26" s="126" t="n">
        <v>5</v>
      </c>
      <c r="R26" s="126" t="inlineStr"/>
      <c r="S26" s="126" t="inlineStr"/>
      <c r="T26" s="126" t="inlineStr"/>
      <c r="U26" s="126" t="inlineStr"/>
      <c r="V26" s="126" t="n">
        <v>5</v>
      </c>
      <c r="W26" s="126" t="inlineStr"/>
      <c r="X26" s="126" t="inlineStr"/>
      <c r="Y26" s="126" t="inlineStr"/>
      <c r="Z26" s="126" t="inlineStr"/>
      <c r="AA26" s="126" t="n">
        <v>5</v>
      </c>
      <c r="AB26" s="126" t="inlineStr"/>
      <c r="AC26" s="126" t="inlineStr"/>
      <c r="AD26" s="126" t="inlineStr"/>
      <c r="AE26" s="126" t="inlineStr"/>
      <c r="AF26" s="126" t="n">
        <v>3</v>
      </c>
      <c r="AG26" s="126" t="inlineStr"/>
      <c r="AH26" s="126" t="inlineStr"/>
      <c r="AI26" s="126" t="n">
        <v>5</v>
      </c>
      <c r="AJ26" s="126" t="inlineStr"/>
      <c r="AK26" s="126" t="inlineStr"/>
      <c r="AL26" s="126" t="inlineStr"/>
      <c r="AM26" s="126" t="inlineStr"/>
      <c r="AN26" s="126" t="n">
        <v>5</v>
      </c>
      <c r="AO26" s="126" t="inlineStr"/>
      <c r="AP26" s="126" t="inlineStr"/>
      <c r="AQ26" s="126" t="inlineStr"/>
      <c r="AR26" s="126" t="inlineStr"/>
      <c r="AS26" s="126" t="n">
        <v>5</v>
      </c>
      <c r="AT26" s="126" t="inlineStr"/>
      <c r="AU26" s="126" t="inlineStr"/>
      <c r="AV26" s="126" t="inlineStr"/>
      <c r="AW26" s="126" t="inlineStr"/>
      <c r="AX26" s="126" t="n">
        <v>5</v>
      </c>
      <c r="AY26" s="126" t="inlineStr"/>
      <c r="AZ26" s="126" t="inlineStr"/>
      <c r="BA26" s="126" t="inlineStr"/>
      <c r="BB26" s="126" t="inlineStr"/>
      <c r="BC26" s="126" t="n">
        <v>5</v>
      </c>
      <c r="BD26" s="126" t="inlineStr"/>
      <c r="BE26" s="126" t="inlineStr"/>
      <c r="BF26" s="126" t="inlineStr"/>
      <c r="BG26" s="126" t="inlineStr"/>
      <c r="BH26" s="126" t="n">
        <v>5</v>
      </c>
      <c r="BI26" s="126" t="inlineStr"/>
      <c r="BJ26" s="126" t="inlineStr"/>
      <c r="BK26" s="126" t="inlineStr"/>
      <c r="BL26" s="126" t="inlineStr"/>
      <c r="BM26" s="126" t="n">
        <v>5</v>
      </c>
      <c r="BN26" s="126" t="inlineStr"/>
      <c r="BO26" s="126" t="inlineStr"/>
      <c r="BP26" s="126" t="inlineStr"/>
      <c r="BQ26" s="126" t="inlineStr"/>
      <c r="BR26" s="126" t="n">
        <v>5</v>
      </c>
      <c r="BS26" s="126" t="inlineStr"/>
      <c r="BT26" s="126" t="inlineStr"/>
      <c r="BU26" s="126" t="inlineStr"/>
      <c r="BV26" s="126" t="inlineStr"/>
      <c r="BW26" s="126" t="n">
        <v>5</v>
      </c>
      <c r="BX26" s="126" t="inlineStr"/>
      <c r="BY26" s="126" t="inlineStr"/>
      <c r="BZ26" s="126" t="inlineStr"/>
      <c r="CA26" s="126" t="inlineStr"/>
      <c r="CB26" s="126" t="n">
        <v>5</v>
      </c>
      <c r="CC26" s="126" t="inlineStr"/>
      <c r="CD26" s="126" t="inlineStr"/>
      <c r="CE26" s="126" t="inlineStr"/>
      <c r="CF26" s="126" t="inlineStr"/>
    </row>
    <row r="27" ht="16.35" customFormat="1" customHeight="1" s="53">
      <c r="B27" s="52" t="n"/>
      <c r="C27" s="123" t="inlineStr">
        <is>
          <t>Average sum of max AUROC in Mj</t>
        </is>
      </c>
      <c r="D27" s="127" t="n">
        <v>0.2622383616659413</v>
      </c>
      <c r="E27" s="182" t="inlineStr"/>
      <c r="F27" s="182" t="inlineStr"/>
      <c r="G27" s="182" t="inlineStr"/>
      <c r="H27" s="183" t="inlineStr"/>
      <c r="I27" s="127" t="n">
        <v>0.269801893022232</v>
      </c>
      <c r="J27" s="182" t="inlineStr"/>
      <c r="K27" s="182" t="inlineStr"/>
      <c r="L27" s="182" t="inlineStr"/>
      <c r="M27" s="183" t="inlineStr"/>
      <c r="N27" s="127" t="n">
        <v>0.2868396647421416</v>
      </c>
      <c r="O27" s="182" t="inlineStr"/>
      <c r="P27" s="183" t="inlineStr"/>
      <c r="Q27" s="127" t="n">
        <v>0.3547437508727831</v>
      </c>
      <c r="R27" s="182" t="inlineStr"/>
      <c r="S27" s="182" t="inlineStr"/>
      <c r="T27" s="182" t="inlineStr"/>
      <c r="U27" s="183" t="inlineStr"/>
      <c r="V27" s="127" t="n">
        <v>0.1385010547005425</v>
      </c>
      <c r="W27" s="182" t="inlineStr"/>
      <c r="X27" s="182" t="inlineStr"/>
      <c r="Y27" s="182" t="inlineStr"/>
      <c r="Z27" s="183" t="inlineStr"/>
      <c r="AA27" s="127" t="n">
        <v>0.1213526883111824</v>
      </c>
      <c r="AB27" s="182" t="inlineStr"/>
      <c r="AC27" s="182" t="inlineStr"/>
      <c r="AD27" s="182" t="inlineStr"/>
      <c r="AE27" s="183" t="inlineStr"/>
      <c r="AF27" s="127" t="n">
        <v>0.1222930909040991</v>
      </c>
      <c r="AG27" s="182" t="inlineStr"/>
      <c r="AH27" s="183" t="inlineStr"/>
      <c r="AI27" s="127" t="n">
        <v>0.1430346983854564</v>
      </c>
      <c r="AJ27" s="182" t="inlineStr"/>
      <c r="AK27" s="182" t="inlineStr"/>
      <c r="AL27" s="182" t="inlineStr"/>
      <c r="AM27" s="183" t="inlineStr"/>
      <c r="AN27" s="127" t="n">
        <v>0.3230617839707513</v>
      </c>
      <c r="AO27" s="182" t="inlineStr"/>
      <c r="AP27" s="182" t="inlineStr"/>
      <c r="AQ27" s="182" t="inlineStr"/>
      <c r="AR27" s="183" t="inlineStr"/>
      <c r="AS27" s="127" t="n">
        <v>0.1749237736525872</v>
      </c>
      <c r="AT27" s="182" t="inlineStr"/>
      <c r="AU27" s="182" t="inlineStr"/>
      <c r="AV27" s="182" t="inlineStr"/>
      <c r="AW27" s="183" t="inlineStr"/>
      <c r="AX27" s="127" t="n">
        <v>0.2390275497172049</v>
      </c>
      <c r="AY27" s="182" t="inlineStr"/>
      <c r="AZ27" s="182" t="inlineStr"/>
      <c r="BA27" s="182" t="inlineStr"/>
      <c r="BB27" s="183" t="inlineStr"/>
      <c r="BC27" s="127" t="n">
        <v>0.2390948571145927</v>
      </c>
      <c r="BD27" s="182" t="inlineStr"/>
      <c r="BE27" s="182" t="inlineStr"/>
      <c r="BF27" s="182" t="inlineStr"/>
      <c r="BG27" s="183" t="inlineStr"/>
      <c r="BH27" s="127" t="n">
        <v>0.2551785714285714</v>
      </c>
      <c r="BI27" s="182" t="inlineStr"/>
      <c r="BJ27" s="182" t="inlineStr"/>
      <c r="BK27" s="182" t="inlineStr"/>
      <c r="BL27" s="183" t="inlineStr"/>
      <c r="BM27" s="127" t="n">
        <v>0.2571389930345154</v>
      </c>
      <c r="BN27" s="182" t="inlineStr"/>
      <c r="BO27" s="182" t="inlineStr"/>
      <c r="BP27" s="182" t="inlineStr"/>
      <c r="BQ27" s="183" t="inlineStr"/>
      <c r="BR27" s="127" t="n">
        <v>0.1860614154699438</v>
      </c>
      <c r="BS27" s="182" t="inlineStr"/>
      <c r="BT27" s="182" t="inlineStr"/>
      <c r="BU27" s="182" t="inlineStr"/>
      <c r="BV27" s="183" t="inlineStr"/>
      <c r="BW27" s="127" t="n">
        <v>0.3454671953277632</v>
      </c>
      <c r="BX27" s="182" t="inlineStr"/>
      <c r="BY27" s="182" t="inlineStr"/>
      <c r="BZ27" s="182" t="inlineStr"/>
      <c r="CA27" s="183" t="inlineStr"/>
      <c r="CB27" s="127" t="n">
        <v>0.2939662915544611</v>
      </c>
      <c r="CC27" s="182" t="inlineStr"/>
      <c r="CD27" s="182" t="inlineStr"/>
      <c r="CE27" s="182" t="inlineStr"/>
      <c r="CF27" s="183" t="inlineStr"/>
    </row>
    <row r="28">
      <c r="A28" s="88" t="n"/>
      <c r="C28" s="121" t="inlineStr">
        <is>
          <t>Sum of average max in sector</t>
        </is>
      </c>
      <c r="D28" s="102" t="n">
        <v>1.173623670303098</v>
      </c>
      <c r="E28" s="182" t="inlineStr"/>
      <c r="F28" s="182" t="inlineStr"/>
      <c r="G28" s="182" t="inlineStr"/>
      <c r="H28" s="182" t="inlineStr"/>
      <c r="I28" s="102" t="n">
        <v>1.173623670303098</v>
      </c>
      <c r="J28" s="182" t="inlineStr"/>
      <c r="K28" s="182" t="inlineStr"/>
      <c r="L28" s="182" t="inlineStr"/>
      <c r="M28" s="182" t="inlineStr"/>
      <c r="N28" s="105" t="n">
        <v>1.173623670303098</v>
      </c>
      <c r="O28" s="182" t="inlineStr"/>
      <c r="P28" s="182" t="inlineStr"/>
      <c r="Q28" s="102" t="n">
        <v>1.173623670303098</v>
      </c>
      <c r="R28" s="182" t="inlineStr"/>
      <c r="S28" s="182" t="inlineStr"/>
      <c r="T28" s="182" t="inlineStr"/>
      <c r="U28" s="182" t="inlineStr"/>
      <c r="V28" s="98" t="n">
        <v>0.3821468339158239</v>
      </c>
      <c r="W28" s="182" t="inlineStr"/>
      <c r="X28" s="182" t="inlineStr"/>
      <c r="Y28" s="182" t="inlineStr"/>
      <c r="Z28" s="183" t="inlineStr"/>
      <c r="AA28" s="98" t="n">
        <v>0.3821468339158239</v>
      </c>
      <c r="AB28" s="182" t="inlineStr"/>
      <c r="AC28" s="182" t="inlineStr"/>
      <c r="AD28" s="182" t="inlineStr"/>
      <c r="AE28" s="183" t="inlineStr"/>
      <c r="AF28" s="104" t="n">
        <v>0.3821468339158239</v>
      </c>
      <c r="AG28" s="182" t="inlineStr"/>
      <c r="AH28" s="183" t="inlineStr"/>
      <c r="AI28" s="98" t="n">
        <v>0.641020256008795</v>
      </c>
      <c r="AJ28" s="182" t="inlineStr"/>
      <c r="AK28" s="182" t="inlineStr"/>
      <c r="AL28" s="182" t="inlineStr"/>
      <c r="AM28" s="183" t="inlineStr"/>
      <c r="AN28" s="98" t="n">
        <v>0.641020256008795</v>
      </c>
      <c r="AO28" s="182" t="inlineStr"/>
      <c r="AP28" s="182" t="inlineStr"/>
      <c r="AQ28" s="182" t="inlineStr"/>
      <c r="AR28" s="183" t="inlineStr"/>
      <c r="AS28" s="98" t="n">
        <v>0.641020256008795</v>
      </c>
      <c r="AT28" s="182" t="inlineStr"/>
      <c r="AU28" s="182" t="inlineStr"/>
      <c r="AV28" s="182" t="inlineStr"/>
      <c r="AW28" s="183" t="inlineStr"/>
      <c r="AX28" s="98" t="n">
        <v>0.733300978260369</v>
      </c>
      <c r="AY28" s="182" t="inlineStr"/>
      <c r="AZ28" s="182" t="inlineStr"/>
      <c r="BA28" s="182" t="inlineStr"/>
      <c r="BB28" s="183" t="inlineStr"/>
      <c r="BC28" s="98" t="n">
        <v>0.733300978260369</v>
      </c>
      <c r="BD28" s="182" t="inlineStr"/>
      <c r="BE28" s="182" t="inlineStr"/>
      <c r="BF28" s="182" t="inlineStr"/>
      <c r="BG28" s="183" t="inlineStr"/>
      <c r="BH28" s="98" t="n">
        <v>0.733300978260369</v>
      </c>
      <c r="BI28" s="182" t="inlineStr"/>
      <c r="BJ28" s="182" t="inlineStr"/>
      <c r="BK28" s="182" t="inlineStr"/>
      <c r="BL28" s="183" t="inlineStr"/>
      <c r="BM28" s="98" t="n">
        <v>0.4432004085044592</v>
      </c>
      <c r="BN28" s="182" t="inlineStr"/>
      <c r="BO28" s="182" t="inlineStr"/>
      <c r="BP28" s="182" t="inlineStr"/>
      <c r="BQ28" s="183" t="inlineStr"/>
      <c r="BR28" s="98" t="n">
        <v>0.4432004085044592</v>
      </c>
      <c r="BS28" s="182" t="inlineStr"/>
      <c r="BT28" s="182" t="inlineStr"/>
      <c r="BU28" s="182" t="inlineStr"/>
      <c r="BV28" s="183" t="inlineStr"/>
      <c r="BW28" s="102" t="n">
        <v>0.6394334868822242</v>
      </c>
      <c r="BX28" s="182" t="inlineStr"/>
      <c r="BY28" s="182" t="inlineStr"/>
      <c r="BZ28" s="182" t="inlineStr"/>
      <c r="CA28" s="182" t="inlineStr"/>
      <c r="CB28" s="98" t="n">
        <v>0.6394334868822242</v>
      </c>
      <c r="CC28" s="182" t="inlineStr"/>
      <c r="CD28" s="182" t="inlineStr"/>
      <c r="CE28" s="182" t="inlineStr"/>
      <c r="CF28" s="183" t="inlineStr"/>
    </row>
    <row r="29">
      <c r="A29" s="88" t="n"/>
      <c r="C29" s="121" t="inlineStr">
        <is>
          <t>Weight indicator in Mj</t>
        </is>
      </c>
      <c r="D29" s="100" t="n">
        <v>0.1602701650523047</v>
      </c>
      <c r="E29" s="182" t="n">
        <v>0.2562077476886789</v>
      </c>
      <c r="F29" s="182" t="n">
        <v>0.1884746649663845</v>
      </c>
      <c r="G29" s="182" t="n">
        <v>0.246020943016886</v>
      </c>
      <c r="H29" s="182" t="n">
        <v>0.1490264792757459</v>
      </c>
      <c r="I29" s="101" t="n">
        <v>0.232975173572868</v>
      </c>
      <c r="J29" s="182" t="n">
        <v>0.1965527462994237</v>
      </c>
      <c r="K29" s="182" t="n">
        <v>0.1666909911927086</v>
      </c>
      <c r="L29" s="182" t="n">
        <v>0.2216009647620714</v>
      </c>
      <c r="M29" s="182" t="n">
        <v>0.1821801241729284</v>
      </c>
      <c r="N29" s="103" t="n">
        <v>0.4200796134795953</v>
      </c>
      <c r="O29" s="182" t="n">
        <v>0.3363942994317664</v>
      </c>
      <c r="P29" s="183" t="n">
        <v>0.2435260870886384</v>
      </c>
      <c r="Q29" s="97" t="n">
        <v>0.1630955942558418</v>
      </c>
      <c r="R29" s="182" t="n">
        <v>0.2114202147760912</v>
      </c>
      <c r="S29" s="182" t="n">
        <v>0.1665735025508597</v>
      </c>
      <c r="T29" s="182" t="n">
        <v>0.225514895761164</v>
      </c>
      <c r="U29" s="183" t="n">
        <v>0.2333957926560433</v>
      </c>
      <c r="V29" s="97" t="n">
        <v>0.145406032700847</v>
      </c>
      <c r="W29" s="182" t="n">
        <v>0.2963499173933887</v>
      </c>
      <c r="X29" s="182" t="n">
        <v>0.1785631369318522</v>
      </c>
      <c r="Y29" s="182" t="n">
        <v>0.1805040405941549</v>
      </c>
      <c r="Z29" s="183" t="n">
        <v>0.1991768723797572</v>
      </c>
      <c r="AA29" s="101" t="n">
        <v>0.1910827532525679</v>
      </c>
      <c r="AB29" s="182" t="n">
        <v>0.3283301800272396</v>
      </c>
      <c r="AC29" s="182" t="n">
        <v>0.1063283062453807</v>
      </c>
      <c r="AD29" s="182" t="n">
        <v>0.2303779968649912</v>
      </c>
      <c r="AE29" s="182" t="n">
        <v>0.1438807636098206</v>
      </c>
      <c r="AF29" s="103" t="n">
        <v>0.3880325810140526</v>
      </c>
      <c r="AG29" s="182" t="n">
        <v>0.3048471624911426</v>
      </c>
      <c r="AH29" s="183" t="n">
        <v>0.3071202564948048</v>
      </c>
      <c r="AI29" s="97" t="n">
        <v>0.2533083543150607</v>
      </c>
      <c r="AJ29" s="182" t="n">
        <v>0.2239404169866583</v>
      </c>
      <c r="AK29" s="182" t="n">
        <v>0.2348643397664953</v>
      </c>
      <c r="AL29" s="182" t="n">
        <v>0.1693208030874733</v>
      </c>
      <c r="AM29" s="183" t="n">
        <v>0.1185660858443125</v>
      </c>
      <c r="AN29" s="97" t="n">
        <v>0.1527327208334401</v>
      </c>
      <c r="AO29" s="182" t="n">
        <v>0.1874668663600685</v>
      </c>
      <c r="AP29" s="182" t="n">
        <v>0.2317308691173448</v>
      </c>
      <c r="AQ29" s="182" t="n">
        <v>0.2055888803417689</v>
      </c>
      <c r="AR29" s="183" t="n">
        <v>0.2224806633473778</v>
      </c>
      <c r="AS29" s="97" t="n">
        <v>0.1865892108737167</v>
      </c>
      <c r="AT29" s="182" t="n">
        <v>0.1468893787729259</v>
      </c>
      <c r="AU29" s="182" t="n">
        <v>0.2329056816579727</v>
      </c>
      <c r="AV29" s="182" t="n">
        <v>0.178460197634031</v>
      </c>
      <c r="AW29" s="183" t="n">
        <v>0.2551555310613537</v>
      </c>
      <c r="AX29" s="97" t="n">
        <v>0.2360755967056201</v>
      </c>
      <c r="AY29" s="182" t="n">
        <v>0.2241224019357154</v>
      </c>
      <c r="AZ29" s="182" t="n">
        <v>0.1837250307226111</v>
      </c>
      <c r="BA29" s="182" t="n">
        <v>0.1925792490706887</v>
      </c>
      <c r="BB29" s="183" t="n">
        <v>0.1634977215653647</v>
      </c>
      <c r="BC29" s="97" t="n">
        <v>0.2007571412420414</v>
      </c>
      <c r="BD29" s="182" t="n">
        <v>0.2886472981473013</v>
      </c>
      <c r="BE29" s="182" t="n">
        <v>0.1383895734664807</v>
      </c>
      <c r="BF29" s="182" t="n">
        <v>0.2153644705488317</v>
      </c>
      <c r="BG29" s="183" t="n">
        <v>0.1568415165953448</v>
      </c>
      <c r="BH29" s="97" t="n">
        <v>0.1763470958712386</v>
      </c>
      <c r="BI29" s="182" t="n">
        <v>0.2041054350361558</v>
      </c>
      <c r="BJ29" s="182" t="n">
        <v>0.187232719073167</v>
      </c>
      <c r="BK29" s="182" t="n">
        <v>0.2177124640385662</v>
      </c>
      <c r="BL29" s="183" t="n">
        <v>0.2146022859808724</v>
      </c>
      <c r="BM29" s="97" t="n">
        <v>0.1760536966254422</v>
      </c>
      <c r="BN29" s="182" t="n">
        <v>0.2750041325112984</v>
      </c>
      <c r="BO29" s="182" t="n">
        <v>0.1654253714337526</v>
      </c>
      <c r="BP29" s="182" t="n">
        <v>0.2209629163887843</v>
      </c>
      <c r="BQ29" s="183" t="n">
        <v>0.1625538830407226</v>
      </c>
      <c r="BR29" s="97" t="n">
        <v>0.2119548516746633</v>
      </c>
      <c r="BS29" s="182" t="n">
        <v>0.2426020933726615</v>
      </c>
      <c r="BT29" s="182" t="n">
        <v>0.1805519425677308</v>
      </c>
      <c r="BU29" s="182" t="n">
        <v>0.1857387972789789</v>
      </c>
      <c r="BV29" s="183" t="n">
        <v>0.1791523151059654</v>
      </c>
      <c r="BW29" s="97" t="n">
        <v>0.1895779357120788</v>
      </c>
      <c r="BX29" s="182" t="n">
        <v>0.2332986055272381</v>
      </c>
      <c r="BY29" s="182" t="n">
        <v>0.1546866219481501</v>
      </c>
      <c r="BZ29" s="182" t="n">
        <v>0.2230289340635315</v>
      </c>
      <c r="CA29" s="183" t="n">
        <v>0.1994079027490014</v>
      </c>
      <c r="CB29" s="97" t="n">
        <v>0.1389447416115331</v>
      </c>
      <c r="CC29" s="182" t="n">
        <v>0.2192239256537523</v>
      </c>
      <c r="CD29" s="182" t="n">
        <v>0.2133301205222079</v>
      </c>
      <c r="CE29" s="182" t="n">
        <v>0.2924311893929364</v>
      </c>
      <c r="CF29" s="183" t="n">
        <v>0.1360700228195704</v>
      </c>
    </row>
    <row r="30">
      <c r="A30" s="88" t="n"/>
      <c r="C30" s="121" t="inlineStr">
        <is>
          <t>Weight Mj in Sector</t>
        </is>
      </c>
      <c r="D30" s="100" t="n">
        <v>0.2234433134756187</v>
      </c>
      <c r="E30" s="182" t="n">
        <v>0.2234433134756187</v>
      </c>
      <c r="F30" s="182" t="n">
        <v>0.2234433134756187</v>
      </c>
      <c r="G30" s="182" t="n">
        <v>0.2234433134756187</v>
      </c>
      <c r="H30" s="182" t="n">
        <v>0.2234433134756187</v>
      </c>
      <c r="I30" s="182" t="n">
        <v>0.229887910280945</v>
      </c>
      <c r="J30" s="182" t="n">
        <v>0.229887910280945</v>
      </c>
      <c r="K30" s="182" t="n">
        <v>0.229887910280945</v>
      </c>
      <c r="L30" s="182" t="n">
        <v>0.229887910280945</v>
      </c>
      <c r="M30" s="182" t="n">
        <v>0.229887910280945</v>
      </c>
      <c r="N30" s="182" t="n">
        <v>0.2444051462152794</v>
      </c>
      <c r="O30" s="182" t="n">
        <v>0.2444051462152794</v>
      </c>
      <c r="P30" s="182" t="n">
        <v>0.2444051462152794</v>
      </c>
      <c r="Q30" s="182" t="n">
        <v>0.3022636300281568</v>
      </c>
      <c r="R30" s="182" t="n">
        <v>0.3022636300281568</v>
      </c>
      <c r="S30" s="182" t="n">
        <v>0.3022636300281568</v>
      </c>
      <c r="T30" s="182" t="n">
        <v>0.3022636300281568</v>
      </c>
      <c r="U30" s="182" t="n">
        <v>0.3022636300281568</v>
      </c>
      <c r="V30" s="97" t="n">
        <v>0.3624288948866455</v>
      </c>
      <c r="W30" s="182" t="n">
        <v>0.3624288948866455</v>
      </c>
      <c r="X30" s="182" t="n">
        <v>0.3624288948866455</v>
      </c>
      <c r="Y30" s="182" t="n">
        <v>0.3624288948866455</v>
      </c>
      <c r="Z30" s="182" t="n">
        <v>0.3624288948866455</v>
      </c>
      <c r="AA30" s="182" t="n">
        <v>0.3175551320619155</v>
      </c>
      <c r="AB30" s="182" t="n">
        <v>0.3175551320619155</v>
      </c>
      <c r="AC30" s="182" t="n">
        <v>0.3175551320619155</v>
      </c>
      <c r="AD30" s="182" t="n">
        <v>0.3175551320619155</v>
      </c>
      <c r="AE30" s="182" t="n">
        <v>0.3175551320619155</v>
      </c>
      <c r="AF30" s="182" t="n">
        <v>0.320015973051439</v>
      </c>
      <c r="AG30" s="182" t="n">
        <v>0.320015973051439</v>
      </c>
      <c r="AH30" s="183" t="n">
        <v>0.320015973051439</v>
      </c>
      <c r="AI30" s="97" t="n">
        <v>0.2231360039634909</v>
      </c>
      <c r="AJ30" s="182" t="n">
        <v>0.2231360039634909</v>
      </c>
      <c r="AK30" s="182" t="n">
        <v>0.2231360039634909</v>
      </c>
      <c r="AL30" s="182" t="n">
        <v>0.2231360039634909</v>
      </c>
      <c r="AM30" s="182" t="n">
        <v>0.2231360039634909</v>
      </c>
      <c r="AN30" s="182" t="n">
        <v>0.5039806167471856</v>
      </c>
      <c r="AO30" s="182" t="n">
        <v>0.5039806167471856</v>
      </c>
      <c r="AP30" s="182" t="n">
        <v>0.5039806167471856</v>
      </c>
      <c r="AQ30" s="182" t="n">
        <v>0.5039806167471856</v>
      </c>
      <c r="AR30" s="182" t="n">
        <v>0.5039806167471856</v>
      </c>
      <c r="AS30" s="182" t="n">
        <v>0.2728833792893234</v>
      </c>
      <c r="AT30" s="182" t="n">
        <v>0.2728833792893234</v>
      </c>
      <c r="AU30" s="182" t="n">
        <v>0.2728833792893234</v>
      </c>
      <c r="AV30" s="182" t="n">
        <v>0.2728833792893234</v>
      </c>
      <c r="AW30" s="183" t="n">
        <v>0.2728833792893234</v>
      </c>
      <c r="AX30" s="97" t="n">
        <v>0.325961040286973</v>
      </c>
      <c r="AY30" s="182" t="n">
        <v>0.325961040286973</v>
      </c>
      <c r="AZ30" s="182" t="n">
        <v>0.325961040286973</v>
      </c>
      <c r="BA30" s="182" t="n">
        <v>0.325961040286973</v>
      </c>
      <c r="BB30" s="182" t="n">
        <v>0.325961040286973</v>
      </c>
      <c r="BC30" s="182" t="n">
        <v>0.3260528271512801</v>
      </c>
      <c r="BD30" s="182" t="n">
        <v>0.3260528271512801</v>
      </c>
      <c r="BE30" s="182" t="n">
        <v>0.3260528271512801</v>
      </c>
      <c r="BF30" s="182" t="n">
        <v>0.3260528271512801</v>
      </c>
      <c r="BG30" s="182" t="n">
        <v>0.3260528271512801</v>
      </c>
      <c r="BH30" s="182" t="n">
        <v>0.3479861325617469</v>
      </c>
      <c r="BI30" s="182" t="n">
        <v>0.3479861325617469</v>
      </c>
      <c r="BJ30" s="182" t="n">
        <v>0.3479861325617469</v>
      </c>
      <c r="BK30" s="182" t="n">
        <v>0.3479861325617469</v>
      </c>
      <c r="BL30" s="183" t="n">
        <v>0.3479861325617469</v>
      </c>
      <c r="BM30" s="97" t="n">
        <v>0.5801867238845927</v>
      </c>
      <c r="BN30" s="182" t="n">
        <v>0.5801867238845927</v>
      </c>
      <c r="BO30" s="182" t="n">
        <v>0.5801867238845927</v>
      </c>
      <c r="BP30" s="182" t="n">
        <v>0.5801867238845927</v>
      </c>
      <c r="BQ30" s="182" t="n">
        <v>0.5801867238845927</v>
      </c>
      <c r="BR30" s="182" t="n">
        <v>0.4198132761154073</v>
      </c>
      <c r="BS30" s="182" t="n">
        <v>0.4198132761154073</v>
      </c>
      <c r="BT30" s="182" t="n">
        <v>0.4198132761154073</v>
      </c>
      <c r="BU30" s="182" t="n">
        <v>0.4198132761154073</v>
      </c>
      <c r="BV30" s="183" t="n">
        <v>0.4198132761154073</v>
      </c>
      <c r="BW30" s="97" t="n">
        <v>0.540270727784693</v>
      </c>
      <c r="BX30" s="182" t="n">
        <v>0.540270727784693</v>
      </c>
      <c r="BY30" s="182" t="n">
        <v>0.540270727784693</v>
      </c>
      <c r="BZ30" s="182" t="n">
        <v>0.540270727784693</v>
      </c>
      <c r="CA30" s="182" t="n">
        <v>0.540270727784693</v>
      </c>
      <c r="CB30" s="182" t="n">
        <v>0.4597292722153071</v>
      </c>
      <c r="CC30" s="182" t="n">
        <v>0.4597292722153071</v>
      </c>
      <c r="CD30" s="182" t="n">
        <v>0.4597292722153071</v>
      </c>
      <c r="CE30" s="182" t="n">
        <v>0.4597292722153071</v>
      </c>
      <c r="CF30" s="183" t="n">
        <v>0.4597292722153071</v>
      </c>
    </row>
    <row r="31" customFormat="1" s="50">
      <c r="A31" s="87" t="n"/>
      <c r="C31" s="121" t="inlineStr">
        <is>
          <t>Weight indicator in Sector</t>
        </is>
      </c>
      <c r="D31" s="128" t="n">
        <v>0.03581129673057128</v>
      </c>
      <c r="E31" s="128" t="n">
        <v>0.05724790808168369</v>
      </c>
      <c r="F31" s="128" t="n">
        <v>0.04211340364629605</v>
      </c>
      <c r="G31" s="128" t="n">
        <v>0.05497173469208938</v>
      </c>
      <c r="H31" s="128" t="n">
        <v>0.03329897032497827</v>
      </c>
      <c r="I31" s="128" t="n">
        <v>0.05355817580000707</v>
      </c>
      <c r="J31" s="128" t="n">
        <v>0.04518510010675528</v>
      </c>
      <c r="K31" s="128" t="n">
        <v>0.03832024362795119</v>
      </c>
      <c r="L31" s="128" t="n">
        <v>0.05094338270539394</v>
      </c>
      <c r="M31" s="128" t="n">
        <v>0.04188100804083758</v>
      </c>
      <c r="N31" s="128" t="n">
        <v>0.1026696193545385</v>
      </c>
      <c r="O31" s="128" t="n">
        <v>0.08221649793860734</v>
      </c>
      <c r="P31" s="128" t="n">
        <v>0.05951902892213353</v>
      </c>
      <c r="Q31" s="128" t="n">
        <v>0.04929786636137014</v>
      </c>
      <c r="R31" s="128" t="n">
        <v>0.06390464157955389</v>
      </c>
      <c r="S31" s="128" t="n">
        <v>0.0503491115475273</v>
      </c>
      <c r="T31" s="128" t="n">
        <v>0.06816495101819083</v>
      </c>
      <c r="U31" s="128" t="n">
        <v>0.07054705952151469</v>
      </c>
      <c r="V31" s="126" t="n">
        <v>0.05269934774161941</v>
      </c>
      <c r="W31" s="126" t="n">
        <v>0.1074057730606345</v>
      </c>
      <c r="X31" s="126" t="n">
        <v>0.06471644038570394</v>
      </c>
      <c r="Y31" s="126" t="n">
        <v>0.06541987995511377</v>
      </c>
      <c r="Z31" s="126" t="n">
        <v>0.07218745374357384</v>
      </c>
      <c r="AA31" s="126" t="n">
        <v>0.06067930894387362</v>
      </c>
      <c r="AB31" s="126" t="n">
        <v>0.1042629336784626</v>
      </c>
      <c r="AC31" s="126" t="n">
        <v>0.03376509933167165</v>
      </c>
      <c r="AD31" s="126" t="n">
        <v>0.07315771521862184</v>
      </c>
      <c r="AE31" s="126" t="n">
        <v>0.04569007488928582</v>
      </c>
      <c r="AF31" s="126" t="n">
        <v>0.1241766239888734</v>
      </c>
      <c r="AG31" s="126" t="n">
        <v>0.09755596133657314</v>
      </c>
      <c r="AH31" s="126" t="n">
        <v>0.09828338772599249</v>
      </c>
      <c r="AI31" s="126" t="n">
        <v>0.05652221395243073</v>
      </c>
      <c r="AJ31" s="126" t="n">
        <v>0.04996916977232078</v>
      </c>
      <c r="AK31" s="126" t="n">
        <v>0.05240669024901935</v>
      </c>
      <c r="AL31" s="126" t="n">
        <v>0.0377815673888279</v>
      </c>
      <c r="AM31" s="126" t="n">
        <v>0.02645636260089212</v>
      </c>
      <c r="AN31" s="126" t="n">
        <v>0.07697433084311288</v>
      </c>
      <c r="AO31" s="126" t="n">
        <v>0.09447966692780954</v>
      </c>
      <c r="AP31" s="126" t="n">
        <v>0.1167878663371208</v>
      </c>
      <c r="AQ31" s="126" t="n">
        <v>0.1036128107110081</v>
      </c>
      <c r="AR31" s="126" t="n">
        <v>0.1121259419281344</v>
      </c>
      <c r="AS31" s="126" t="n">
        <v>0.05091709440214799</v>
      </c>
      <c r="AT31" s="126" t="n">
        <v>0.04008367006126544</v>
      </c>
      <c r="AU31" s="126" t="n">
        <v>0.06355608946651098</v>
      </c>
      <c r="AV31" s="126" t="n">
        <v>0.04869882179901489</v>
      </c>
      <c r="AW31" s="126" t="n">
        <v>0.06962770356038413</v>
      </c>
      <c r="AX31" s="126" t="n">
        <v>0.07695144708853184</v>
      </c>
      <c r="AY31" s="126" t="n">
        <v>0.07305517128658089</v>
      </c>
      <c r="AZ31" s="126" t="n">
        <v>0.05988720214109838</v>
      </c>
      <c r="BA31" s="126" t="n">
        <v>0.06277333236476577</v>
      </c>
      <c r="BB31" s="126" t="n">
        <v>0.05329388740599616</v>
      </c>
      <c r="BC31" s="126" t="n">
        <v>0.06545743347277645</v>
      </c>
      <c r="BD31" s="126" t="n">
        <v>0.09411426761050605</v>
      </c>
      <c r="BE31" s="126" t="n">
        <v>0.04512231167700582</v>
      </c>
      <c r="BF31" s="126" t="n">
        <v>0.07022019449038519</v>
      </c>
      <c r="BG31" s="126" t="n">
        <v>0.05113861990060661</v>
      </c>
      <c r="BH31" s="126" t="n">
        <v>0.06136634388072792</v>
      </c>
      <c r="BI31" s="126" t="n">
        <v>0.07102586097306472</v>
      </c>
      <c r="BJ31" s="126" t="n">
        <v>0.06515438979929139</v>
      </c>
      <c r="BK31" s="126" t="n">
        <v>0.07576091837126905</v>
      </c>
      <c r="BL31" s="126" t="n">
        <v>0.07467861953739378</v>
      </c>
      <c r="BM31" s="126" t="n">
        <v>0.1021440174728873</v>
      </c>
      <c r="BN31" s="126" t="n">
        <v>0.1595537466964546</v>
      </c>
      <c r="BO31" s="126" t="n">
        <v>0.09597760429954079</v>
      </c>
      <c r="BP31" s="126" t="n">
        <v>0.128199750559594</v>
      </c>
      <c r="BQ31" s="126" t="n">
        <v>0.09431160485611609</v>
      </c>
      <c r="BR31" s="126" t="n">
        <v>0.08898146067009563</v>
      </c>
      <c r="BS31" s="126" t="n">
        <v>0.101847579611233</v>
      </c>
      <c r="BT31" s="126" t="n">
        <v>0.07579810251835993</v>
      </c>
      <c r="BU31" s="126" t="n">
        <v>0.07797561298742364</v>
      </c>
      <c r="BV31" s="126" t="n">
        <v>0.07521052032829512</v>
      </c>
      <c r="BW31" s="126" t="n">
        <v>0.1024234092990846</v>
      </c>
      <c r="BX31" s="126" t="n">
        <v>0.1260444073993549</v>
      </c>
      <c r="BY31" s="126" t="n">
        <v>0.08357265381848272</v>
      </c>
      <c r="BZ31" s="126" t="n">
        <v>0.1204960045235484</v>
      </c>
      <c r="CA31" s="126" t="n">
        <v>0.1077342527442223</v>
      </c>
      <c r="CB31" s="126" t="n">
        <v>0.06387696493921402</v>
      </c>
      <c r="CC31" s="126" t="n">
        <v>0.1007836557929821</v>
      </c>
      <c r="CD31" s="126" t="n">
        <v>0.09807410104927838</v>
      </c>
      <c r="CE31" s="126" t="n">
        <v>0.1344391778726713</v>
      </c>
      <c r="CF31" s="126" t="n">
        <v>0.06255537256116132</v>
      </c>
    </row>
    <row r="32">
      <c r="A32" s="49" t="n"/>
      <c r="D32" s="102" t="n"/>
      <c r="E32" s="182" t="n"/>
      <c r="F32" s="182" t="n"/>
      <c r="G32" s="182" t="n"/>
      <c r="H32" s="182" t="n"/>
      <c r="I32" s="182" t="n"/>
      <c r="J32" s="182" t="n"/>
      <c r="K32" s="182" t="n"/>
      <c r="L32" s="182" t="n"/>
      <c r="M32" s="182" t="n"/>
      <c r="N32" s="182" t="n"/>
      <c r="O32" s="182" t="n"/>
      <c r="P32" s="182" t="n"/>
      <c r="Q32" s="182" t="n"/>
      <c r="R32" s="182" t="n"/>
      <c r="S32" s="182" t="n"/>
      <c r="T32" s="182" t="n"/>
      <c r="U32" s="182" t="n"/>
      <c r="V32" s="99" t="n"/>
      <c r="W32" s="182" t="n"/>
      <c r="X32" s="182" t="n"/>
      <c r="Y32" s="182" t="n"/>
      <c r="Z32" s="182" t="n"/>
      <c r="AA32" s="182" t="n"/>
      <c r="AB32" s="182" t="n"/>
      <c r="AC32" s="182" t="n"/>
      <c r="AD32" s="182" t="n"/>
      <c r="AE32" s="182" t="n"/>
      <c r="AF32" s="182" t="n"/>
      <c r="AG32" s="182" t="n"/>
      <c r="AH32" s="183" t="n"/>
      <c r="AI32" s="99" t="n"/>
      <c r="AJ32" s="182" t="n"/>
      <c r="AK32" s="182" t="n"/>
      <c r="AL32" s="182" t="n"/>
      <c r="AM32" s="182" t="n"/>
      <c r="AN32" s="182" t="n"/>
      <c r="AO32" s="182" t="n"/>
      <c r="AP32" s="182" t="n"/>
      <c r="AQ32" s="182" t="n"/>
      <c r="AR32" s="182" t="n"/>
      <c r="AS32" s="182" t="n"/>
      <c r="AT32" s="182" t="n"/>
      <c r="AU32" s="182" t="n"/>
      <c r="AV32" s="182" t="n"/>
      <c r="AW32" s="183" t="n"/>
      <c r="AX32" s="10" t="n"/>
      <c r="AY32" s="182" t="n"/>
      <c r="AZ32" s="182" t="n"/>
      <c r="BA32" s="182" t="n"/>
      <c r="BB32" s="182" t="n"/>
      <c r="BC32" s="182" t="n"/>
      <c r="BD32" s="182" t="n"/>
      <c r="BE32" s="182" t="n"/>
      <c r="BF32" s="182" t="n"/>
      <c r="BG32" s="182" t="n"/>
      <c r="BH32" s="182" t="n"/>
      <c r="BI32" s="182" t="n"/>
      <c r="BJ32" s="182" t="n"/>
      <c r="BK32" s="182" t="n"/>
      <c r="BL32" s="183" t="n"/>
      <c r="BM32" s="99" t="n"/>
      <c r="BN32" s="182" t="n"/>
      <c r="BO32" s="182" t="n"/>
      <c r="BP32" s="182" t="n"/>
      <c r="BQ32" s="182" t="n"/>
      <c r="BR32" s="182" t="n"/>
      <c r="BS32" s="182" t="n"/>
      <c r="BT32" s="182" t="n"/>
      <c r="BU32" s="182" t="n"/>
      <c r="BV32" s="183" t="n"/>
      <c r="BW32" s="99" t="n"/>
      <c r="BX32" s="182" t="n"/>
      <c r="BY32" s="182" t="n"/>
      <c r="BZ32" s="182" t="n"/>
      <c r="CA32" s="182" t="n"/>
      <c r="CB32" s="182" t="n"/>
      <c r="CC32" s="182" t="n"/>
      <c r="CD32" s="182" t="n"/>
      <c r="CE32" s="182" t="n"/>
      <c r="CF32" s="183" t="n"/>
    </row>
    <row r="33">
      <c r="A33" s="49" t="n"/>
      <c r="D33" s="101" t="n"/>
      <c r="E33" s="182" t="n"/>
      <c r="F33" s="182" t="n"/>
      <c r="G33" s="182" t="n"/>
      <c r="H33" s="182" t="n"/>
      <c r="I33" s="182" t="n"/>
      <c r="J33" s="182" t="n"/>
      <c r="K33" s="182" t="n"/>
      <c r="L33" s="182" t="n"/>
      <c r="M33" s="182" t="n"/>
      <c r="N33" s="182" t="n"/>
      <c r="O33" s="182" t="n"/>
      <c r="P33" s="182" t="n"/>
      <c r="Q33" s="182" t="n"/>
      <c r="R33" s="182" t="n"/>
      <c r="S33" s="182" t="n"/>
      <c r="T33" s="182" t="n"/>
      <c r="U33" s="182" t="n"/>
      <c r="V33" s="97" t="n"/>
      <c r="W33" s="182" t="n"/>
      <c r="X33" s="182" t="n"/>
      <c r="Y33" s="182" t="n"/>
      <c r="Z33" s="182" t="n"/>
      <c r="AA33" s="182" t="n"/>
      <c r="AB33" s="182" t="n"/>
      <c r="AC33" s="182" t="n"/>
      <c r="AD33" s="182" t="n"/>
      <c r="AE33" s="182" t="n"/>
      <c r="AF33" s="182" t="n"/>
      <c r="AG33" s="182" t="n"/>
      <c r="AH33" s="183" t="n"/>
      <c r="AI33" s="97" t="n"/>
      <c r="AJ33" s="182" t="n"/>
      <c r="AK33" s="182" t="n"/>
      <c r="AL33" s="182" t="n"/>
      <c r="AM33" s="182" t="n"/>
      <c r="AN33" s="182" t="n"/>
      <c r="AO33" s="182" t="n"/>
      <c r="AP33" s="182" t="n"/>
      <c r="AQ33" s="182" t="n"/>
      <c r="AR33" s="182" t="n"/>
      <c r="AS33" s="182" t="n"/>
      <c r="AT33" s="182" t="n"/>
      <c r="AU33" s="182" t="n"/>
      <c r="AV33" s="182" t="n"/>
      <c r="AW33" s="183" t="n"/>
      <c r="AX33" s="97" t="n"/>
      <c r="AY33" s="182" t="n"/>
      <c r="AZ33" s="182" t="n"/>
      <c r="BA33" s="182" t="n"/>
      <c r="BB33" s="182" t="n"/>
      <c r="BC33" s="182" t="n"/>
      <c r="BD33" s="182" t="n"/>
      <c r="BE33" s="182" t="n"/>
      <c r="BF33" s="182" t="n"/>
      <c r="BG33" s="182" t="n"/>
      <c r="BH33" s="182" t="n"/>
      <c r="BI33" s="182" t="n"/>
      <c r="BJ33" s="182" t="n"/>
      <c r="BK33" s="182" t="n"/>
      <c r="BL33" s="183" t="n"/>
      <c r="BM33" s="97" t="n"/>
      <c r="BN33" s="182" t="n"/>
      <c r="BO33" s="182" t="n"/>
      <c r="BP33" s="182" t="n"/>
      <c r="BQ33" s="182" t="n"/>
      <c r="BR33" s="182" t="n"/>
      <c r="BS33" s="182" t="n"/>
      <c r="BT33" s="182" t="n"/>
      <c r="BU33" s="182" t="n"/>
      <c r="BV33" s="183" t="n"/>
      <c r="BW33" s="97" t="n"/>
      <c r="BX33" s="182" t="n"/>
      <c r="BY33" s="182" t="n"/>
      <c r="BZ33" s="182" t="n"/>
      <c r="CA33" s="182" t="n"/>
      <c r="CB33" s="182" t="n"/>
      <c r="CC33" s="182" t="n"/>
      <c r="CD33" s="182" t="n"/>
      <c r="CE33" s="182" t="n"/>
      <c r="CF33" s="183" t="n"/>
    </row>
    <row r="34">
      <c r="A34" s="49" t="n"/>
      <c r="D34" s="97" t="n"/>
      <c r="E34" s="182" t="n"/>
      <c r="F34" s="182" t="n"/>
      <c r="G34" s="182" t="n"/>
      <c r="H34" s="182" t="n"/>
      <c r="I34" s="182" t="n"/>
      <c r="J34" s="182" t="n"/>
      <c r="K34" s="182" t="n"/>
      <c r="L34" s="182" t="n"/>
      <c r="M34" s="182" t="n"/>
      <c r="N34" s="182" t="n"/>
      <c r="O34" s="182" t="n"/>
      <c r="P34" s="182" t="n"/>
      <c r="Q34" s="182" t="n"/>
      <c r="R34" s="182" t="n"/>
      <c r="S34" s="182" t="n"/>
      <c r="T34" s="182" t="n"/>
      <c r="U34" s="182" t="n"/>
      <c r="V34" s="182" t="n"/>
      <c r="W34" s="182" t="n"/>
      <c r="X34" s="182" t="n"/>
      <c r="Y34" s="182" t="n"/>
      <c r="Z34" s="182" t="n"/>
      <c r="AA34" s="182" t="n"/>
      <c r="AB34" s="182" t="n"/>
      <c r="AC34" s="182" t="n"/>
      <c r="AD34" s="182" t="n"/>
      <c r="AE34" s="182" t="n"/>
      <c r="AF34" s="182" t="n"/>
      <c r="AG34" s="182" t="n"/>
      <c r="AH34" s="182" t="n"/>
      <c r="AI34" s="182" t="n"/>
      <c r="AJ34" s="182" t="n"/>
      <c r="AK34" s="182" t="n"/>
      <c r="AL34" s="182" t="n"/>
      <c r="AM34" s="182" t="n"/>
      <c r="AN34" s="182" t="n"/>
      <c r="AO34" s="182" t="n"/>
      <c r="AP34" s="182" t="n"/>
      <c r="AQ34" s="182" t="n"/>
      <c r="AR34" s="182" t="n"/>
      <c r="AS34" s="182" t="n"/>
      <c r="AT34" s="182" t="n"/>
      <c r="AU34" s="182" t="n"/>
      <c r="AV34" s="182" t="n"/>
      <c r="AW34" s="182" t="n"/>
      <c r="AX34" s="182" t="n"/>
      <c r="AY34" s="182" t="n"/>
      <c r="AZ34" s="182" t="n"/>
      <c r="BA34" s="182" t="n"/>
      <c r="BB34" s="182" t="n"/>
      <c r="BC34" s="182" t="n"/>
      <c r="BD34" s="182" t="n"/>
      <c r="BE34" s="182" t="n"/>
      <c r="BF34" s="182" t="n"/>
      <c r="BG34" s="182" t="n"/>
      <c r="BH34" s="182" t="n"/>
      <c r="BI34" s="182" t="n"/>
      <c r="BJ34" s="182" t="n"/>
      <c r="BK34" s="182" t="n"/>
      <c r="BL34" s="182" t="n"/>
      <c r="BM34" s="182" t="n"/>
      <c r="BN34" s="182" t="n"/>
      <c r="BO34" s="182" t="n"/>
      <c r="BP34" s="182" t="n"/>
      <c r="BQ34" s="182" t="n"/>
      <c r="BR34" s="182" t="n"/>
      <c r="BS34" s="182" t="n"/>
      <c r="BT34" s="182" t="n"/>
      <c r="BU34" s="182" t="n"/>
      <c r="BV34" s="182" t="n"/>
      <c r="BW34" s="182" t="n"/>
      <c r="BX34" s="182" t="n"/>
      <c r="BY34" s="182" t="n"/>
      <c r="BZ34" s="182" t="n"/>
      <c r="CA34" s="182" t="n"/>
      <c r="CB34" s="182" t="n"/>
      <c r="CC34" s="182" t="n"/>
      <c r="CD34" s="182" t="n"/>
      <c r="CE34" s="182" t="n"/>
      <c r="CF34" s="183" t="n"/>
    </row>
    <row r="35" customFormat="1" s="50">
      <c r="A35" s="87" t="n"/>
      <c r="B35" s="51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9" t="n"/>
      <c r="P35" s="129" t="n"/>
      <c r="Q35" s="129" t="n"/>
      <c r="R35" s="129" t="n"/>
      <c r="S35" s="129" t="n"/>
      <c r="T35" s="129" t="n"/>
      <c r="U35" s="129" t="n"/>
      <c r="V35" s="130" t="n"/>
      <c r="W35" s="130" t="n"/>
      <c r="X35" s="130" t="n"/>
      <c r="Y35" s="130" t="n"/>
      <c r="Z35" s="130" t="n"/>
      <c r="AA35" s="130" t="n"/>
      <c r="AB35" s="130" t="n"/>
      <c r="AC35" s="130" t="n"/>
      <c r="AD35" s="130" t="n"/>
      <c r="AE35" s="130" t="n"/>
      <c r="AF35" s="130" t="n"/>
      <c r="AG35" s="130" t="n"/>
      <c r="AH35" s="130" t="n"/>
      <c r="AI35" s="130" t="n"/>
      <c r="AJ35" s="130" t="n"/>
      <c r="AK35" s="130" t="n"/>
      <c r="AL35" s="130" t="n"/>
      <c r="AM35" s="130" t="n"/>
      <c r="AN35" s="130" t="n"/>
      <c r="AO35" s="130" t="n"/>
      <c r="AP35" s="130" t="n"/>
      <c r="AQ35" s="130" t="n"/>
      <c r="AR35" s="130" t="n"/>
      <c r="AS35" s="130" t="n"/>
      <c r="AT35" s="130" t="n"/>
      <c r="AU35" s="130" t="n"/>
      <c r="AV35" s="130" t="n"/>
      <c r="AW35" s="130" t="n"/>
      <c r="AX35" s="130" t="n"/>
      <c r="AY35" s="130" t="n"/>
      <c r="AZ35" s="130" t="n"/>
      <c r="BA35" s="130" t="n"/>
      <c r="BB35" s="130" t="n"/>
      <c r="BC35" s="130" t="n"/>
      <c r="BD35" s="130" t="n"/>
      <c r="BE35" s="130" t="n"/>
      <c r="BF35" s="130" t="n"/>
      <c r="BG35" s="130" t="n"/>
      <c r="BH35" s="130" t="n"/>
      <c r="BI35" s="130" t="n"/>
      <c r="BJ35" s="130" t="n"/>
      <c r="BK35" s="130" t="n"/>
      <c r="BL35" s="130" t="n"/>
      <c r="BM35" s="130" t="n"/>
      <c r="BN35" s="130" t="n"/>
      <c r="BO35" s="130" t="n"/>
      <c r="BP35" s="130" t="n"/>
      <c r="BQ35" s="130" t="n"/>
      <c r="BR35" s="130" t="n"/>
      <c r="BS35" s="130" t="n"/>
      <c r="BT35" s="130" t="n"/>
      <c r="BU35" s="130" t="n"/>
      <c r="BV35" s="130" t="n"/>
      <c r="BW35" s="130" t="n"/>
      <c r="BX35" s="130" t="n"/>
      <c r="BY35" s="130" t="n"/>
      <c r="BZ35" s="130" t="n"/>
      <c r="CA35" s="130" t="n"/>
      <c r="CB35" s="130" t="n"/>
      <c r="CC35" s="130" t="n"/>
      <c r="CD35" s="130" t="n"/>
      <c r="CE35" s="130" t="n"/>
      <c r="CF35" s="130" t="n"/>
      <c r="CG35" s="131">
        <f>BM35+AX35+AI35+V35+D35+BW35</f>
        <v/>
      </c>
    </row>
    <row r="36" customFormat="1" s="53">
      <c r="A36" s="52" t="n"/>
      <c r="B36" s="52" t="n"/>
      <c r="D36" s="132" t="n"/>
      <c r="E36" s="133" t="n"/>
      <c r="F36" s="133" t="n"/>
      <c r="G36" s="133" t="n"/>
      <c r="H36" s="133" t="n"/>
      <c r="I36" s="54" t="n"/>
      <c r="J36" s="54" t="n"/>
      <c r="K36" s="54" t="n"/>
      <c r="L36" s="54" t="n"/>
      <c r="M36" s="54" t="n"/>
      <c r="N36" s="54" t="n"/>
      <c r="O36" s="54" t="n"/>
      <c r="P36" s="54" t="n"/>
      <c r="Q36" s="54" t="n"/>
      <c r="R36" s="54" t="n"/>
      <c r="S36" s="54" t="n"/>
      <c r="T36" s="54" t="n"/>
      <c r="U36" s="54" t="n"/>
      <c r="V36" s="134" t="n"/>
      <c r="W36" s="135" t="n"/>
      <c r="X36" s="135" t="n"/>
      <c r="Y36" s="135" t="n"/>
      <c r="Z36" s="135" t="n"/>
      <c r="AA36" s="135" t="n"/>
      <c r="AB36" s="135" t="n"/>
      <c r="AC36" s="135" t="n"/>
      <c r="AD36" s="135" t="n"/>
      <c r="AE36" s="135" t="n"/>
      <c r="AF36" s="135" t="n"/>
      <c r="AG36" s="135" t="n"/>
      <c r="AH36" s="135" t="n"/>
      <c r="AI36" s="132" t="n"/>
      <c r="AJ36" s="54" t="n"/>
      <c r="AK36" s="54" t="n"/>
      <c r="AL36" s="54" t="n"/>
      <c r="AM36" s="54" t="n"/>
      <c r="AN36" s="54" t="n"/>
      <c r="AO36" s="54" t="n"/>
      <c r="AP36" s="54" t="n"/>
      <c r="AQ36" s="54" t="n"/>
      <c r="AR36" s="54" t="n"/>
      <c r="AS36" s="54" t="n"/>
      <c r="AT36" s="54" t="n"/>
      <c r="AU36" s="54" t="n"/>
      <c r="AV36" s="54" t="n"/>
      <c r="AW36" s="55" t="n"/>
      <c r="AX36" s="56" t="n"/>
      <c r="AY36" s="56" t="n"/>
      <c r="AZ36" s="56" t="n"/>
      <c r="BA36" s="56" t="n"/>
      <c r="BB36" s="56" t="n"/>
      <c r="BC36" s="56" t="n"/>
      <c r="BD36" s="56" t="n"/>
      <c r="BE36" s="56" t="n"/>
      <c r="BF36" s="56" t="n"/>
      <c r="BG36" s="56" t="n"/>
      <c r="BH36" s="56" t="n"/>
      <c r="BI36" s="56" t="n"/>
      <c r="BJ36" s="56" t="n"/>
      <c r="BK36" s="56" t="n"/>
      <c r="BL36" s="56" t="n"/>
      <c r="BM36" s="132" t="n"/>
      <c r="BN36" s="136" t="n"/>
      <c r="BO36" s="136" t="n"/>
      <c r="BP36" s="136" t="n"/>
      <c r="BQ36" s="136" t="n"/>
      <c r="BR36" s="136" t="n"/>
      <c r="BS36" s="136" t="n"/>
      <c r="BT36" s="136" t="n"/>
      <c r="BU36" s="136" t="n"/>
      <c r="BV36" s="136" t="n"/>
    </row>
    <row r="37">
      <c r="A37" s="88" t="n"/>
      <c r="D37" s="137" t="n"/>
      <c r="E37" s="137" t="n"/>
      <c r="F37" s="137" t="n"/>
      <c r="G37" s="137" t="n"/>
      <c r="H37" s="137" t="n"/>
      <c r="I37" s="137" t="n"/>
      <c r="J37" s="137" t="n"/>
      <c r="K37" s="137" t="n"/>
      <c r="L37" s="137" t="n"/>
      <c r="M37" s="137" t="n"/>
      <c r="N37" s="137" t="n"/>
      <c r="O37" s="137" t="n"/>
      <c r="P37" s="137" t="n"/>
      <c r="Q37" s="137" t="n"/>
      <c r="R37" s="137" t="n"/>
      <c r="S37" s="137" t="n"/>
      <c r="T37" s="137" t="n"/>
      <c r="U37" s="137" t="n"/>
      <c r="V37" s="137" t="n"/>
      <c r="W37" s="137" t="n"/>
      <c r="X37" s="137" t="n"/>
      <c r="Y37" s="137" t="n"/>
      <c r="Z37" s="137" t="n"/>
      <c r="AA37" s="137" t="n"/>
      <c r="AB37" s="137" t="n"/>
      <c r="AC37" s="137" t="n"/>
      <c r="AD37" s="137" t="n"/>
      <c r="AE37" s="137" t="n"/>
      <c r="AF37" s="137" t="n"/>
      <c r="AG37" s="137" t="n"/>
      <c r="AH37" s="137" t="n"/>
      <c r="AI37" s="137" t="n"/>
      <c r="AJ37" s="137" t="n"/>
      <c r="AK37" s="137" t="n"/>
      <c r="AL37" s="137" t="n"/>
      <c r="AM37" s="137" t="n"/>
      <c r="AN37" s="137" t="n"/>
      <c r="AO37" s="137" t="n"/>
      <c r="AP37" s="137" t="n"/>
      <c r="AQ37" s="137" t="n"/>
      <c r="AR37" s="137" t="n"/>
      <c r="AS37" s="137" t="n"/>
      <c r="AT37" s="137" t="n"/>
      <c r="AU37" s="137" t="n"/>
      <c r="AV37" s="137" t="n"/>
      <c r="AW37" s="137" t="n"/>
      <c r="AX37" s="137" t="n"/>
      <c r="AY37" s="137" t="n"/>
      <c r="AZ37" s="137" t="n"/>
      <c r="BA37" s="137" t="n"/>
      <c r="BB37" s="137" t="n"/>
      <c r="BC37" s="137" t="n"/>
      <c r="BD37" s="137" t="n"/>
      <c r="BE37" s="137" t="n"/>
      <c r="BF37" s="137" t="n"/>
      <c r="BG37" s="137" t="n"/>
      <c r="BH37" s="137" t="n"/>
      <c r="BI37" s="137" t="n"/>
      <c r="BJ37" s="137" t="n"/>
      <c r="BK37" s="137" t="n"/>
      <c r="BL37" s="137" t="n"/>
      <c r="BM37" s="137" t="n"/>
      <c r="BN37" s="137" t="n"/>
      <c r="BO37" s="137" t="n"/>
      <c r="BP37" s="137" t="n"/>
      <c r="BQ37" s="137" t="n"/>
      <c r="BR37" s="137" t="n"/>
      <c r="BS37" s="137" t="n"/>
      <c r="BT37" s="137" t="n"/>
      <c r="BU37" s="137" t="n"/>
      <c r="BV37" s="137" t="n"/>
      <c r="BW37" s="137" t="n"/>
      <c r="BX37" s="137" t="n"/>
      <c r="BY37" s="137" t="n"/>
      <c r="BZ37" s="137" t="n"/>
      <c r="CA37" s="137" t="n"/>
      <c r="CB37" s="137" t="n"/>
      <c r="CC37" s="137" t="n"/>
      <c r="CD37" s="137" t="n"/>
      <c r="CE37" s="137" t="n"/>
      <c r="CF37" s="137" t="n"/>
    </row>
    <row r="38">
      <c r="C38" s="57" t="n"/>
      <c r="D38" s="138" t="n"/>
      <c r="E38" s="182" t="n"/>
      <c r="F38" s="182" t="n"/>
      <c r="G38" s="182" t="n"/>
      <c r="H38" s="182" t="n"/>
      <c r="I38" s="182" t="n"/>
      <c r="J38" s="182" t="n"/>
      <c r="K38" s="182" t="n"/>
      <c r="L38" s="182" t="n"/>
      <c r="M38" s="182" t="n"/>
      <c r="N38" s="182" t="n"/>
      <c r="O38" s="182" t="n"/>
      <c r="P38" s="182" t="n"/>
      <c r="Q38" s="182" t="n"/>
      <c r="R38" s="182" t="n"/>
      <c r="S38" s="182" t="n"/>
      <c r="T38" s="182" t="n"/>
      <c r="U38" s="183" t="n"/>
      <c r="V38" s="139" t="n"/>
      <c r="W38" s="182" t="n"/>
      <c r="X38" s="182" t="n"/>
      <c r="Y38" s="182" t="n"/>
      <c r="Z38" s="182" t="n"/>
      <c r="AA38" s="182" t="n"/>
      <c r="AB38" s="182" t="n"/>
      <c r="AC38" s="182" t="n"/>
      <c r="AD38" s="182" t="n"/>
      <c r="AE38" s="182" t="n"/>
      <c r="AF38" s="182" t="n"/>
      <c r="AG38" s="182" t="n"/>
      <c r="AH38" s="183" t="n"/>
      <c r="AI38" s="138" t="n"/>
      <c r="AJ38" s="182" t="n"/>
      <c r="AK38" s="182" t="n"/>
      <c r="AL38" s="182" t="n"/>
      <c r="AM38" s="182" t="n"/>
      <c r="AN38" s="182" t="n"/>
      <c r="AO38" s="182" t="n"/>
      <c r="AP38" s="182" t="n"/>
      <c r="AQ38" s="182" t="n"/>
      <c r="AR38" s="182" t="n"/>
      <c r="AS38" s="182" t="n"/>
      <c r="AT38" s="182" t="n"/>
      <c r="AU38" s="182" t="n"/>
      <c r="AV38" s="182" t="n"/>
      <c r="AW38" s="183" t="n"/>
      <c r="AX38" s="138" t="n"/>
      <c r="AY38" s="182" t="n"/>
      <c r="AZ38" s="182" t="n"/>
      <c r="BA38" s="182" t="n"/>
      <c r="BB38" s="182" t="n"/>
      <c r="BC38" s="182" t="n"/>
      <c r="BD38" s="182" t="n"/>
      <c r="BE38" s="182" t="n"/>
      <c r="BF38" s="182" t="n"/>
      <c r="BG38" s="182" t="n"/>
      <c r="BH38" s="182" t="n"/>
      <c r="BI38" s="182" t="n"/>
      <c r="BJ38" s="182" t="n"/>
      <c r="BK38" s="182" t="n"/>
      <c r="BL38" s="183" t="n"/>
      <c r="BM38" s="138" t="n"/>
      <c r="BN38" s="182" t="n"/>
      <c r="BO38" s="182" t="n"/>
      <c r="BP38" s="182" t="n"/>
      <c r="BQ38" s="182" t="n"/>
      <c r="BR38" s="182" t="n"/>
      <c r="BS38" s="182" t="n"/>
      <c r="BT38" s="182" t="n"/>
      <c r="BU38" s="182" t="n"/>
      <c r="BV38" s="183" t="n"/>
      <c r="BW38" s="138" t="n"/>
      <c r="BX38" s="182" t="n"/>
      <c r="BY38" s="182" t="n"/>
      <c r="BZ38" s="182" t="n"/>
      <c r="CA38" s="182" t="n"/>
      <c r="CB38" s="182" t="n"/>
      <c r="CC38" s="182" t="n"/>
      <c r="CD38" s="182" t="n"/>
      <c r="CE38" s="182" t="n"/>
      <c r="CF38" s="183" t="n"/>
    </row>
    <row r="39">
      <c r="A39" s="88" t="n"/>
      <c r="D39" s="137" t="n"/>
      <c r="E39" s="137" t="n"/>
      <c r="F39" s="137" t="n"/>
      <c r="G39" s="137" t="n"/>
      <c r="H39" s="137" t="n"/>
      <c r="I39" s="137" t="n"/>
      <c r="J39" s="137" t="n"/>
      <c r="K39" s="137" t="n"/>
      <c r="L39" s="137" t="n"/>
      <c r="M39" s="137" t="n"/>
      <c r="N39" s="137" t="n"/>
      <c r="O39" s="137" t="n"/>
      <c r="P39" s="137" t="n"/>
      <c r="Q39" s="137" t="n"/>
      <c r="R39" s="137" t="n"/>
      <c r="S39" s="137" t="n"/>
      <c r="T39" s="137" t="n"/>
      <c r="U39" s="137" t="n"/>
      <c r="V39" s="137" t="n"/>
      <c r="W39" s="137" t="n"/>
      <c r="X39" s="137" t="n"/>
      <c r="Y39" s="137" t="n"/>
      <c r="Z39" s="137" t="n"/>
      <c r="AA39" s="137" t="n"/>
      <c r="AB39" s="137" t="n"/>
      <c r="AC39" s="137" t="n"/>
      <c r="AD39" s="137" t="n"/>
      <c r="AE39" s="137" t="n"/>
      <c r="AF39" s="137" t="n"/>
      <c r="AG39" s="137" t="n"/>
      <c r="AH39" s="137" t="n"/>
      <c r="AI39" s="137" t="n"/>
      <c r="AJ39" s="137" t="n"/>
      <c r="AK39" s="137" t="n"/>
      <c r="AL39" s="137" t="n"/>
      <c r="AM39" s="137" t="n"/>
      <c r="AN39" s="137" t="n"/>
      <c r="AO39" s="137" t="n"/>
      <c r="AP39" s="137" t="n"/>
      <c r="AQ39" s="137" t="n"/>
      <c r="AR39" s="137" t="n"/>
      <c r="AS39" s="137" t="n"/>
      <c r="AT39" s="137" t="n"/>
      <c r="AU39" s="137" t="n"/>
      <c r="AV39" s="137" t="n"/>
      <c r="AW39" s="137" t="n"/>
      <c r="AX39" s="137" t="n"/>
      <c r="AY39" s="137" t="n"/>
      <c r="AZ39" s="137" t="n"/>
      <c r="BA39" s="137" t="n"/>
      <c r="BB39" s="137" t="n"/>
      <c r="BC39" s="137" t="n"/>
      <c r="BD39" s="137" t="n"/>
      <c r="BE39" s="137" t="n"/>
      <c r="BF39" s="137" t="n"/>
      <c r="BG39" s="137" t="n"/>
      <c r="BH39" s="137" t="n"/>
      <c r="BI39" s="137" t="n"/>
      <c r="BJ39" s="137" t="n"/>
      <c r="BK39" s="137" t="n"/>
      <c r="BL39" s="137" t="n"/>
      <c r="BM39" s="137" t="n"/>
      <c r="BN39" s="137" t="n"/>
      <c r="BO39" s="137" t="n"/>
      <c r="BP39" s="137" t="n"/>
      <c r="BQ39" s="137" t="n"/>
      <c r="BR39" s="137" t="n"/>
      <c r="BS39" s="137" t="n"/>
      <c r="BT39" s="137" t="n"/>
      <c r="BU39" s="137" t="n"/>
      <c r="BV39" s="137" t="n"/>
      <c r="BW39" s="137" t="n"/>
      <c r="BX39" s="137" t="n"/>
      <c r="BY39" s="137" t="n"/>
      <c r="BZ39" s="137" t="n"/>
      <c r="CA39" s="137" t="n"/>
      <c r="CB39" s="137" t="n"/>
      <c r="CC39" s="137" t="n"/>
      <c r="CD39" s="137" t="n"/>
      <c r="CE39" s="137" t="n"/>
      <c r="CF39" s="137" t="n"/>
    </row>
    <row r="40">
      <c r="C40" s="57" t="n"/>
      <c r="D40" s="140" t="n"/>
    </row>
    <row r="44">
      <c r="AF44" s="89" t="n"/>
    </row>
  </sheetData>
  <mergeCells count="24">
    <mergeCell ref="N2:P2"/>
    <mergeCell ref="V2:Z2"/>
    <mergeCell ref="BR2:BV2"/>
    <mergeCell ref="I2:M2"/>
    <mergeCell ref="BC2:BG2"/>
    <mergeCell ref="CB2:CF2"/>
    <mergeCell ref="B2:C2"/>
    <mergeCell ref="AF2:AH2"/>
    <mergeCell ref="BM2:BQ2"/>
    <mergeCell ref="D2:H2"/>
    <mergeCell ref="AX2:BB2"/>
    <mergeCell ref="BW2:CA2"/>
    <mergeCell ref="BH2:BL2"/>
    <mergeCell ref="B1:C1"/>
    <mergeCell ref="AS2:AW2"/>
    <mergeCell ref="AN2:AR2"/>
    <mergeCell ref="V1:AH1"/>
    <mergeCell ref="BM1:BV1"/>
    <mergeCell ref="D1:U1"/>
    <mergeCell ref="Q2:U2"/>
    <mergeCell ref="AX1:BL1"/>
    <mergeCell ref="AA2:AE2"/>
    <mergeCell ref="AI1:AW1"/>
    <mergeCell ref="AI2:AM2"/>
  </mergeCells>
  <conditionalFormatting sqref="D14:CF22">
    <cfRule type="colorScale" priority="1">
      <colorScale>
        <cfvo type="min"/>
        <cfvo type="max"/>
        <color theme="0"/>
        <color theme="9" tint="0.3999755851924192"/>
      </colorScale>
    </cfRule>
    <cfRule type="colorScale" priority="2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 codeName="Лист1">
    <outlinePr summaryBelow="1" summaryRight="1"/>
    <pageSetUpPr/>
  </sheetPr>
  <dimension ref="A1:CE91"/>
  <sheetViews>
    <sheetView zoomScale="85" zoomScaleNormal="85" workbookViewId="0">
      <pane xSplit="2" ySplit="4" topLeftCell="AE75" activePane="bottomRight" state="frozen"/>
      <selection activeCell="AK20" sqref="AK20"/>
      <selection pane="topRight" activeCell="AK20" sqref="AK20"/>
      <selection pane="bottomLeft" activeCell="AK20" sqref="AK20"/>
      <selection pane="bottomRight" activeCell="AH91" sqref="AH91"/>
    </sheetView>
  </sheetViews>
  <sheetFormatPr baseColWidth="8" defaultRowHeight="15"/>
  <cols>
    <col width="10.28515625" bestFit="1" customWidth="1" style="162" min="1" max="1"/>
    <col width="10.5703125" customWidth="1" style="214" min="2" max="2"/>
    <col width="9" customWidth="1" style="239" min="3" max="3"/>
    <col width="9" customWidth="1" style="32" min="4" max="4"/>
    <col width="9" customWidth="1" style="214" min="5" max="5"/>
    <col width="11" customWidth="1" style="214" min="6" max="6"/>
    <col width="10.28515625" customWidth="1" style="214" min="7" max="7"/>
    <col width="8.5703125" bestFit="1" customWidth="1" style="239" min="8" max="8"/>
    <col width="10" bestFit="1" customWidth="1" style="214" min="9" max="9"/>
    <col width="9.5703125" bestFit="1" customWidth="1" style="214" min="10" max="10"/>
    <col width="8.28515625" customWidth="1" style="214" min="11" max="12"/>
    <col width="8.28515625" customWidth="1" style="239" min="13" max="13"/>
    <col width="8.28515625" customWidth="1" style="214" min="14" max="14"/>
    <col width="8.28515625" customWidth="1" style="190" min="15" max="15"/>
    <col width="9.28515625" customWidth="1" style="214" min="16" max="16"/>
    <col width="8.5703125" customWidth="1" style="214" min="17" max="17"/>
    <col width="9.28515625" customWidth="1" style="214" min="18" max="18"/>
    <col width="8.5703125" customWidth="1" style="214" min="19" max="19"/>
    <col width="9.42578125" customWidth="1" style="214" min="20" max="20"/>
    <col width="10.5703125" customWidth="1" style="239" min="21" max="21"/>
    <col width="10.5703125" customWidth="1" style="214" min="22" max="25"/>
    <col width="10.5703125" customWidth="1" style="239" min="26" max="26"/>
    <col width="10.5703125" customWidth="1" style="214" min="27" max="30"/>
    <col width="10.5703125" customWidth="1" style="239" min="31" max="31"/>
    <col width="10.5703125" customWidth="1" style="214" min="32" max="32"/>
    <col width="10.5703125" customWidth="1" style="190" min="33" max="33"/>
    <col width="10.5703125" customWidth="1" style="214" min="34" max="47"/>
    <col width="10.5703125" customWidth="1" style="190" min="48" max="48"/>
    <col width="10.5703125" customWidth="1" style="214" min="49" max="72"/>
    <col width="10.5703125" customWidth="1" style="190" min="73" max="73"/>
    <col width="8.5703125" customWidth="1" style="7" min="75" max="76"/>
    <col width="11.140625" customWidth="1" style="237" min="79" max="79"/>
  </cols>
  <sheetData>
    <row r="1">
      <c r="B1" s="182" t="inlineStr">
        <is>
          <t>Binary</t>
        </is>
      </c>
      <c r="C1" s="200" t="inlineStr">
        <is>
          <t>Corporate</t>
        </is>
      </c>
      <c r="D1" s="182" t="n"/>
      <c r="E1" s="182" t="n"/>
      <c r="F1" s="182" t="n"/>
      <c r="G1" s="182" t="n"/>
      <c r="H1" s="182" t="n"/>
      <c r="I1" s="182" t="n"/>
      <c r="J1" s="182" t="n"/>
      <c r="K1" s="182" t="n"/>
      <c r="L1" s="182" t="n"/>
      <c r="M1" s="182" t="n"/>
      <c r="N1" s="182" t="n"/>
      <c r="O1" s="182" t="n"/>
      <c r="P1" s="182" t="n"/>
      <c r="Q1" s="182" t="n"/>
      <c r="R1" s="182" t="n"/>
      <c r="S1" s="182" t="n"/>
      <c r="T1" s="183" t="n"/>
      <c r="U1" s="200" t="inlineStr">
        <is>
          <t>Households</t>
        </is>
      </c>
      <c r="V1" s="182" t="n"/>
      <c r="W1" s="182" t="n"/>
      <c r="X1" s="182" t="n"/>
      <c r="Y1" s="182" t="n"/>
      <c r="Z1" s="182" t="n"/>
      <c r="AA1" s="182" t="n"/>
      <c r="AB1" s="182" t="n"/>
      <c r="AC1" s="182" t="n"/>
      <c r="AD1" s="182" t="n"/>
      <c r="AE1" s="182" t="n"/>
      <c r="AF1" s="182" t="n"/>
      <c r="AG1" s="183" t="n"/>
      <c r="AH1" s="203" t="inlineStr">
        <is>
          <t>Government</t>
        </is>
      </c>
      <c r="AI1" s="204" t="n"/>
      <c r="AJ1" s="204" t="n"/>
      <c r="AK1" s="204" t="n"/>
      <c r="AL1" s="204" t="n"/>
      <c r="AM1" s="204" t="n"/>
      <c r="AN1" s="204" t="n"/>
      <c r="AO1" s="204" t="n"/>
      <c r="AP1" s="204" t="n"/>
      <c r="AQ1" s="204" t="n"/>
      <c r="AR1" s="204" t="n"/>
      <c r="AS1" s="204" t="n"/>
      <c r="AT1" s="204" t="n"/>
      <c r="AU1" s="204" t="n"/>
      <c r="AV1" s="205" t="n"/>
      <c r="AW1" s="207" t="inlineStr">
        <is>
          <t>Banking</t>
        </is>
      </c>
      <c r="AX1" s="204" t="n"/>
      <c r="AY1" s="204" t="n"/>
      <c r="AZ1" s="204" t="n"/>
      <c r="BA1" s="204" t="n"/>
      <c r="BB1" s="204" t="n"/>
      <c r="BC1" s="204" t="n"/>
      <c r="BD1" s="204" t="n"/>
      <c r="BE1" s="204" t="n"/>
      <c r="BF1" s="204" t="n"/>
      <c r="BG1" s="204" t="n"/>
      <c r="BH1" s="204" t="n"/>
      <c r="BI1" s="204" t="n"/>
      <c r="BJ1" s="204" t="n"/>
      <c r="BK1" s="204" t="n"/>
      <c r="BL1" s="210" t="inlineStr">
        <is>
          <t>External</t>
        </is>
      </c>
      <c r="BM1" s="204" t="n"/>
      <c r="BN1" s="204" t="n"/>
      <c r="BO1" s="204" t="n"/>
      <c r="BP1" s="204" t="n"/>
      <c r="BQ1" s="204" t="n"/>
      <c r="BR1" s="204" t="n"/>
      <c r="BS1" s="204" t="n"/>
      <c r="BT1" s="204" t="n"/>
      <c r="BU1" s="205" t="n"/>
      <c r="BV1" s="210" t="inlineStr">
        <is>
          <t>Недвижимость</t>
        </is>
      </c>
      <c r="BW1" s="204" t="n"/>
      <c r="BX1" s="204" t="n"/>
      <c r="BY1" s="204" t="n"/>
      <c r="BZ1" s="204" t="n"/>
      <c r="CA1" s="204" t="n"/>
      <c r="CB1" s="204" t="n"/>
      <c r="CC1" s="204" t="n"/>
      <c r="CD1" s="204" t="n"/>
      <c r="CE1" s="205" t="n"/>
    </row>
    <row r="2" ht="60" customHeight="1" s="214">
      <c r="B2" s="4" t="inlineStr">
        <is>
          <t>Бинарная переменная стрессов</t>
        </is>
      </c>
      <c r="C2" s="208" t="inlineStr">
        <is>
          <t>Debt service ratio, %</t>
        </is>
      </c>
      <c r="D2" s="179" t="n"/>
      <c r="E2" s="179" t="n"/>
      <c r="F2" s="179" t="n"/>
      <c r="G2" s="180" t="n"/>
      <c r="H2" s="202" t="inlineStr">
        <is>
          <t xml:space="preserve">All Debt to GDP ratio, % </t>
        </is>
      </c>
      <c r="I2" s="179" t="n"/>
      <c r="J2" s="179" t="n"/>
      <c r="K2" s="179" t="n"/>
      <c r="L2" s="179" t="n"/>
      <c r="M2" s="199" t="inlineStr">
        <is>
          <t>Прирост реального кредита банков ЮЛ (дефлятор ВВП 2018=1)</t>
        </is>
      </c>
      <c r="N2" s="179" t="n"/>
      <c r="O2" s="180" t="n"/>
      <c r="P2" s="208" t="inlineStr">
        <is>
          <t>Складские запасы в промышленности к среднемесячному ОПП, %</t>
        </is>
      </c>
      <c r="Q2" s="179" t="n"/>
      <c r="R2" s="179" t="n"/>
      <c r="S2" s="179" t="n"/>
      <c r="T2" s="180" t="n"/>
      <c r="U2" s="206" t="inlineStr">
        <is>
          <t>Debt_service ratio</t>
        </is>
      </c>
      <c r="V2" s="179" t="n"/>
      <c r="W2" s="179" t="n"/>
      <c r="X2" s="179" t="n"/>
      <c r="Y2" s="180" t="n"/>
      <c r="Z2" s="202" t="inlineStr">
        <is>
          <t>Кредит ФЛ к ВВП</t>
        </is>
      </c>
      <c r="AA2" s="179" t="n"/>
      <c r="AB2" s="179" t="n"/>
      <c r="AC2" s="179" t="n"/>
      <c r="AD2" s="179" t="n"/>
      <c r="AE2" s="199" t="inlineStr">
        <is>
          <t>Прирост реального кредита банков ФЛ (ИПЦ 2018=1)</t>
        </is>
      </c>
      <c r="AF2" s="179" t="n"/>
      <c r="AG2" s="180" t="n"/>
      <c r="AH2" s="209" t="inlineStr">
        <is>
          <t>Обслуживание внешнего долга органов государственного управления к ВВП, %</t>
        </is>
      </c>
      <c r="AI2" s="182" t="n"/>
      <c r="AJ2" s="182" t="n"/>
      <c r="AK2" s="182" t="n"/>
      <c r="AL2" s="183" t="n"/>
      <c r="AM2" s="201" t="inlineStr">
        <is>
          <t>Отношение сальдо консолидированного бюджета к ВВП, %</t>
        </is>
      </c>
      <c r="AN2" s="179" t="n"/>
      <c r="AO2" s="179" t="n"/>
      <c r="AP2" s="179" t="n"/>
      <c r="AQ2" s="180" t="n"/>
      <c r="AR2" s="208" t="inlineStr">
        <is>
          <t>Долг сектора государственного управления к ВВП, % (внешний + внутренний)</t>
        </is>
      </c>
      <c r="AS2" s="179" t="n"/>
      <c r="AT2" s="179" t="n"/>
      <c r="AU2" s="179" t="n"/>
      <c r="AV2" s="180" t="n"/>
      <c r="AW2" s="202" t="inlineStr">
        <is>
          <t xml:space="preserve">Требования банков к экономике к ВВП, % </t>
        </is>
      </c>
      <c r="AX2" s="179" t="n"/>
      <c r="AY2" s="179" t="n"/>
      <c r="AZ2" s="179" t="n"/>
      <c r="BA2" s="179" t="n"/>
      <c r="BB2" s="202" t="inlineStr">
        <is>
          <t xml:space="preserve">Требования банков к депозитам, % </t>
        </is>
      </c>
      <c r="BC2" s="179" t="n"/>
      <c r="BD2" s="179" t="n"/>
      <c r="BE2" s="179" t="n"/>
      <c r="BF2" s="179" t="n"/>
      <c r="BG2" s="206" t="inlineStr">
        <is>
          <t>Леверидж (активы к собственному капиталу), раз</t>
        </is>
      </c>
      <c r="BH2" s="179" t="n"/>
      <c r="BI2" s="179" t="n"/>
      <c r="BJ2" s="179" t="n"/>
      <c r="BK2" s="180" t="n"/>
      <c r="BL2" s="212" t="inlineStr">
        <is>
          <t>Счет текущих операций за год, в % к ВВП</t>
        </is>
      </c>
      <c r="BM2" s="179" t="n"/>
      <c r="BN2" s="179" t="n"/>
      <c r="BO2" s="179" t="n"/>
      <c r="BP2" s="179" t="n"/>
      <c r="BQ2" s="211" t="inlineStr">
        <is>
          <t>Валовый внешний долг к ВВП</t>
        </is>
      </c>
      <c r="BR2" s="179" t="n"/>
      <c r="BS2" s="179" t="n"/>
      <c r="BT2" s="179" t="n"/>
      <c r="BU2" s="179" t="n"/>
      <c r="BV2" s="208" t="inlineStr">
        <is>
          <t>Логарифм цен на коммерческую недвижимость, скорректированных на ИПЦ, *100</t>
        </is>
      </c>
      <c r="BW2" s="179" t="n"/>
      <c r="BX2" s="179" t="n"/>
      <c r="BY2" s="179" t="n"/>
      <c r="BZ2" s="180" t="n"/>
      <c r="CA2" s="209" t="inlineStr">
        <is>
          <t>Логарифм цен на жилую недвижимость, скорректированных на ИПЦ</t>
        </is>
      </c>
      <c r="CB2" s="182" t="n"/>
      <c r="CC2" s="182" t="n"/>
      <c r="CD2" s="182" t="n"/>
      <c r="CE2" s="183" t="n"/>
    </row>
    <row r="3">
      <c r="B3" s="124" t="inlineStr">
        <is>
          <t>annual SD</t>
        </is>
      </c>
      <c r="C3" s="209" t="n">
        <v>4.651971700475564</v>
      </c>
      <c r="D3" s="209" t="n">
        <v>4.587456182938464</v>
      </c>
      <c r="E3" s="209" t="n">
        <v>3.344884990657602</v>
      </c>
      <c r="F3" s="209" t="n">
        <v>4.066246260581062</v>
      </c>
      <c r="G3" s="209" t="n">
        <v>4.797655941393235</v>
      </c>
      <c r="H3" s="209" t="n">
        <v>12.28926949338234</v>
      </c>
      <c r="I3" s="209" t="n">
        <v>9.468327356739399</v>
      </c>
      <c r="J3" s="209" t="n">
        <v>7.170806355401897</v>
      </c>
      <c r="K3" s="209" t="n">
        <v>8.804994995349496</v>
      </c>
      <c r="L3" s="209" t="n">
        <v>10.96600354929733</v>
      </c>
      <c r="M3" s="209" t="n">
        <v>25.31572855920133</v>
      </c>
      <c r="N3" s="209" t="n">
        <v>21.74136227320885</v>
      </c>
      <c r="O3" s="209" t="n">
        <v>21.29885467598985</v>
      </c>
      <c r="P3" s="209" t="n">
        <v>19.257252673689</v>
      </c>
      <c r="Q3" s="209" t="n">
        <v>26.90869543974867</v>
      </c>
      <c r="R3" s="209" t="n">
        <v>15.18873267965694</v>
      </c>
      <c r="S3" s="209" t="n">
        <v>21.53021532046534</v>
      </c>
      <c r="T3" s="209" t="n">
        <v>22.18754149126004</v>
      </c>
      <c r="U3" s="209" t="n">
        <v>1.967183710576811</v>
      </c>
      <c r="V3" s="209" t="n">
        <v>1.494896386871387</v>
      </c>
      <c r="W3" s="209" t="n">
        <v>1.237281834838958</v>
      </c>
      <c r="X3" s="209" t="n">
        <v>1.48014255272903</v>
      </c>
      <c r="Y3" s="209" t="n">
        <v>1.843982012323155</v>
      </c>
      <c r="Z3" s="209" t="n">
        <v>2.970111928940755</v>
      </c>
      <c r="AA3" s="209" t="n">
        <v>2.76242054900905</v>
      </c>
      <c r="AB3" s="209" t="n">
        <v>2.164551432550355</v>
      </c>
      <c r="AC3" s="209" t="n">
        <v>2.630648297475096</v>
      </c>
      <c r="AD3" s="209" t="n">
        <v>3.205346168687211</v>
      </c>
      <c r="AE3" s="209" t="n">
        <v>29.18637342492467</v>
      </c>
      <c r="AF3" s="209" t="n">
        <v>22.95031050496621</v>
      </c>
      <c r="AG3" s="209" t="n">
        <v>20.32176152067044</v>
      </c>
      <c r="AH3" s="209" t="n">
        <v>2.915931336676432</v>
      </c>
      <c r="AI3" s="209" t="n">
        <v>2.394287211301678</v>
      </c>
      <c r="AJ3" s="209" t="n">
        <v>1.522299474647874</v>
      </c>
      <c r="AK3" s="209" t="n">
        <v>2.01515512156457</v>
      </c>
      <c r="AL3" s="209" t="n">
        <v>2.26393264328263</v>
      </c>
      <c r="AM3" s="209" t="n">
        <v>3.275173699658657</v>
      </c>
      <c r="AN3" s="209" t="n">
        <v>4.166857450229747</v>
      </c>
      <c r="AO3" s="209" t="n">
        <v>2.531391415025485</v>
      </c>
      <c r="AP3" s="209" t="n">
        <v>3.34949821083136</v>
      </c>
      <c r="AQ3" s="209" t="n">
        <v>3.545354049070507</v>
      </c>
      <c r="AR3" s="209" t="n">
        <v>16.24004357970278</v>
      </c>
      <c r="AS3" s="209" t="n">
        <v>9.904778326537249</v>
      </c>
      <c r="AT3" s="209" t="n">
        <v>7.554625287298989</v>
      </c>
      <c r="AU3" s="209" t="n">
        <v>9.379112336048411</v>
      </c>
      <c r="AV3" s="209" t="n">
        <v>11.55359700767297</v>
      </c>
      <c r="AW3" s="209" t="n">
        <v>8.983426218800171</v>
      </c>
      <c r="AX3" s="209" t="n">
        <v>10.29172500387231</v>
      </c>
      <c r="AY3" s="209" t="n">
        <v>7.828716581392341</v>
      </c>
      <c r="AZ3" s="209" t="n">
        <v>9.604693210431794</v>
      </c>
      <c r="BA3" s="209" t="n">
        <v>11.68018062473864</v>
      </c>
      <c r="BB3" s="209" t="n">
        <v>55.39463415917684</v>
      </c>
      <c r="BC3" s="209" t="n">
        <v>39.44811300816256</v>
      </c>
      <c r="BD3" s="209" t="n">
        <v>28.8016851026938</v>
      </c>
      <c r="BE3" s="209" t="n">
        <v>35.90960524006071</v>
      </c>
      <c r="BF3" s="209" t="n">
        <v>42.78358848265432</v>
      </c>
      <c r="BG3" s="209" t="n">
        <v>1.688520016017637</v>
      </c>
      <c r="BH3" s="209" t="n">
        <v>1.699438042593928</v>
      </c>
      <c r="BI3" s="209" t="n">
        <v>1.018593176962373</v>
      </c>
      <c r="BJ3" s="209" t="n">
        <v>1.370554545331677</v>
      </c>
      <c r="BK3" s="209" t="n">
        <v>1.418832357708683</v>
      </c>
      <c r="BL3" s="209" t="n">
        <v>10.06923980617905</v>
      </c>
      <c r="BM3" s="209" t="n">
        <v>8.350911954084687</v>
      </c>
      <c r="BN3" s="209" t="n">
        <v>4.828424289547972</v>
      </c>
      <c r="BO3" s="209" t="n">
        <v>6.610187089331871</v>
      </c>
      <c r="BP3" s="209" t="n">
        <v>7.153631168383954</v>
      </c>
      <c r="BQ3" s="209" t="n">
        <v>23.41613127840652</v>
      </c>
      <c r="BR3" s="209" t="n">
        <v>15.84322288320276</v>
      </c>
      <c r="BS3" s="209" t="n">
        <v>12.37588451971964</v>
      </c>
      <c r="BT3" s="209" t="n">
        <v>15.07664478027781</v>
      </c>
      <c r="BU3" s="209" t="n">
        <v>18.89675225237372</v>
      </c>
      <c r="BV3" s="209" t="n">
        <v>34.45330611458208</v>
      </c>
      <c r="BW3" s="209" t="n">
        <v>32.3369790354053</v>
      </c>
      <c r="BX3" s="209" t="n">
        <v>17.10706510629685</v>
      </c>
      <c r="BY3" s="209" t="n">
        <v>25.81538174421128</v>
      </c>
      <c r="BZ3" s="209" t="n">
        <v>27.24878102550404</v>
      </c>
      <c r="CA3" s="209" t="n">
        <v>26.11137541638754</v>
      </c>
      <c r="CB3" s="209" t="n">
        <v>21.6662636745026</v>
      </c>
      <c r="CC3" s="209" t="n">
        <v>16.26093609995102</v>
      </c>
      <c r="CD3" s="209" t="n">
        <v>19.6683189405183</v>
      </c>
      <c r="CE3" s="209" t="n">
        <v>22.57517879650903</v>
      </c>
    </row>
    <row r="4">
      <c r="B4" s="5" t="n"/>
      <c r="C4" s="33" t="inlineStr">
        <is>
          <t>dsr</t>
        </is>
      </c>
      <c r="D4" s="33" t="inlineStr">
        <is>
          <t>dsr1</t>
        </is>
      </c>
      <c r="E4" s="33" t="inlineStr">
        <is>
          <t>dsr2</t>
        </is>
      </c>
      <c r="F4" s="33" t="inlineStr">
        <is>
          <t>dsr_av2</t>
        </is>
      </c>
      <c r="G4" s="42" t="inlineStr">
        <is>
          <t>dsr_av3</t>
        </is>
      </c>
      <c r="H4" s="48" t="inlineStr">
        <is>
          <t>ggr</t>
        </is>
      </c>
      <c r="I4" s="33" t="inlineStr">
        <is>
          <t>ggr1</t>
        </is>
      </c>
      <c r="J4" s="33" t="inlineStr">
        <is>
          <t>ggr2</t>
        </is>
      </c>
      <c r="K4" s="33" t="inlineStr">
        <is>
          <t>ggr_av2</t>
        </is>
      </c>
      <c r="L4" s="33" t="inlineStr">
        <is>
          <t>ggr_av3</t>
        </is>
      </c>
      <c r="M4" s="61" t="inlineStr">
        <is>
          <t>rcgr1</t>
        </is>
      </c>
      <c r="N4" s="61" t="inlineStr">
        <is>
          <t>rcgr2</t>
        </is>
      </c>
      <c r="O4" s="61" t="inlineStr">
        <is>
          <t>rcgr3</t>
        </is>
      </c>
      <c r="P4" s="43" t="inlineStr">
        <is>
          <t>invr</t>
        </is>
      </c>
      <c r="Q4" s="33" t="inlineStr">
        <is>
          <t>invr1</t>
        </is>
      </c>
      <c r="R4" s="33" t="inlineStr">
        <is>
          <t>invr2</t>
        </is>
      </c>
      <c r="S4" s="42" t="inlineStr">
        <is>
          <t>invr_av2</t>
        </is>
      </c>
      <c r="T4" s="42" t="inlineStr">
        <is>
          <t>invr_av3</t>
        </is>
      </c>
      <c r="U4" s="46" t="inlineStr">
        <is>
          <t>d_srv</t>
        </is>
      </c>
      <c r="V4" s="46" t="inlineStr">
        <is>
          <t>d_srv1</t>
        </is>
      </c>
      <c r="W4" s="46" t="inlineStr">
        <is>
          <t>d_srv2</t>
        </is>
      </c>
      <c r="X4" s="46" t="inlineStr">
        <is>
          <t>d_srv_av2</t>
        </is>
      </c>
      <c r="Y4" s="45" t="inlineStr">
        <is>
          <t>d_srv_av3</t>
        </is>
      </c>
      <c r="Z4" s="46" t="inlineStr">
        <is>
          <t>l_gdp</t>
        </is>
      </c>
      <c r="AA4" s="46" t="inlineStr">
        <is>
          <t>l_gdp1</t>
        </is>
      </c>
      <c r="AB4" s="46" t="inlineStr">
        <is>
          <t>l_gdp2</t>
        </is>
      </c>
      <c r="AC4" s="46" t="inlineStr">
        <is>
          <t>l_gdp_av2</t>
        </is>
      </c>
      <c r="AD4" s="45" t="inlineStr">
        <is>
          <t>l_gdp_av3</t>
        </is>
      </c>
      <c r="AE4" s="61" t="inlineStr">
        <is>
          <t>rcgr1</t>
        </is>
      </c>
      <c r="AF4" s="61" t="inlineStr">
        <is>
          <t>rcgr2</t>
        </is>
      </c>
      <c r="AG4" s="61" t="inlineStr">
        <is>
          <t>rcgr3</t>
        </is>
      </c>
      <c r="AH4" s="44" t="inlineStr">
        <is>
          <t>exd_s</t>
        </is>
      </c>
      <c r="AI4" s="1" t="inlineStr">
        <is>
          <t>exd_s1</t>
        </is>
      </c>
      <c r="AJ4" s="1" t="inlineStr">
        <is>
          <t>exd_s2</t>
        </is>
      </c>
      <c r="AK4" s="1" t="inlineStr">
        <is>
          <t>exd_s_av2</t>
        </is>
      </c>
      <c r="AL4" s="1" t="inlineStr">
        <is>
          <t>exd_s_av3</t>
        </is>
      </c>
      <c r="AM4" s="1" t="inlineStr">
        <is>
          <t>bb_gdp</t>
        </is>
      </c>
      <c r="AN4" s="1" t="inlineStr">
        <is>
          <t>bb_gdp1</t>
        </is>
      </c>
      <c r="AO4" s="1" t="inlineStr">
        <is>
          <t>bb_gdp2</t>
        </is>
      </c>
      <c r="AP4" s="1" t="inlineStr">
        <is>
          <t>bb_gdp_av2</t>
        </is>
      </c>
      <c r="AQ4" s="1" t="inlineStr">
        <is>
          <t>bb_gdp_av3</t>
        </is>
      </c>
      <c r="AR4" s="1" t="inlineStr">
        <is>
          <t>ggd</t>
        </is>
      </c>
      <c r="AS4" s="1" t="inlineStr">
        <is>
          <t>ggd1</t>
        </is>
      </c>
      <c r="AT4" s="1" t="inlineStr">
        <is>
          <t>ggd2</t>
        </is>
      </c>
      <c r="AU4" s="1" t="inlineStr">
        <is>
          <t>ggd_av2</t>
        </is>
      </c>
      <c r="AV4" s="1" t="inlineStr">
        <is>
          <t>ggd_av3</t>
        </is>
      </c>
      <c r="AW4" s="44" t="inlineStr">
        <is>
          <t>crr</t>
        </is>
      </c>
      <c r="AX4" s="1" t="inlineStr">
        <is>
          <t>crr1</t>
        </is>
      </c>
      <c r="AY4" s="1" t="inlineStr">
        <is>
          <t>crr2</t>
        </is>
      </c>
      <c r="AZ4" s="1" t="inlineStr">
        <is>
          <t>crr_av2</t>
        </is>
      </c>
      <c r="BA4" s="1" t="inlineStr">
        <is>
          <t>crr_av3</t>
        </is>
      </c>
      <c r="BB4" s="1" t="inlineStr">
        <is>
          <t>d_as</t>
        </is>
      </c>
      <c r="BC4" s="1" t="inlineStr">
        <is>
          <t>d_as1</t>
        </is>
      </c>
      <c r="BD4" s="1" t="inlineStr">
        <is>
          <t>d_as2</t>
        </is>
      </c>
      <c r="BE4" s="1" t="inlineStr">
        <is>
          <t>d_as_av2</t>
        </is>
      </c>
      <c r="BF4" s="1" t="inlineStr">
        <is>
          <t>d_as_av3</t>
        </is>
      </c>
      <c r="BG4" s="1" t="inlineStr">
        <is>
          <t>lvr</t>
        </is>
      </c>
      <c r="BH4" s="1" t="inlineStr">
        <is>
          <t>lvr1</t>
        </is>
      </c>
      <c r="BI4" s="1" t="inlineStr">
        <is>
          <t>lvr2</t>
        </is>
      </c>
      <c r="BJ4" s="1" t="inlineStr">
        <is>
          <t>lvr_av2</t>
        </is>
      </c>
      <c r="BK4" s="1" t="inlineStr">
        <is>
          <t>lvr_av3</t>
        </is>
      </c>
      <c r="BL4" s="44" t="inlineStr">
        <is>
          <t>ca</t>
        </is>
      </c>
      <c r="BM4" s="1" t="inlineStr">
        <is>
          <t>ca1</t>
        </is>
      </c>
      <c r="BN4" s="1" t="inlineStr">
        <is>
          <t>ca1</t>
        </is>
      </c>
      <c r="BO4" s="1" t="inlineStr">
        <is>
          <t>ca_av2</t>
        </is>
      </c>
      <c r="BP4" s="1" t="inlineStr">
        <is>
          <t>ca_av3</t>
        </is>
      </c>
      <c r="BQ4" s="1" t="inlineStr">
        <is>
          <t>gd_gdp</t>
        </is>
      </c>
      <c r="BR4" s="1" t="inlineStr">
        <is>
          <t>gd_gdp1</t>
        </is>
      </c>
      <c r="BS4" s="1" t="inlineStr">
        <is>
          <t>gd_gdp2</t>
        </is>
      </c>
      <c r="BT4" s="1" t="inlineStr">
        <is>
          <t>gd_gdp_av2</t>
        </is>
      </c>
      <c r="BU4" s="1" t="inlineStr">
        <is>
          <t>gd_gdp_av3</t>
        </is>
      </c>
      <c r="BV4" s="66" t="inlineStr">
        <is>
          <t>cest</t>
        </is>
      </c>
      <c r="BW4" s="33" t="inlineStr">
        <is>
          <t>cest1</t>
        </is>
      </c>
      <c r="BX4" s="33" t="inlineStr">
        <is>
          <t>cest2</t>
        </is>
      </c>
      <c r="BY4" s="33" t="inlineStr">
        <is>
          <t>cest_av2</t>
        </is>
      </c>
      <c r="BZ4" s="33" t="inlineStr">
        <is>
          <t>cest_av3</t>
        </is>
      </c>
      <c r="CA4" s="47" t="inlineStr">
        <is>
          <t>pest</t>
        </is>
      </c>
      <c r="CB4" s="46" t="inlineStr">
        <is>
          <t>pest1</t>
        </is>
      </c>
      <c r="CC4" s="46" t="inlineStr">
        <is>
          <t>pest2</t>
        </is>
      </c>
      <c r="CD4" s="46" t="inlineStr">
        <is>
          <t>pest_av2</t>
        </is>
      </c>
      <c r="CE4" s="46" t="inlineStr">
        <is>
          <t>pest_av3</t>
        </is>
      </c>
    </row>
    <row r="5" hidden="1" customFormat="1" s="62">
      <c r="A5" s="163" t="inlineStr">
        <is>
          <t>Date</t>
        </is>
      </c>
      <c r="B5" s="122" t="inlineStr">
        <is>
          <t>bnr</t>
        </is>
      </c>
      <c r="C5" s="122" t="inlineStr">
        <is>
          <t>dsr</t>
        </is>
      </c>
      <c r="D5" s="122" t="inlineStr">
        <is>
          <t>dsr1</t>
        </is>
      </c>
      <c r="E5" s="122" t="inlineStr">
        <is>
          <t>dsr2</t>
        </is>
      </c>
      <c r="F5" s="122" t="inlineStr">
        <is>
          <t>dsr_av2</t>
        </is>
      </c>
      <c r="G5" s="122" t="inlineStr">
        <is>
          <t>dsr_av3</t>
        </is>
      </c>
      <c r="H5" s="122" t="inlineStr">
        <is>
          <t>ggr</t>
        </is>
      </c>
      <c r="I5" s="122" t="inlineStr">
        <is>
          <t>ggr1</t>
        </is>
      </c>
      <c r="J5" s="122" t="inlineStr">
        <is>
          <t>ggr2</t>
        </is>
      </c>
      <c r="K5" s="122" t="inlineStr">
        <is>
          <t>ggr_av2</t>
        </is>
      </c>
      <c r="L5" s="122" t="inlineStr">
        <is>
          <t>ggr_av3</t>
        </is>
      </c>
      <c r="M5" s="122" t="inlineStr">
        <is>
          <t>rcgr_c1</t>
        </is>
      </c>
      <c r="N5" s="122" t="inlineStr">
        <is>
          <t>rcgr_c2</t>
        </is>
      </c>
      <c r="O5" s="122" t="inlineStr">
        <is>
          <t>rcgr_c3</t>
        </is>
      </c>
      <c r="P5" s="122" t="inlineStr">
        <is>
          <t>invr</t>
        </is>
      </c>
      <c r="Q5" s="122" t="inlineStr">
        <is>
          <t>invr1</t>
        </is>
      </c>
      <c r="R5" s="122" t="inlineStr">
        <is>
          <t>invr2</t>
        </is>
      </c>
      <c r="S5" s="122" t="inlineStr">
        <is>
          <t>invr_av2</t>
        </is>
      </c>
      <c r="T5" s="122" t="inlineStr">
        <is>
          <t>invr_av3</t>
        </is>
      </c>
      <c r="U5" s="122" t="inlineStr">
        <is>
          <t>d_srv</t>
        </is>
      </c>
      <c r="V5" s="122" t="inlineStr">
        <is>
          <t>d_srv1</t>
        </is>
      </c>
      <c r="W5" s="122" t="inlineStr">
        <is>
          <t>d_srv2</t>
        </is>
      </c>
      <c r="X5" s="122" t="inlineStr">
        <is>
          <t>d_srv_av2</t>
        </is>
      </c>
      <c r="Y5" s="122" t="inlineStr">
        <is>
          <t>d_srv_av3</t>
        </is>
      </c>
      <c r="Z5" s="122" t="inlineStr">
        <is>
          <t>l_gdp</t>
        </is>
      </c>
      <c r="AA5" s="122" t="inlineStr">
        <is>
          <t>l_gdp1</t>
        </is>
      </c>
      <c r="AB5" s="122" t="inlineStr">
        <is>
          <t>l_gdp2</t>
        </is>
      </c>
      <c r="AC5" s="122" t="inlineStr">
        <is>
          <t>l_gdp_av2</t>
        </is>
      </c>
      <c r="AD5" s="122" t="inlineStr">
        <is>
          <t>l_gdp_av3</t>
        </is>
      </c>
      <c r="AE5" s="122" t="inlineStr">
        <is>
          <t>rcgr_h1</t>
        </is>
      </c>
      <c r="AF5" s="122" t="inlineStr">
        <is>
          <t>rcgr_h2</t>
        </is>
      </c>
      <c r="AG5" s="122" t="inlineStr">
        <is>
          <t>rcgr_h3</t>
        </is>
      </c>
      <c r="AH5" s="122" t="inlineStr">
        <is>
          <t>exd_s</t>
        </is>
      </c>
      <c r="AI5" s="122" t="inlineStr">
        <is>
          <t>exd_s1</t>
        </is>
      </c>
      <c r="AJ5" s="122" t="inlineStr">
        <is>
          <t>exd_s2</t>
        </is>
      </c>
      <c r="AK5" s="122" t="inlineStr">
        <is>
          <t>exd_s_av2</t>
        </is>
      </c>
      <c r="AL5" s="122" t="inlineStr">
        <is>
          <t>exd_s_av3</t>
        </is>
      </c>
      <c r="AM5" s="122" t="inlineStr">
        <is>
          <t>bb_gdp</t>
        </is>
      </c>
      <c r="AN5" s="122" t="inlineStr">
        <is>
          <t>bb_gdp1</t>
        </is>
      </c>
      <c r="AO5" s="122" t="inlineStr">
        <is>
          <t>bb_gdp2</t>
        </is>
      </c>
      <c r="AP5" s="122" t="inlineStr">
        <is>
          <t>bb_gdp_av2</t>
        </is>
      </c>
      <c r="AQ5" s="122" t="inlineStr">
        <is>
          <t>bb_gdp_av3</t>
        </is>
      </c>
      <c r="AR5" s="122" t="inlineStr">
        <is>
          <t>ggd</t>
        </is>
      </c>
      <c r="AS5" s="122" t="inlineStr">
        <is>
          <t>ggd1</t>
        </is>
      </c>
      <c r="AT5" s="122" t="inlineStr">
        <is>
          <t>ggd2</t>
        </is>
      </c>
      <c r="AU5" s="122" t="inlineStr">
        <is>
          <t>ggd_av2</t>
        </is>
      </c>
      <c r="AV5" s="122" t="inlineStr">
        <is>
          <t>ggd_av3</t>
        </is>
      </c>
      <c r="AW5" s="122" t="inlineStr">
        <is>
          <t>crr</t>
        </is>
      </c>
      <c r="AX5" s="122" t="inlineStr">
        <is>
          <t>crr1</t>
        </is>
      </c>
      <c r="AY5" s="122" t="inlineStr">
        <is>
          <t>crr2</t>
        </is>
      </c>
      <c r="AZ5" s="122" t="inlineStr">
        <is>
          <t>crr_av2</t>
        </is>
      </c>
      <c r="BA5" s="122" t="inlineStr">
        <is>
          <t>crr_av3</t>
        </is>
      </c>
      <c r="BB5" s="122" t="inlineStr">
        <is>
          <t>d_as</t>
        </is>
      </c>
      <c r="BC5" s="122" t="inlineStr">
        <is>
          <t>d_as1</t>
        </is>
      </c>
      <c r="BD5" s="122" t="inlineStr">
        <is>
          <t>d_as2</t>
        </is>
      </c>
      <c r="BE5" s="122" t="inlineStr">
        <is>
          <t>d_as_av2</t>
        </is>
      </c>
      <c r="BF5" s="122" t="inlineStr">
        <is>
          <t>d_as_av3</t>
        </is>
      </c>
      <c r="BG5" s="122" t="inlineStr">
        <is>
          <t>lvr</t>
        </is>
      </c>
      <c r="BH5" s="122" t="inlineStr">
        <is>
          <t>lvr1</t>
        </is>
      </c>
      <c r="BI5" s="122" t="inlineStr">
        <is>
          <t>lvr2</t>
        </is>
      </c>
      <c r="BJ5" s="122" t="inlineStr">
        <is>
          <t>lvr_av2</t>
        </is>
      </c>
      <c r="BK5" s="122" t="inlineStr">
        <is>
          <t>lvr_av3</t>
        </is>
      </c>
      <c r="BL5" s="122" t="inlineStr">
        <is>
          <t>ca</t>
        </is>
      </c>
      <c r="BM5" s="122" t="inlineStr">
        <is>
          <t>ca1</t>
        </is>
      </c>
      <c r="BN5" s="122" t="inlineStr">
        <is>
          <t>ca2</t>
        </is>
      </c>
      <c r="BO5" s="122" t="inlineStr">
        <is>
          <t>ca_av2</t>
        </is>
      </c>
      <c r="BP5" s="122" t="inlineStr">
        <is>
          <t>ca_av3</t>
        </is>
      </c>
      <c r="BQ5" s="122" t="inlineStr">
        <is>
          <t>gd_gdp</t>
        </is>
      </c>
      <c r="BR5" s="122" t="inlineStr">
        <is>
          <t>gd_gdp1</t>
        </is>
      </c>
      <c r="BS5" s="122" t="inlineStr">
        <is>
          <t>gd_gdp2</t>
        </is>
      </c>
      <c r="BT5" s="122" t="inlineStr">
        <is>
          <t>gd_gdp_av2</t>
        </is>
      </c>
      <c r="BU5" s="122" t="inlineStr">
        <is>
          <t>gd_gdp_av3</t>
        </is>
      </c>
      <c r="BV5" s="122" t="inlineStr">
        <is>
          <t>cest</t>
        </is>
      </c>
      <c r="BW5" s="122" t="inlineStr">
        <is>
          <t>cest1</t>
        </is>
      </c>
      <c r="BX5" s="122" t="inlineStr">
        <is>
          <t>cest2</t>
        </is>
      </c>
      <c r="BY5" s="122" t="inlineStr">
        <is>
          <t>cest_av2</t>
        </is>
      </c>
      <c r="BZ5" s="122" t="inlineStr">
        <is>
          <t>cest_av3</t>
        </is>
      </c>
      <c r="CA5" s="122" t="inlineStr">
        <is>
          <t>pest</t>
        </is>
      </c>
      <c r="CB5" s="122" t="inlineStr">
        <is>
          <t>pest1</t>
        </is>
      </c>
      <c r="CC5" s="122" t="inlineStr">
        <is>
          <t>pest2</t>
        </is>
      </c>
      <c r="CD5" s="122" t="inlineStr">
        <is>
          <t>pest_av2</t>
        </is>
      </c>
      <c r="CE5" s="122" t="inlineStr">
        <is>
          <t>pest_av3</t>
        </is>
      </c>
    </row>
    <row r="6">
      <c r="A6" s="251" t="n">
        <v>38353</v>
      </c>
      <c r="B6" s="3" t="n">
        <v>0</v>
      </c>
      <c r="C6" s="6" t="inlineStr"/>
      <c r="D6" s="31" t="inlineStr"/>
      <c r="E6" s="7" t="inlineStr"/>
      <c r="F6" s="7" t="inlineStr"/>
      <c r="G6" s="7" t="inlineStr"/>
      <c r="H6" s="9" t="n">
        <v>16.67542295497915</v>
      </c>
      <c r="I6" s="31" t="inlineStr"/>
      <c r="J6" s="7" t="inlineStr"/>
      <c r="K6" s="7" t="inlineStr"/>
      <c r="L6" s="7" t="inlineStr"/>
      <c r="M6" s="9" t="n">
        <v>6.290712687620726</v>
      </c>
      <c r="N6" s="7" t="n">
        <v>8.841180124675361</v>
      </c>
      <c r="O6" s="8" t="inlineStr"/>
      <c r="P6" s="7" t="n">
        <v>59.1</v>
      </c>
      <c r="Q6" s="7" t="inlineStr"/>
      <c r="R6" s="7" t="inlineStr"/>
      <c r="S6" s="7" t="inlineStr"/>
      <c r="T6" s="7" t="inlineStr"/>
      <c r="U6" s="9" t="inlineStr"/>
      <c r="V6" s="31" t="inlineStr"/>
      <c r="W6" s="7" t="inlineStr"/>
      <c r="X6" s="7" t="inlineStr"/>
      <c r="Y6" s="7" t="inlineStr"/>
      <c r="Z6" s="9" t="n">
        <v>3.818731083350567</v>
      </c>
      <c r="AA6" s="7" t="inlineStr"/>
      <c r="AB6" s="7" t="inlineStr"/>
      <c r="AC6" s="7" t="inlineStr"/>
      <c r="AD6" s="7" t="inlineStr"/>
      <c r="AE6" s="9" t="n">
        <v>51.52427734340108</v>
      </c>
      <c r="AF6" s="7" t="n">
        <v>52.84190145210079</v>
      </c>
      <c r="AG6" s="8" t="inlineStr"/>
      <c r="AH6" s="60" t="n">
        <v>0.4047593055106002</v>
      </c>
      <c r="AI6" s="31" t="inlineStr"/>
      <c r="AJ6" s="7" t="inlineStr"/>
      <c r="AK6" s="7" t="inlineStr"/>
      <c r="AL6" s="7" t="inlineStr"/>
      <c r="AM6" s="7" t="n">
        <v>-1.248830449239087</v>
      </c>
      <c r="AN6" s="31" t="inlineStr"/>
      <c r="AO6" s="7" t="inlineStr"/>
      <c r="AP6" s="7" t="inlineStr"/>
      <c r="AQ6" s="7" t="inlineStr"/>
      <c r="AR6" s="7" t="n">
        <v>8.229896394796627</v>
      </c>
      <c r="AS6" s="7" t="inlineStr"/>
      <c r="AT6" s="7" t="inlineStr"/>
      <c r="AU6" s="7" t="inlineStr"/>
      <c r="AV6" s="8" t="inlineStr"/>
      <c r="AW6" s="7" t="n">
        <v>18.85324924359955</v>
      </c>
      <c r="AX6" s="31" t="inlineStr"/>
      <c r="AY6" s="7" t="inlineStr"/>
      <c r="AZ6" s="7" t="inlineStr"/>
      <c r="BA6" s="7" t="inlineStr"/>
      <c r="BB6" s="7" t="n">
        <v>132.6704247345573</v>
      </c>
      <c r="BC6" s="7" t="inlineStr"/>
      <c r="BD6" s="7" t="inlineStr"/>
      <c r="BE6" s="31" t="inlineStr"/>
      <c r="BF6" s="7" t="inlineStr"/>
      <c r="BG6" s="7" t="inlineStr"/>
      <c r="BH6" s="31" t="inlineStr"/>
      <c r="BI6" s="7" t="inlineStr"/>
      <c r="BJ6" s="7" t="inlineStr"/>
      <c r="BK6" s="7" t="inlineStr"/>
      <c r="BL6" s="7" t="n">
        <v>2.434239514384723</v>
      </c>
      <c r="BM6" s="31" t="inlineStr"/>
      <c r="BN6" s="7" t="inlineStr"/>
      <c r="BO6" s="7" t="inlineStr"/>
      <c r="BP6" s="7" t="inlineStr"/>
      <c r="BQ6" s="7" t="n">
        <v>19.20982792226462</v>
      </c>
      <c r="BR6" s="7" t="inlineStr"/>
      <c r="BS6" s="7" t="inlineStr"/>
      <c r="BT6" s="7" t="inlineStr"/>
      <c r="BU6" s="8" t="inlineStr"/>
      <c r="BV6" s="9" t="inlineStr"/>
      <c r="BW6" t="inlineStr"/>
      <c r="BX6" t="inlineStr"/>
      <c r="BY6" s="7" t="inlineStr"/>
      <c r="BZ6" s="7" t="inlineStr"/>
      <c r="CA6" s="7" t="inlineStr"/>
      <c r="CB6" s="7" t="inlineStr"/>
      <c r="CC6" s="7" t="inlineStr"/>
      <c r="CD6" s="7" t="inlineStr"/>
      <c r="CE6" s="8" t="inlineStr"/>
    </row>
    <row r="7">
      <c r="A7" s="251" t="n">
        <v>38443</v>
      </c>
      <c r="B7" s="3" t="n">
        <v>0</v>
      </c>
      <c r="C7" s="6" t="inlineStr"/>
      <c r="D7" s="31" t="inlineStr"/>
      <c r="E7" s="7" t="inlineStr"/>
      <c r="F7" s="7" t="inlineStr"/>
      <c r="G7" s="7" t="inlineStr"/>
      <c r="H7" s="9" t="n">
        <v>16.38203232721131</v>
      </c>
      <c r="I7" s="31" t="inlineStr"/>
      <c r="J7" s="7" t="inlineStr"/>
      <c r="K7" s="7" t="inlineStr"/>
      <c r="L7" s="7" t="inlineStr"/>
      <c r="M7" s="9" t="n">
        <v>1.412630856067835</v>
      </c>
      <c r="N7" s="7" t="n">
        <v>5.700464626484973</v>
      </c>
      <c r="O7" s="8" t="n">
        <v>6.783431277567502</v>
      </c>
      <c r="P7" s="7" t="n">
        <v>63.15000000000001</v>
      </c>
      <c r="Q7" s="7" t="inlineStr"/>
      <c r="R7" s="7" t="inlineStr"/>
      <c r="S7" s="7" t="inlineStr"/>
      <c r="T7" s="7" t="inlineStr"/>
      <c r="U7" s="9" t="inlineStr"/>
      <c r="V7" s="31" t="inlineStr"/>
      <c r="W7" s="7" t="inlineStr"/>
      <c r="X7" s="7" t="inlineStr"/>
      <c r="Y7" s="7" t="inlineStr"/>
      <c r="Z7" s="9" t="n">
        <v>4.064461850323434</v>
      </c>
      <c r="AA7" s="7" t="inlineStr"/>
      <c r="AB7" s="7" t="inlineStr"/>
      <c r="AC7" s="7" t="inlineStr"/>
      <c r="AD7" s="7" t="inlineStr"/>
      <c r="AE7" s="9" t="n">
        <v>49.53269300853071</v>
      </c>
      <c r="AF7" s="7" t="n">
        <v>52.4562589159878</v>
      </c>
      <c r="AG7" s="8" t="n">
        <v>48.62299003842262</v>
      </c>
      <c r="AH7" s="60" t="n">
        <v>0.4381453410189078</v>
      </c>
      <c r="AI7" s="31" t="inlineStr"/>
      <c r="AJ7" s="7" t="inlineStr"/>
      <c r="AK7" s="7" t="inlineStr"/>
      <c r="AL7" s="7" t="inlineStr"/>
      <c r="AM7" s="7" t="n">
        <v>-1.646087662909588</v>
      </c>
      <c r="AN7" s="31" t="inlineStr"/>
      <c r="AO7" s="7" t="inlineStr"/>
      <c r="AP7" s="7" t="inlineStr"/>
      <c r="AQ7" s="7" t="inlineStr"/>
      <c r="AR7" s="7" t="n">
        <v>7.667824694702957</v>
      </c>
      <c r="AS7" s="7" t="inlineStr"/>
      <c r="AT7" s="7" t="inlineStr"/>
      <c r="AU7" s="7" t="inlineStr"/>
      <c r="AV7" s="8" t="inlineStr"/>
      <c r="AW7" s="7" t="n">
        <v>18.67584984326497</v>
      </c>
      <c r="AX7" s="31" t="inlineStr"/>
      <c r="AY7" s="7" t="inlineStr"/>
      <c r="AZ7" s="7" t="inlineStr"/>
      <c r="BA7" s="7" t="inlineStr"/>
      <c r="BB7" s="7" t="n">
        <v>130.6624382020962</v>
      </c>
      <c r="BC7" s="7" t="inlineStr"/>
      <c r="BD7" s="7" t="inlineStr"/>
      <c r="BE7" s="31" t="inlineStr"/>
      <c r="BF7" s="7" t="inlineStr"/>
      <c r="BG7" s="7" t="n">
        <v>4.901498353180588</v>
      </c>
      <c r="BH7" s="31" t="inlineStr"/>
      <c r="BI7" s="7" t="inlineStr"/>
      <c r="BJ7" s="7" t="inlineStr"/>
      <c r="BK7" s="7" t="inlineStr"/>
      <c r="BL7" s="7" t="n">
        <v>0.8393340750127444</v>
      </c>
      <c r="BM7" s="31" t="inlineStr"/>
      <c r="BN7" s="7" t="inlineStr"/>
      <c r="BO7" s="7" t="inlineStr"/>
      <c r="BP7" s="7" t="inlineStr"/>
      <c r="BQ7" s="7" t="n">
        <v>17.55419783893536</v>
      </c>
      <c r="BR7" s="7" t="inlineStr"/>
      <c r="BS7" s="7" t="inlineStr"/>
      <c r="BT7" s="7" t="inlineStr"/>
      <c r="BU7" s="8" t="inlineStr"/>
      <c r="BV7" s="9" t="inlineStr"/>
      <c r="BW7" t="inlineStr"/>
      <c r="BX7" t="inlineStr"/>
      <c r="BY7" s="7" t="inlineStr"/>
      <c r="BZ7" s="7" t="inlineStr"/>
      <c r="CA7" s="7" t="inlineStr"/>
      <c r="CB7" s="7" t="inlineStr"/>
      <c r="CC7" s="7" t="inlineStr"/>
      <c r="CD7" s="7" t="inlineStr"/>
      <c r="CE7" s="8" t="inlineStr"/>
    </row>
    <row r="8">
      <c r="A8" s="251" t="n">
        <v>38534</v>
      </c>
      <c r="B8" s="3" t="n">
        <v>0</v>
      </c>
      <c r="C8" s="6" t="inlineStr"/>
      <c r="D8" s="31" t="inlineStr"/>
      <c r="E8" s="7" t="inlineStr"/>
      <c r="F8" s="7" t="inlineStr"/>
      <c r="G8" s="7" t="inlineStr"/>
      <c r="H8" s="9" t="n">
        <v>16.33283047592818</v>
      </c>
      <c r="I8" s="31" t="inlineStr"/>
      <c r="J8" s="7" t="inlineStr"/>
      <c r="K8" s="7" t="inlineStr"/>
      <c r="L8" s="7" t="inlineStr"/>
      <c r="M8" s="9" t="n">
        <v>0.007275008727901877</v>
      </c>
      <c r="N8" s="7" t="n">
        <v>7.048785357325301</v>
      </c>
      <c r="O8" s="8" t="n">
        <v>9.549233491950986</v>
      </c>
      <c r="P8" s="7" t="n">
        <v>59.05</v>
      </c>
      <c r="Q8" s="7" t="inlineStr"/>
      <c r="R8" s="7" t="inlineStr"/>
      <c r="S8" s="7" t="inlineStr"/>
      <c r="T8" s="7" t="inlineStr"/>
      <c r="U8" s="9" t="inlineStr"/>
      <c r="V8" s="31" t="inlineStr"/>
      <c r="W8" s="7" t="inlineStr"/>
      <c r="X8" s="7" t="inlineStr"/>
      <c r="Y8" s="7" t="inlineStr"/>
      <c r="Z8" s="9" t="n">
        <v>4.366843498616397</v>
      </c>
      <c r="AA8" s="7" t="inlineStr"/>
      <c r="AB8" s="7" t="inlineStr"/>
      <c r="AC8" s="7" t="inlineStr"/>
      <c r="AD8" s="7" t="inlineStr"/>
      <c r="AE8" s="9" t="n">
        <v>46.26811607602156</v>
      </c>
      <c r="AF8" s="7" t="n">
        <v>51.11179702738775</v>
      </c>
      <c r="AG8" s="8" t="n">
        <v>49.38142366206478</v>
      </c>
      <c r="AH8" s="60" t="n">
        <v>0.4119488899018039</v>
      </c>
      <c r="AI8" s="31" t="inlineStr"/>
      <c r="AJ8" s="7" t="inlineStr"/>
      <c r="AK8" s="7" t="inlineStr"/>
      <c r="AL8" s="7" t="inlineStr"/>
      <c r="AM8" s="7" t="n">
        <v>-1.373271843078636</v>
      </c>
      <c r="AN8" s="31" t="inlineStr"/>
      <c r="AO8" s="7" t="inlineStr"/>
      <c r="AP8" s="7" t="inlineStr"/>
      <c r="AQ8" s="7" t="inlineStr"/>
      <c r="AR8" s="7" t="n">
        <v>7.300627305629492</v>
      </c>
      <c r="AS8" s="7" t="inlineStr"/>
      <c r="AT8" s="7" t="inlineStr"/>
      <c r="AU8" s="7" t="inlineStr"/>
      <c r="AV8" s="8" t="inlineStr"/>
      <c r="AW8" s="7" t="n">
        <v>18.72327957863746</v>
      </c>
      <c r="AX8" s="31" t="inlineStr"/>
      <c r="AY8" s="7" t="inlineStr"/>
      <c r="AZ8" s="7" t="inlineStr"/>
      <c r="BA8" s="7" t="inlineStr"/>
      <c r="BB8" s="7" t="n">
        <v>129.7891161806172</v>
      </c>
      <c r="BC8" s="7" t="inlineStr"/>
      <c r="BD8" s="7" t="inlineStr"/>
      <c r="BE8" s="31" t="inlineStr"/>
      <c r="BF8" s="7" t="inlineStr"/>
      <c r="BG8" s="7" t="n">
        <v>5.150188243145942</v>
      </c>
      <c r="BH8" s="31" t="inlineStr"/>
      <c r="BI8" s="7" t="inlineStr"/>
      <c r="BJ8" s="7" t="inlineStr"/>
      <c r="BK8" s="7" t="inlineStr"/>
      <c r="BL8" s="7" t="n">
        <v>0.6544385978990859</v>
      </c>
      <c r="BM8" s="31" t="inlineStr"/>
      <c r="BN8" s="7" t="inlineStr"/>
      <c r="BO8" s="7" t="inlineStr"/>
      <c r="BP8" s="7" t="inlineStr"/>
      <c r="BQ8" s="7" t="n">
        <v>16.87714186976358</v>
      </c>
      <c r="BR8" s="7" t="inlineStr"/>
      <c r="BS8" s="7" t="inlineStr"/>
      <c r="BT8" s="7" t="inlineStr"/>
      <c r="BU8" s="8" t="inlineStr"/>
      <c r="BV8" s="9" t="inlineStr"/>
      <c r="BW8" t="inlineStr"/>
      <c r="BX8" t="inlineStr"/>
      <c r="BY8" s="7" t="inlineStr"/>
      <c r="BZ8" s="7" t="inlineStr"/>
      <c r="CA8" s="7" t="inlineStr"/>
      <c r="CB8" s="7" t="inlineStr"/>
      <c r="CC8" s="7" t="inlineStr"/>
      <c r="CD8" s="7" t="inlineStr"/>
      <c r="CE8" s="8" t="inlineStr"/>
    </row>
    <row r="9">
      <c r="A9" s="251" t="n">
        <v>38626</v>
      </c>
      <c r="B9" s="3" t="n">
        <v>0</v>
      </c>
      <c r="C9" s="6" t="n">
        <v>13.16004041676541</v>
      </c>
      <c r="D9" s="31" t="inlineStr"/>
      <c r="E9" s="7" t="inlineStr"/>
      <c r="F9" s="7" t="inlineStr"/>
      <c r="G9" s="7" t="inlineStr"/>
      <c r="H9" s="9" t="n">
        <v>16.32812999657277</v>
      </c>
      <c r="I9" s="31" t="inlineStr"/>
      <c r="J9" s="7" t="inlineStr"/>
      <c r="K9" s="7" t="inlineStr"/>
      <c r="L9" s="7" t="inlineStr"/>
      <c r="M9" s="9" t="n">
        <v>2.299705287596339</v>
      </c>
      <c r="N9" s="7" t="n">
        <v>6.621986455030822</v>
      </c>
      <c r="O9" s="8" t="n">
        <v>7.206084295468675</v>
      </c>
      <c r="P9" s="7" t="n">
        <v>54.05</v>
      </c>
      <c r="Q9" s="7" t="inlineStr"/>
      <c r="R9" s="7" t="inlineStr"/>
      <c r="S9" s="7" t="inlineStr"/>
      <c r="T9" s="7" t="inlineStr"/>
      <c r="U9" s="9" t="inlineStr"/>
      <c r="V9" s="31" t="inlineStr"/>
      <c r="W9" s="7" t="inlineStr"/>
      <c r="X9" s="7" t="inlineStr"/>
      <c r="Y9" s="7" t="inlineStr"/>
      <c r="Z9" s="9" t="n">
        <v>4.707525001114234</v>
      </c>
      <c r="AA9" s="7" t="inlineStr"/>
      <c r="AB9" s="7" t="inlineStr"/>
      <c r="AC9" s="7" t="inlineStr"/>
      <c r="AD9" s="7" t="inlineStr"/>
      <c r="AE9" s="9" t="n">
        <v>45.21535288190023</v>
      </c>
      <c r="AF9" s="7" t="n">
        <v>49.60723026434391</v>
      </c>
      <c r="AG9" s="8" t="n">
        <v>49.54939289512871</v>
      </c>
      <c r="AH9" s="60" t="n">
        <v>0.4457286236732284</v>
      </c>
      <c r="AI9" s="31" t="inlineStr"/>
      <c r="AJ9" s="7" t="inlineStr"/>
      <c r="AK9" s="7" t="inlineStr"/>
      <c r="AL9" s="7" t="inlineStr"/>
      <c r="AM9" s="7" t="n">
        <v>0.5850883165224777</v>
      </c>
      <c r="AN9" s="31" t="inlineStr"/>
      <c r="AO9" s="7" t="inlineStr"/>
      <c r="AP9" s="7" t="inlineStr"/>
      <c r="AQ9" s="7" t="inlineStr"/>
      <c r="AR9" s="7" t="n">
        <v>7.235953160109807</v>
      </c>
      <c r="AS9" s="7" t="inlineStr"/>
      <c r="AT9" s="7" t="inlineStr"/>
      <c r="AU9" s="7" t="inlineStr"/>
      <c r="AV9" s="8" t="inlineStr"/>
      <c r="AW9" s="7" t="n">
        <v>18.99008859600002</v>
      </c>
      <c r="AX9" s="31" t="inlineStr"/>
      <c r="AY9" s="7" t="inlineStr"/>
      <c r="AZ9" s="7" t="inlineStr"/>
      <c r="BA9" s="7" t="inlineStr"/>
      <c r="BB9" s="7" t="n">
        <v>126.6871033367639</v>
      </c>
      <c r="BC9" s="7" t="inlineStr"/>
      <c r="BD9" s="7" t="inlineStr"/>
      <c r="BE9" s="31" t="inlineStr"/>
      <c r="BF9" s="7" t="inlineStr"/>
      <c r="BG9" s="7" t="n">
        <v>5.182604433561689</v>
      </c>
      <c r="BH9" s="31" t="inlineStr"/>
      <c r="BI9" s="7" t="inlineStr"/>
      <c r="BJ9" s="7" t="inlineStr"/>
      <c r="BK9" s="7" t="inlineStr"/>
      <c r="BL9" s="7" t="n">
        <v>-1.517528929595716</v>
      </c>
      <c r="BM9" s="31" t="inlineStr"/>
      <c r="BN9" s="7" t="inlineStr"/>
      <c r="BO9" s="7" t="inlineStr"/>
      <c r="BP9" s="7" t="inlineStr"/>
      <c r="BQ9" s="7" t="n">
        <v>16.48352100619626</v>
      </c>
      <c r="BR9" s="7" t="inlineStr"/>
      <c r="BS9" s="7" t="inlineStr"/>
      <c r="BT9" s="7" t="inlineStr"/>
      <c r="BU9" s="8" t="inlineStr"/>
      <c r="BV9" s="9" t="n">
        <v>-45.13419714848726</v>
      </c>
      <c r="BW9" t="inlineStr"/>
      <c r="BX9" t="inlineStr"/>
      <c r="BY9" s="7" t="inlineStr"/>
      <c r="BZ9" s="7" t="inlineStr"/>
      <c r="CA9" s="7" t="inlineStr"/>
      <c r="CB9" s="7" t="inlineStr"/>
      <c r="CC9" s="7" t="inlineStr"/>
      <c r="CD9" s="7" t="inlineStr"/>
      <c r="CE9" s="8" t="inlineStr"/>
    </row>
    <row r="10">
      <c r="A10" s="251" t="n">
        <v>38718</v>
      </c>
      <c r="B10" s="3" t="n">
        <v>0</v>
      </c>
      <c r="C10" s="6" t="n">
        <v>13.24516345901657</v>
      </c>
      <c r="D10" s="31" t="inlineStr"/>
      <c r="E10" s="7" t="inlineStr"/>
      <c r="F10" s="7" t="inlineStr"/>
      <c r="G10" s="7" t="inlineStr"/>
      <c r="H10" s="9" t="n">
        <v>16.57523526423212</v>
      </c>
      <c r="I10" s="31" t="n">
        <v>-0.1001876907470347</v>
      </c>
      <c r="J10" s="7" t="inlineStr"/>
      <c r="K10" s="7" t="inlineStr"/>
      <c r="L10" s="7" t="inlineStr"/>
      <c r="M10" s="9" t="n">
        <v>14.62558151705366</v>
      </c>
      <c r="N10" s="7" t="n">
        <v>10.45814710233719</v>
      </c>
      <c r="O10" s="8" t="n">
        <v>10.76931392213479</v>
      </c>
      <c r="P10" s="7" t="n">
        <v>56.2</v>
      </c>
      <c r="Q10" s="31" t="n">
        <v>-2.899999999999999</v>
      </c>
      <c r="R10" s="7" t="inlineStr"/>
      <c r="S10" s="7" t="inlineStr"/>
      <c r="T10" s="7" t="inlineStr"/>
      <c r="U10" s="9" t="n">
        <v>2.286063997499785</v>
      </c>
      <c r="V10" s="31" t="inlineStr"/>
      <c r="W10" s="7" t="inlineStr"/>
      <c r="X10" s="7" t="inlineStr"/>
      <c r="Y10" s="7" t="inlineStr"/>
      <c r="Z10" s="9" t="n">
        <v>5.041481285699602</v>
      </c>
      <c r="AA10" s="31" t="n">
        <v>1.222750202349034</v>
      </c>
      <c r="AB10" s="7" t="inlineStr"/>
      <c r="AC10" s="7" t="inlineStr"/>
      <c r="AD10" s="7" t="inlineStr"/>
      <c r="AE10" s="9" t="n">
        <v>44.91693390558942</v>
      </c>
      <c r="AF10" s="7" t="n">
        <v>48.22060562449525</v>
      </c>
      <c r="AG10" s="8" t="n">
        <v>50.20024560326366</v>
      </c>
      <c r="AH10" s="60" t="n">
        <v>0.4448953364325623</v>
      </c>
      <c r="AI10" s="31" t="n">
        <v>0.04013603092196205</v>
      </c>
      <c r="AJ10" s="7" t="inlineStr"/>
      <c r="AK10" s="7" t="inlineStr"/>
      <c r="AL10" s="7" t="inlineStr"/>
      <c r="AM10" s="7" t="n">
        <v>0.8096522524705225</v>
      </c>
      <c r="AN10" s="31" t="n">
        <v>2.058482701709609</v>
      </c>
      <c r="AO10" s="7" t="inlineStr"/>
      <c r="AP10" s="7" t="inlineStr"/>
      <c r="AQ10" s="7" t="inlineStr"/>
      <c r="AR10" s="7" t="n">
        <v>7.867700438431511</v>
      </c>
      <c r="AS10" s="31" t="n">
        <v>-0.3621959563651167</v>
      </c>
      <c r="AT10" s="7" t="inlineStr"/>
      <c r="AU10" s="7" t="inlineStr"/>
      <c r="AV10" s="8" t="inlineStr"/>
      <c r="AW10" s="7" t="n">
        <v>19.90795733206105</v>
      </c>
      <c r="AX10" s="31" t="n">
        <v>1.054708088461492</v>
      </c>
      <c r="AY10" s="7" t="inlineStr"/>
      <c r="AZ10" s="7" t="inlineStr"/>
      <c r="BA10" s="7" t="inlineStr"/>
      <c r="BB10" s="7" t="n">
        <v>127.6928513209533</v>
      </c>
      <c r="BC10" s="31" t="n">
        <v>-4.977573413604048</v>
      </c>
      <c r="BD10" s="7" t="inlineStr"/>
      <c r="BE10" s="31" t="inlineStr"/>
      <c r="BF10" s="7" t="inlineStr"/>
      <c r="BG10" s="7" t="n">
        <v>5.054419331855216</v>
      </c>
      <c r="BH10" s="31" t="inlineStr"/>
      <c r="BI10" s="7" t="inlineStr"/>
      <c r="BJ10" s="7" t="inlineStr"/>
      <c r="BK10" s="7" t="inlineStr"/>
      <c r="BL10" s="7" t="n">
        <v>0.4310022244360847</v>
      </c>
      <c r="BM10" s="31" t="n">
        <v>-2.003237289948638</v>
      </c>
      <c r="BN10" s="7" t="inlineStr"/>
      <c r="BO10" s="7" t="inlineStr"/>
      <c r="BP10" s="7" t="inlineStr"/>
      <c r="BQ10" s="7" t="n">
        <v>16.1711087350784</v>
      </c>
      <c r="BR10" s="31" t="n">
        <v>-3.038719187186224</v>
      </c>
      <c r="BS10" s="7" t="inlineStr"/>
      <c r="BT10" s="7" t="inlineStr"/>
      <c r="BU10" s="8" t="inlineStr"/>
      <c r="BV10" s="9" t="n">
        <v>-32.04877125039031</v>
      </c>
      <c r="BW10" s="31" t="inlineStr"/>
      <c r="BX10" t="inlineStr"/>
      <c r="BY10" s="7" t="inlineStr"/>
      <c r="BZ10" s="7" t="inlineStr"/>
      <c r="CA10" s="7" t="inlineStr"/>
      <c r="CB10" s="7" t="inlineStr"/>
      <c r="CC10" s="7" t="inlineStr"/>
      <c r="CD10" s="7" t="inlineStr"/>
      <c r="CE10" s="8" t="inlineStr"/>
    </row>
    <row r="11">
      <c r="A11" s="251" t="n">
        <v>38808</v>
      </c>
      <c r="B11" s="3" t="n">
        <v>0</v>
      </c>
      <c r="C11" s="6" t="n">
        <v>12.69924815620111</v>
      </c>
      <c r="D11" s="31" t="inlineStr"/>
      <c r="E11" s="7" t="inlineStr"/>
      <c r="F11" s="7" t="inlineStr"/>
      <c r="G11" s="7" t="inlineStr"/>
      <c r="H11" s="9" t="n">
        <v>17.21605683698692</v>
      </c>
      <c r="I11" s="31" t="n">
        <v>0.8340245097756096</v>
      </c>
      <c r="J11" s="7" t="inlineStr"/>
      <c r="K11" s="7" t="inlineStr"/>
      <c r="L11" s="7" t="inlineStr"/>
      <c r="M11" s="9" t="n">
        <v>16.51077681722268</v>
      </c>
      <c r="N11" s="7" t="n">
        <v>8.961703836645256</v>
      </c>
      <c r="O11" s="8" t="n">
        <v>9.303902023397541</v>
      </c>
      <c r="P11" s="7" t="n">
        <v>59.05</v>
      </c>
      <c r="Q11" s="31" t="n">
        <v>-4.100000000000009</v>
      </c>
      <c r="R11" s="7" t="inlineStr"/>
      <c r="S11" s="7" t="inlineStr"/>
      <c r="T11" s="7" t="inlineStr"/>
      <c r="U11" s="9" t="n">
        <v>2.439747161353303</v>
      </c>
      <c r="V11" s="31" t="inlineStr"/>
      <c r="W11" s="7" t="inlineStr"/>
      <c r="X11" s="7" t="inlineStr"/>
      <c r="Y11" s="7" t="inlineStr"/>
      <c r="Z11" s="9" t="n">
        <v>5.404486696163913</v>
      </c>
      <c r="AA11" s="31" t="n">
        <v>1.340024845840478</v>
      </c>
      <c r="AB11" s="7" t="inlineStr"/>
      <c r="AC11" s="7" t="inlineStr"/>
      <c r="AD11" s="7" t="inlineStr"/>
      <c r="AE11" s="9" t="n">
        <v>44.70973151858891</v>
      </c>
      <c r="AF11" s="7" t="n">
        <v>47.12121226355981</v>
      </c>
      <c r="AG11" s="8" t="n">
        <v>49.87408311685484</v>
      </c>
      <c r="AH11" s="60" t="n">
        <v>0.4079417796168417</v>
      </c>
      <c r="AI11" s="31" t="n">
        <v>-0.03020356140206609</v>
      </c>
      <c r="AJ11" s="7" t="inlineStr"/>
      <c r="AK11" s="7" t="inlineStr"/>
      <c r="AL11" s="7" t="inlineStr"/>
      <c r="AM11" s="7" t="n">
        <v>0.7928349332534994</v>
      </c>
      <c r="AN11" s="31" t="n">
        <v>2.438922596163087</v>
      </c>
      <c r="AO11" s="7" t="inlineStr"/>
      <c r="AP11" s="7" t="inlineStr"/>
      <c r="AQ11" s="7" t="inlineStr"/>
      <c r="AR11" s="7" t="n">
        <v>7.469696719132003</v>
      </c>
      <c r="AS11" s="31" t="n">
        <v>-0.1981279755709542</v>
      </c>
      <c r="AT11" s="7" t="inlineStr"/>
      <c r="AU11" s="7" t="inlineStr"/>
      <c r="AV11" s="8" t="inlineStr"/>
      <c r="AW11" s="7" t="n">
        <v>21.05811019099795</v>
      </c>
      <c r="AX11" s="31" t="n">
        <v>2.382260347732988</v>
      </c>
      <c r="AY11" s="7" t="inlineStr"/>
      <c r="AZ11" s="7" t="inlineStr"/>
      <c r="BA11" s="7" t="inlineStr"/>
      <c r="BB11" s="7" t="n">
        <v>131.8201058159495</v>
      </c>
      <c r="BC11" s="31" t="n">
        <v>1.157667613853249</v>
      </c>
      <c r="BD11" s="7" t="inlineStr"/>
      <c r="BE11" s="31" t="inlineStr"/>
      <c r="BF11" s="7" t="inlineStr"/>
      <c r="BG11" s="7" t="n">
        <v>5.227426187082606</v>
      </c>
      <c r="BH11" s="31" t="n">
        <v>0.3259278339020177</v>
      </c>
      <c r="BI11" s="7" t="inlineStr"/>
      <c r="BJ11" s="7" t="inlineStr"/>
      <c r="BK11" s="7" t="inlineStr"/>
      <c r="BL11" s="7" t="n">
        <v>1.855428639495315</v>
      </c>
      <c r="BM11" s="31" t="n">
        <v>1.01609456448257</v>
      </c>
      <c r="BN11" s="7" t="inlineStr"/>
      <c r="BO11" s="7" t="inlineStr"/>
      <c r="BP11" s="7" t="inlineStr"/>
      <c r="BQ11" s="7" t="n">
        <v>15.82375199240361</v>
      </c>
      <c r="BR11" s="31" t="n">
        <v>-1.730445846531753</v>
      </c>
      <c r="BS11" s="7" t="inlineStr"/>
      <c r="BT11" s="7" t="inlineStr"/>
      <c r="BU11" s="8" t="inlineStr"/>
      <c r="BV11" s="9" t="n">
        <v>-21.39869860472379</v>
      </c>
      <c r="BW11" s="31" t="inlineStr"/>
      <c r="BX11" t="inlineStr"/>
      <c r="BY11" s="7" t="inlineStr"/>
      <c r="BZ11" s="7" t="inlineStr"/>
      <c r="CA11" s="7" t="n">
        <v>-42.10344687805249</v>
      </c>
      <c r="CB11" s="7" t="inlineStr"/>
      <c r="CC11" s="7" t="inlineStr"/>
      <c r="CD11" s="7" t="inlineStr"/>
      <c r="CE11" s="8" t="inlineStr"/>
    </row>
    <row r="12">
      <c r="A12" s="251" t="n">
        <v>38899</v>
      </c>
      <c r="B12" s="3" t="n">
        <v>0</v>
      </c>
      <c r="C12" s="6" t="n">
        <v>13.34077799741242</v>
      </c>
      <c r="D12" s="31" t="inlineStr"/>
      <c r="E12" s="7" t="inlineStr"/>
      <c r="F12" s="7" t="inlineStr"/>
      <c r="G12" s="7" t="inlineStr"/>
      <c r="H12" s="9" t="n">
        <v>18.47928467392443</v>
      </c>
      <c r="I12" s="31" t="n">
        <v>2.146454197996253</v>
      </c>
      <c r="J12" s="7" t="inlineStr"/>
      <c r="K12" s="7" t="inlineStr"/>
      <c r="L12" s="7" t="inlineStr"/>
      <c r="M12" s="9" t="n">
        <v>23.0743982573623</v>
      </c>
      <c r="N12" s="7" t="n">
        <v>11.5408366330451</v>
      </c>
      <c r="O12" s="8" t="n">
        <v>12.3906563240043</v>
      </c>
      <c r="P12" s="7" t="n">
        <v>55.2</v>
      </c>
      <c r="Q12" s="31" t="n">
        <v>-3.849999999999994</v>
      </c>
      <c r="R12" s="7" t="inlineStr"/>
      <c r="S12" s="7" t="inlineStr"/>
      <c r="T12" s="7" t="inlineStr"/>
      <c r="U12" s="9" t="n">
        <v>2.583059127974017</v>
      </c>
      <c r="V12" s="31" t="inlineStr"/>
      <c r="W12" s="7" t="inlineStr"/>
      <c r="X12" s="7" t="inlineStr"/>
      <c r="Y12" s="7" t="inlineStr"/>
      <c r="Z12" s="9" t="n">
        <v>5.920669515121529</v>
      </c>
      <c r="AA12" s="31" t="n">
        <v>1.553826016505131</v>
      </c>
      <c r="AB12" s="7" t="inlineStr"/>
      <c r="AC12" s="7" t="inlineStr"/>
      <c r="AD12" s="7" t="inlineStr"/>
      <c r="AE12" s="9" t="n">
        <v>45.5551375721227</v>
      </c>
      <c r="AF12" s="7" t="n">
        <v>45.91162682407213</v>
      </c>
      <c r="AG12" s="8" t="n">
        <v>49.25957720896607</v>
      </c>
      <c r="AH12" s="60" t="n">
        <v>0.3940845361896546</v>
      </c>
      <c r="AI12" s="31" t="n">
        <v>-0.01786435371214934</v>
      </c>
      <c r="AJ12" s="7" t="inlineStr"/>
      <c r="AK12" s="7" t="inlineStr"/>
      <c r="AL12" s="7" t="inlineStr"/>
      <c r="AM12" s="7" t="n">
        <v>0.1035277766797167</v>
      </c>
      <c r="AN12" s="31" t="n">
        <v>1.476799619758353</v>
      </c>
      <c r="AO12" s="7" t="inlineStr"/>
      <c r="AP12" s="7" t="inlineStr"/>
      <c r="AQ12" s="7" t="inlineStr"/>
      <c r="AR12" s="7" t="n">
        <v>7.44830265029773</v>
      </c>
      <c r="AS12" s="31" t="n">
        <v>0.1476753446682384</v>
      </c>
      <c r="AT12" s="7" t="inlineStr"/>
      <c r="AU12" s="7" t="inlineStr"/>
      <c r="AV12" s="8" t="inlineStr"/>
      <c r="AW12" s="7" t="n">
        <v>22.53390034117348</v>
      </c>
      <c r="AX12" s="31" t="n">
        <v>3.810620762536018</v>
      </c>
      <c r="AY12" s="7" t="inlineStr"/>
      <c r="AZ12" s="7" t="inlineStr"/>
      <c r="BA12" s="7" t="inlineStr"/>
      <c r="BB12" s="7" t="n">
        <v>134.6714040986107</v>
      </c>
      <c r="BC12" s="31" t="n">
        <v>4.882287917993438</v>
      </c>
      <c r="BD12" s="7" t="inlineStr"/>
      <c r="BE12" s="31" t="inlineStr"/>
      <c r="BF12" s="7" t="inlineStr"/>
      <c r="BG12" s="7" t="n">
        <v>5.701637480692256</v>
      </c>
      <c r="BH12" s="31" t="n">
        <v>0.551449237546314</v>
      </c>
      <c r="BI12" s="7" t="inlineStr"/>
      <c r="BJ12" s="7" t="inlineStr"/>
      <c r="BK12" s="7" t="inlineStr"/>
      <c r="BL12" s="7" t="n">
        <v>2.09371647008853</v>
      </c>
      <c r="BM12" s="31" t="n">
        <v>1.439277872189445</v>
      </c>
      <c r="BN12" s="7" t="inlineStr"/>
      <c r="BO12" s="7" t="inlineStr"/>
      <c r="BP12" s="7" t="inlineStr"/>
      <c r="BQ12" s="7" t="n">
        <v>16.48805279484245</v>
      </c>
      <c r="BR12" s="31" t="n">
        <v>-0.3890890749211344</v>
      </c>
      <c r="BS12" s="7" t="inlineStr"/>
      <c r="BT12" s="7" t="inlineStr"/>
      <c r="BU12" s="8" t="inlineStr"/>
      <c r="BV12" s="9" t="n">
        <v>31.80024268190234</v>
      </c>
      <c r="BW12" s="31" t="inlineStr"/>
      <c r="BX12" t="inlineStr"/>
      <c r="BY12" s="7" t="inlineStr"/>
      <c r="BZ12" s="7" t="inlineStr"/>
      <c r="CA12" s="7" t="n">
        <v>-40.26972436087988</v>
      </c>
      <c r="CB12" s="31" t="inlineStr"/>
      <c r="CC12" s="7" t="inlineStr"/>
      <c r="CD12" s="7" t="inlineStr"/>
      <c r="CE12" s="8" t="inlineStr"/>
    </row>
    <row r="13">
      <c r="A13" s="251" t="n">
        <v>38991</v>
      </c>
      <c r="B13" s="3" t="n">
        <v>0</v>
      </c>
      <c r="C13" s="6" t="n">
        <v>13.42493188538056</v>
      </c>
      <c r="D13" s="31" t="n">
        <v>0.2648914686151489</v>
      </c>
      <c r="E13" s="7" t="inlineStr"/>
      <c r="F13" s="7" t="inlineStr"/>
      <c r="G13" s="7" t="inlineStr"/>
      <c r="H13" s="9" t="n">
        <v>20.24220694130807</v>
      </c>
      <c r="I13" s="31" t="n">
        <v>3.914076944735303</v>
      </c>
      <c r="J13" s="7" t="inlineStr"/>
      <c r="K13" s="7" t="inlineStr"/>
      <c r="L13" s="7" t="inlineStr"/>
      <c r="M13" s="9" t="n">
        <v>31.68395868430412</v>
      </c>
      <c r="N13" s="7" t="n">
        <v>16.99183198595023</v>
      </c>
      <c r="O13" s="8" t="n">
        <v>14.97597719812192</v>
      </c>
      <c r="P13" s="7" t="n">
        <v>55.09999999999999</v>
      </c>
      <c r="Q13" s="31" t="n">
        <v>1.049999999999997</v>
      </c>
      <c r="R13" s="7" t="inlineStr"/>
      <c r="S13" s="7" t="inlineStr"/>
      <c r="T13" s="7" t="inlineStr"/>
      <c r="U13" s="9" t="n">
        <v>2.753650315677519</v>
      </c>
      <c r="V13" s="31" t="inlineStr"/>
      <c r="W13" s="7" t="inlineStr"/>
      <c r="X13" s="7" t="inlineStr"/>
      <c r="Y13" s="7" t="inlineStr"/>
      <c r="Z13" s="9" t="n">
        <v>6.466751611641667</v>
      </c>
      <c r="AA13" s="31" t="n">
        <v>1.759226610527434</v>
      </c>
      <c r="AB13" s="7" t="inlineStr"/>
      <c r="AC13" s="7" t="inlineStr"/>
      <c r="AD13" s="7" t="inlineStr"/>
      <c r="AE13" s="9" t="n">
        <v>44.98214177369016</v>
      </c>
      <c r="AF13" s="7" t="n">
        <v>45.09874732779519</v>
      </c>
      <c r="AG13" s="8" t="n">
        <v>48.06553410079266</v>
      </c>
      <c r="AH13" s="60" t="n">
        <v>0.4490043510747629</v>
      </c>
      <c r="AI13" s="31" t="n">
        <v>0.003275727401534534</v>
      </c>
      <c r="AJ13" s="7" t="inlineStr"/>
      <c r="AK13" s="7" t="inlineStr"/>
      <c r="AL13" s="7" t="inlineStr"/>
      <c r="AM13" s="7" t="n">
        <v>-1.432113059659123</v>
      </c>
      <c r="AN13" s="31" t="n">
        <v>-2.017201376181601</v>
      </c>
      <c r="AO13" s="7" t="inlineStr"/>
      <c r="AP13" s="7" t="inlineStr"/>
      <c r="AQ13" s="7" t="inlineStr"/>
      <c r="AR13" s="7" t="n">
        <v>8.168878735743593</v>
      </c>
      <c r="AS13" s="31" t="n">
        <v>0.9329255756337869</v>
      </c>
      <c r="AT13" s="7" t="inlineStr"/>
      <c r="AU13" s="7" t="inlineStr"/>
      <c r="AV13" s="8" t="inlineStr"/>
      <c r="AW13" s="7" t="n">
        <v>24.02762434936215</v>
      </c>
      <c r="AX13" s="31" t="n">
        <v>5.037535753362132</v>
      </c>
      <c r="AY13" s="7" t="inlineStr"/>
      <c r="AZ13" s="7" t="inlineStr"/>
      <c r="BA13" s="7" t="inlineStr"/>
      <c r="BB13" s="7" t="n">
        <v>137.1407987745368</v>
      </c>
      <c r="BC13" s="31" t="n">
        <v>10.45369543777292</v>
      </c>
      <c r="BD13" s="7" t="inlineStr"/>
      <c r="BE13" s="31" t="inlineStr"/>
      <c r="BF13" s="7" t="inlineStr"/>
      <c r="BG13" s="7" t="n">
        <v>5.779967732759445</v>
      </c>
      <c r="BH13" s="31" t="n">
        <v>0.597363299197756</v>
      </c>
      <c r="BI13" s="7" t="inlineStr"/>
      <c r="BJ13" s="7" t="inlineStr"/>
      <c r="BK13" s="7" t="inlineStr"/>
      <c r="BL13" s="7" t="n">
        <v>3.754055053353397</v>
      </c>
      <c r="BM13" s="31" t="n">
        <v>5.271583982949112</v>
      </c>
      <c r="BN13" s="7" t="inlineStr"/>
      <c r="BO13" s="7" t="inlineStr"/>
      <c r="BP13" s="7" t="inlineStr"/>
      <c r="BQ13" s="7" t="n">
        <v>17.59853620119114</v>
      </c>
      <c r="BR13" s="31" t="n">
        <v>1.115015194994875</v>
      </c>
      <c r="BS13" s="7" t="inlineStr"/>
      <c r="BT13" s="7" t="inlineStr"/>
      <c r="BU13" s="8" t="inlineStr"/>
      <c r="BV13" s="9" t="n">
        <v>32.54821660559794</v>
      </c>
      <c r="BW13" s="31" t="n">
        <v>77.6824137540852</v>
      </c>
      <c r="BX13" t="inlineStr"/>
      <c r="BY13" s="7" t="inlineStr"/>
      <c r="BZ13" s="7" t="inlineStr"/>
      <c r="CA13" s="7" t="n">
        <v>-38.44489930622955</v>
      </c>
      <c r="CB13" s="31" t="inlineStr"/>
      <c r="CC13" s="7" t="inlineStr"/>
      <c r="CD13" s="7" t="inlineStr"/>
      <c r="CE13" s="8" t="inlineStr"/>
    </row>
    <row r="14">
      <c r="A14" s="251" t="n">
        <v>39083</v>
      </c>
      <c r="B14" s="3" t="n">
        <v>0</v>
      </c>
      <c r="C14" s="6" t="n">
        <v>14.01777417742078</v>
      </c>
      <c r="D14" s="31" t="n">
        <v>0.772610718404211</v>
      </c>
      <c r="E14" s="7" t="inlineStr"/>
      <c r="F14" s="7" t="inlineStr"/>
      <c r="G14" s="7" t="inlineStr"/>
      <c r="H14" s="9" t="n">
        <v>21.92481568511989</v>
      </c>
      <c r="I14" s="31" t="n">
        <v>5.349580420887772</v>
      </c>
      <c r="J14" s="7" t="n">
        <v>2.624696365070369</v>
      </c>
      <c r="K14" s="7" t="n">
        <v>4.645915751227022</v>
      </c>
      <c r="L14" s="7" t="inlineStr"/>
      <c r="M14" s="9" t="n">
        <v>36.49646597777689</v>
      </c>
      <c r="N14" s="7" t="n">
        <v>25.56102374741528</v>
      </c>
      <c r="O14" s="8" t="n">
        <v>19.13758672748376</v>
      </c>
      <c r="P14" s="7" t="n">
        <v>59.8</v>
      </c>
      <c r="Q14" s="31" t="n">
        <v>3.599999999999994</v>
      </c>
      <c r="R14" s="7" t="n">
        <v>0.3499999999999979</v>
      </c>
      <c r="S14" s="7" t="n">
        <v>2.1875</v>
      </c>
      <c r="T14" s="7" t="inlineStr"/>
      <c r="U14" s="9" t="n">
        <v>2.976471708266974</v>
      </c>
      <c r="V14" s="31" t="n">
        <v>0.6904077107671891</v>
      </c>
      <c r="W14" s="7" t="inlineStr"/>
      <c r="X14" s="7" t="inlineStr"/>
      <c r="Y14" s="7" t="inlineStr"/>
      <c r="Z14" s="9" t="n">
        <v>6.819167076096067</v>
      </c>
      <c r="AA14" s="31" t="n">
        <v>1.777685790396465</v>
      </c>
      <c r="AB14" s="7" t="n">
        <v>1.50021799637275</v>
      </c>
      <c r="AC14" s="7" t="n">
        <v>1.845298258342149</v>
      </c>
      <c r="AD14" s="7" t="inlineStr"/>
      <c r="AE14" s="9" t="n">
        <v>42.62420955485766</v>
      </c>
      <c r="AF14" s="7" t="n">
        <v>43.77057173022354</v>
      </c>
      <c r="AG14" s="8" t="n">
        <v>46.35514026794939</v>
      </c>
      <c r="AH14" s="60" t="n">
        <v>0.397512331870525</v>
      </c>
      <c r="AI14" s="31" t="n">
        <v>-0.04738300456203726</v>
      </c>
      <c r="AJ14" s="7" t="n">
        <v>-0.003623486820037602</v>
      </c>
      <c r="AK14" s="7" t="n">
        <v>-0.02705118855677019</v>
      </c>
      <c r="AL14" s="7" t="inlineStr"/>
      <c r="AM14" s="7" t="n">
        <v>-2.786154779486141</v>
      </c>
      <c r="AN14" s="31" t="n">
        <v>-3.595807031956664</v>
      </c>
      <c r="AO14" s="7" t="n">
        <v>-0.7686621651235273</v>
      </c>
      <c r="AP14" s="7" t="n">
        <v>-2.360004812491114</v>
      </c>
      <c r="AQ14" s="7" t="inlineStr"/>
      <c r="AR14" s="7" t="n">
        <v>8.118879675760565</v>
      </c>
      <c r="AS14" s="31" t="n">
        <v>0.2511792373290547</v>
      </c>
      <c r="AT14" s="7" t="n">
        <v>-0.05550835951803101</v>
      </c>
      <c r="AU14" s="7" t="n">
        <v>0.4452696634051003</v>
      </c>
      <c r="AV14" s="8" t="inlineStr"/>
      <c r="AW14" s="7" t="n">
        <v>26.36837869817302</v>
      </c>
      <c r="AX14" s="31" t="n">
        <v>6.460421366111976</v>
      </c>
      <c r="AY14" s="7" t="n">
        <v>3.757564727286734</v>
      </c>
      <c r="AZ14" s="7" t="n">
        <v>6.022121263785941</v>
      </c>
      <c r="BA14" s="7" t="inlineStr"/>
      <c r="BB14" s="7" t="n">
        <v>149.673505530162</v>
      </c>
      <c r="BC14" s="31" t="n">
        <v>21.98065420920868</v>
      </c>
      <c r="BD14" s="7" t="n">
        <v>8.501540397802316</v>
      </c>
      <c r="BE14" s="7" t="n">
        <v>18.28172522215135</v>
      </c>
      <c r="BF14" s="7" t="inlineStr"/>
      <c r="BG14" s="7" t="n">
        <v>5.661606547090294</v>
      </c>
      <c r="BH14" s="31" t="n">
        <v>0.6071872152350775</v>
      </c>
      <c r="BI14" s="7" t="inlineStr"/>
      <c r="BJ14" s="7" t="inlineStr"/>
      <c r="BK14" s="7" t="inlineStr"/>
      <c r="BL14" s="7" t="n">
        <v>5.353131674871602</v>
      </c>
      <c r="BM14" s="31" t="n">
        <v>4.922129450435518</v>
      </c>
      <c r="BN14" s="7" t="n">
        <v>1.45944608024344</v>
      </c>
      <c r="BO14" s="7" t="n">
        <v>4.035045969237332</v>
      </c>
      <c r="BP14" s="7" t="inlineStr"/>
      <c r="BQ14" s="7" t="n">
        <v>19.132312385684</v>
      </c>
      <c r="BR14" s="31" t="n">
        <v>2.961203650605597</v>
      </c>
      <c r="BS14" s="7" t="n">
        <v>-0.03875776829031352</v>
      </c>
      <c r="BT14" s="7" t="n">
        <v>2.106545090599568</v>
      </c>
      <c r="BU14" s="8" t="inlineStr"/>
      <c r="BV14" s="9" t="n">
        <v>29.28997287254294</v>
      </c>
      <c r="BW14" s="31" t="n">
        <v>61.33874412293325</v>
      </c>
      <c r="BX14" t="inlineStr"/>
      <c r="BY14" s="7" t="inlineStr"/>
      <c r="BZ14" s="7" t="inlineStr"/>
      <c r="CA14" s="7" t="n">
        <v>-31.58941107204188</v>
      </c>
      <c r="CB14" s="31" t="inlineStr"/>
      <c r="CC14" s="7" t="inlineStr"/>
      <c r="CD14" s="7" t="inlineStr"/>
      <c r="CE14" s="8" t="inlineStr"/>
    </row>
    <row r="15">
      <c r="A15" s="251" t="n">
        <v>39173</v>
      </c>
      <c r="B15" s="3" t="n">
        <v>0</v>
      </c>
      <c r="C15" s="6" t="n">
        <v>16.17456259811171</v>
      </c>
      <c r="D15" s="31" t="n">
        <v>3.475314441910605</v>
      </c>
      <c r="E15" s="7" t="inlineStr"/>
      <c r="F15" s="7" t="inlineStr"/>
      <c r="G15" s="7" t="inlineStr"/>
      <c r="H15" s="9" t="n">
        <v>23.04169252916083</v>
      </c>
      <c r="I15" s="31" t="n">
        <v>5.825635692173918</v>
      </c>
      <c r="J15" s="7" t="n">
        <v>3.329830100974764</v>
      </c>
      <c r="K15" s="7" t="n">
        <v>5.106618504000373</v>
      </c>
      <c r="L15" s="7" t="inlineStr"/>
      <c r="M15" s="9" t="n">
        <v>37.30524140960745</v>
      </c>
      <c r="N15" s="7" t="n">
        <v>26.90800911341506</v>
      </c>
      <c r="O15" s="8" t="n">
        <v>18.40954969429932</v>
      </c>
      <c r="P15" s="7" t="n">
        <v>61.45</v>
      </c>
      <c r="Q15" s="31" t="n">
        <v>2.400000000000006</v>
      </c>
      <c r="R15" s="7" t="n">
        <v>-0.8500000000000014</v>
      </c>
      <c r="S15" s="7" t="n">
        <v>3.750000000000007</v>
      </c>
      <c r="T15" s="7" t="inlineStr"/>
      <c r="U15" s="9" t="n">
        <v>3.190243734299541</v>
      </c>
      <c r="V15" s="31" t="n">
        <v>0.7504965729462376</v>
      </c>
      <c r="W15" s="7" t="inlineStr"/>
      <c r="X15" s="7" t="inlineStr"/>
      <c r="Y15" s="7" t="inlineStr"/>
      <c r="Z15" s="9" t="n">
        <v>7.075623736096344</v>
      </c>
      <c r="AA15" s="31" t="n">
        <v>1.671137039932431</v>
      </c>
      <c r="AB15" s="7" t="n">
        <v>1.505580942886455</v>
      </c>
      <c r="AC15" s="7" t="n">
        <v>1.726700419249239</v>
      </c>
      <c r="AD15" s="7" t="inlineStr"/>
      <c r="AE15" s="9" t="n">
        <v>39.92694310276033</v>
      </c>
      <c r="AF15" s="7" t="n">
        <v>42.31833731067462</v>
      </c>
      <c r="AG15" s="8" t="n">
        <v>44.72312254329332</v>
      </c>
      <c r="AH15" s="60" t="n">
        <v>0.3754367460413305</v>
      </c>
      <c r="AI15" s="31" t="n">
        <v>-0.03250503357551116</v>
      </c>
      <c r="AJ15" s="7" t="n">
        <v>-0.03135429748878862</v>
      </c>
      <c r="AK15" s="7" t="n">
        <v>-0.0482209026809553</v>
      </c>
      <c r="AL15" s="7" t="inlineStr"/>
      <c r="AM15" s="7" t="n">
        <v>-2.500131554261681</v>
      </c>
      <c r="AN15" s="31" t="n">
        <v>-3.292966487515181</v>
      </c>
      <c r="AO15" s="7" t="n">
        <v>-0.4270219456760468</v>
      </c>
      <c r="AP15" s="7" t="n">
        <v>-1.881816045985772</v>
      </c>
      <c r="AQ15" s="7" t="inlineStr"/>
      <c r="AR15" s="7" t="n">
        <v>7.424806124791253</v>
      </c>
      <c r="AS15" s="31" t="n">
        <v>-0.0448905943407496</v>
      </c>
      <c r="AT15" s="7" t="n">
        <v>-0.1215092849558519</v>
      </c>
      <c r="AU15" s="7" t="n">
        <v>-0.2349267976847047</v>
      </c>
      <c r="AV15" s="8" t="inlineStr"/>
      <c r="AW15" s="7" t="n">
        <v>27.50740423739985</v>
      </c>
      <c r="AX15" s="31" t="n">
        <v>6.449294046401896</v>
      </c>
      <c r="AY15" s="7" t="n">
        <v>4.415777197067442</v>
      </c>
      <c r="AZ15" s="7" t="n">
        <v>6.221755621191086</v>
      </c>
      <c r="BA15" s="7" t="inlineStr"/>
      <c r="BB15" s="7" t="n">
        <v>156.5551365318329</v>
      </c>
      <c r="BC15" s="31" t="n">
        <v>24.73503071588345</v>
      </c>
      <c r="BD15" s="7" t="n">
        <v>12.94634916486835</v>
      </c>
      <c r="BE15" s="7" t="n">
        <v>23.03797112437172</v>
      </c>
      <c r="BF15" s="7" t="inlineStr"/>
      <c r="BG15" s="7" t="n">
        <v>5.898323717497475</v>
      </c>
      <c r="BH15" s="31" t="n">
        <v>0.6708975304148694</v>
      </c>
      <c r="BI15" s="7" t="n">
        <v>0.4984126821584436</v>
      </c>
      <c r="BJ15" s="7" t="n">
        <v>0.5659051788264708</v>
      </c>
      <c r="BK15" s="7" t="inlineStr"/>
      <c r="BL15" s="7" t="n">
        <v>5.749735140126428</v>
      </c>
      <c r="BM15" s="31" t="n">
        <v>3.894306500631114</v>
      </c>
      <c r="BN15" s="7" t="n">
        <v>2.455200532556842</v>
      </c>
      <c r="BO15" s="7" t="n">
        <v>4.066787914431298</v>
      </c>
      <c r="BP15" s="7" t="inlineStr"/>
      <c r="BQ15" s="7" t="n">
        <v>21.05050247404774</v>
      </c>
      <c r="BR15" s="31" t="n">
        <v>5.226750481644133</v>
      </c>
      <c r="BS15" s="7" t="n">
        <v>1.74815231755619</v>
      </c>
      <c r="BT15" s="7" t="n">
        <v>4.034424621035892</v>
      </c>
      <c r="BU15" s="8" t="inlineStr"/>
      <c r="BV15" s="9" t="n">
        <v>30.69248892012277</v>
      </c>
      <c r="BW15" s="31" t="n">
        <v>52.09118752484656</v>
      </c>
      <c r="BX15" t="inlineStr"/>
      <c r="BY15" s="7" t="inlineStr"/>
      <c r="BZ15" s="7" t="inlineStr"/>
      <c r="CA15" s="7" t="n">
        <v>-17.89437069077565</v>
      </c>
      <c r="CB15" s="31" t="n">
        <v>24.20907618727685</v>
      </c>
      <c r="CC15" s="7" t="inlineStr"/>
      <c r="CD15" s="7" t="inlineStr"/>
      <c r="CE15" s="8" t="inlineStr"/>
    </row>
    <row r="16">
      <c r="A16" s="251" t="n">
        <v>39264</v>
      </c>
      <c r="B16" s="3" t="n">
        <v>0</v>
      </c>
      <c r="C16" s="6" t="n">
        <v>18.27791079789611</v>
      </c>
      <c r="D16" s="31" t="n">
        <v>4.937132800483695</v>
      </c>
      <c r="E16" s="7" t="inlineStr"/>
      <c r="F16" s="7" t="inlineStr"/>
      <c r="G16" s="7" t="inlineStr"/>
      <c r="H16" s="9" t="n">
        <v>23.76135219619228</v>
      </c>
      <c r="I16" s="31" t="n">
        <v>5.282067522267848</v>
      </c>
      <c r="J16" s="7" t="n">
        <v>3.71426086013205</v>
      </c>
      <c r="K16" s="7" t="n">
        <v>4.99382064578813</v>
      </c>
      <c r="L16" s="7" t="inlineStr"/>
      <c r="M16" s="9" t="n">
        <v>34.41798005104886</v>
      </c>
      <c r="N16" s="7" t="n">
        <v>28.74618915420558</v>
      </c>
      <c r="O16" s="8" t="n">
        <v>19.16655110571302</v>
      </c>
      <c r="P16" s="7" t="n">
        <v>58.65000000000001</v>
      </c>
      <c r="Q16" s="31" t="n">
        <v>3.450000000000003</v>
      </c>
      <c r="R16" s="7" t="n">
        <v>-0.1999999999999957</v>
      </c>
      <c r="S16" s="7" t="n">
        <v>1.162500000000009</v>
      </c>
      <c r="T16" s="7" t="inlineStr"/>
      <c r="U16" s="9" t="n">
        <v>3.358005150361291</v>
      </c>
      <c r="V16" s="31" t="n">
        <v>0.7749460223872737</v>
      </c>
      <c r="W16" s="7" t="inlineStr"/>
      <c r="X16" s="7" t="inlineStr"/>
      <c r="Y16" s="7" t="inlineStr"/>
      <c r="Z16" s="9" t="n">
        <v>7.418949162453845</v>
      </c>
      <c r="AA16" s="31" t="n">
        <v>1.498279647332316</v>
      </c>
      <c r="AB16" s="7" t="n">
        <v>1.526052831918724</v>
      </c>
      <c r="AC16" s="7" t="n">
        <v>1.693630609885126</v>
      </c>
      <c r="AD16" s="7" t="inlineStr"/>
      <c r="AE16" s="9" t="n">
        <v>34.69115601771352</v>
      </c>
      <c r="AF16" s="7" t="n">
        <v>40.12314679491811</v>
      </c>
      <c r="AG16" s="8" t="n">
        <v>42.17146988861926</v>
      </c>
      <c r="AH16" s="60" t="n">
        <v>0.3611306309292838</v>
      </c>
      <c r="AI16" s="31" t="n">
        <v>-0.03295390526037079</v>
      </c>
      <c r="AJ16" s="7" t="n">
        <v>-0.02540912948626006</v>
      </c>
      <c r="AK16" s="7" t="n">
        <v>-0.05468844342080487</v>
      </c>
      <c r="AL16" s="7" t="inlineStr"/>
      <c r="AM16" s="7" t="n">
        <v>-2.453149465711738</v>
      </c>
      <c r="AN16" s="31" t="n">
        <v>-2.556677242391455</v>
      </c>
      <c r="AO16" s="7" t="n">
        <v>-0.539938811316551</v>
      </c>
      <c r="AP16" s="7" t="n">
        <v>-1.728078471016818</v>
      </c>
      <c r="AQ16" s="7" t="inlineStr"/>
      <c r="AR16" s="7" t="n">
        <v>7.310368002391963</v>
      </c>
      <c r="AS16" s="31" t="n">
        <v>-0.1379346479057677</v>
      </c>
      <c r="AT16" s="7" t="n">
        <v>0.004870348381235345</v>
      </c>
      <c r="AU16" s="7" t="n">
        <v>-0.3189875988450321</v>
      </c>
      <c r="AV16" s="8" t="inlineStr"/>
      <c r="AW16" s="7" t="n">
        <v>28.23944167800924</v>
      </c>
      <c r="AX16" s="31" t="n">
        <v>5.705541336835754</v>
      </c>
      <c r="AY16" s="7" t="n">
        <v>4.758081049685886</v>
      </c>
      <c r="AZ16" s="7" t="n">
        <v>5.849848762533611</v>
      </c>
      <c r="BA16" s="7" t="inlineStr"/>
      <c r="BB16" s="7" t="n">
        <v>158.7179454990751</v>
      </c>
      <c r="BC16" s="31" t="n">
        <v>24.04654140046441</v>
      </c>
      <c r="BD16" s="7" t="n">
        <v>14.46441465922892</v>
      </c>
      <c r="BE16" s="7" t="n">
        <v>21.9641928003968</v>
      </c>
      <c r="BF16" s="7" t="inlineStr"/>
      <c r="BG16" s="7" t="n">
        <v>6.196555050068739</v>
      </c>
      <c r="BH16" s="31" t="n">
        <v>0.4949175693764838</v>
      </c>
      <c r="BI16" s="7" t="n">
        <v>0.5231834034613989</v>
      </c>
      <c r="BJ16" s="7" t="n">
        <v>0.7395333408581237</v>
      </c>
      <c r="BK16" s="7" t="inlineStr"/>
      <c r="BL16" s="7" t="n">
        <v>6.312097453636234</v>
      </c>
      <c r="BM16" s="31" t="n">
        <v>4.218380983547704</v>
      </c>
      <c r="BN16" s="7" t="n">
        <v>2.828829427868574</v>
      </c>
      <c r="BO16" s="7" t="n">
        <v>4.015350094801893</v>
      </c>
      <c r="BP16" s="7" t="inlineStr"/>
      <c r="BQ16" s="7" t="n">
        <v>21.86552775275283</v>
      </c>
      <c r="BR16" s="31" t="n">
        <v>5.37747495791038</v>
      </c>
      <c r="BS16" s="7" t="n">
        <v>2.494192941494623</v>
      </c>
      <c r="BT16" s="7" t="n">
        <v>4.412411820351931</v>
      </c>
      <c r="BU16" s="8" t="inlineStr"/>
      <c r="BV16" s="9" t="n">
        <v>-7.843158002885906</v>
      </c>
      <c r="BW16" s="31" t="n">
        <v>-39.64340068478824</v>
      </c>
      <c r="BX16" t="inlineStr"/>
      <c r="BY16" s="7" t="inlineStr"/>
      <c r="BZ16" s="7" t="inlineStr"/>
      <c r="CA16" s="7" t="n">
        <v>-5.085826295738819</v>
      </c>
      <c r="CB16" s="31" t="n">
        <v>35.18389806514106</v>
      </c>
      <c r="CC16" s="7" t="inlineStr"/>
      <c r="CD16" s="7" t="inlineStr"/>
      <c r="CE16" s="8" t="inlineStr"/>
    </row>
    <row r="17">
      <c r="A17" s="251" t="n">
        <v>39356</v>
      </c>
      <c r="B17" s="3" t="n">
        <v>0</v>
      </c>
      <c r="C17" s="6" t="n">
        <v>20.647819766902</v>
      </c>
      <c r="D17" s="31" t="n">
        <v>7.222887881521437</v>
      </c>
      <c r="E17" s="7" t="n">
        <v>3.743889675068293</v>
      </c>
      <c r="F17" s="7" t="n">
        <v>6.355268580876412</v>
      </c>
      <c r="G17" s="7" t="inlineStr"/>
      <c r="H17" s="9" t="n">
        <v>25.04042370201434</v>
      </c>
      <c r="I17" s="31" t="n">
        <v>4.798216760706264</v>
      </c>
      <c r="J17" s="7" t="n">
        <v>4.356146852720784</v>
      </c>
      <c r="K17" s="7" t="n">
        <v>5.344326936577172</v>
      </c>
      <c r="L17" s="7" t="inlineStr"/>
      <c r="M17" s="9" t="n">
        <v>27.02557300500087</v>
      </c>
      <c r="N17" s="7" t="n">
        <v>29.35476584465249</v>
      </c>
      <c r="O17" s="8" t="n">
        <v>20.33641232563377</v>
      </c>
      <c r="P17" s="7" t="n">
        <v>53.40000000000001</v>
      </c>
      <c r="Q17" s="31" t="n">
        <v>-1.699999999999989</v>
      </c>
      <c r="R17" s="7" t="n">
        <v>-0.3249999999999957</v>
      </c>
      <c r="S17" s="7" t="n">
        <v>-4.037499999999994</v>
      </c>
      <c r="T17" s="7" t="inlineStr"/>
      <c r="U17" s="9" t="n">
        <v>3.513848710422527</v>
      </c>
      <c r="V17" s="31" t="n">
        <v>0.7601983947450082</v>
      </c>
      <c r="W17" s="7" t="inlineStr"/>
      <c r="X17" s="7" t="inlineStr"/>
      <c r="Y17" s="7" t="inlineStr"/>
      <c r="Z17" s="9" t="n">
        <v>7.791567565787376</v>
      </c>
      <c r="AA17" s="31" t="n">
        <v>1.324815954145708</v>
      </c>
      <c r="AB17" s="7" t="n">
        <v>1.542021282336571</v>
      </c>
      <c r="AC17" s="7" t="n">
        <v>1.684735805238976</v>
      </c>
      <c r="AD17" s="7" t="inlineStr"/>
      <c r="AE17" s="9" t="n">
        <v>28.81338995978467</v>
      </c>
      <c r="AF17" s="7" t="n">
        <v>36.89776586673742</v>
      </c>
      <c r="AG17" s="8" t="n">
        <v>39.67029487179169</v>
      </c>
      <c r="AH17" s="60" t="n">
        <v>0.5023506068063482</v>
      </c>
      <c r="AI17" s="31" t="n">
        <v>0.05334625573158536</v>
      </c>
      <c r="AJ17" s="7" t="n">
        <v>0.02831099156655995</v>
      </c>
      <c r="AK17" s="7" t="n">
        <v>0.0928838148278246</v>
      </c>
      <c r="AL17" s="7" t="inlineStr"/>
      <c r="AM17" s="7" t="n">
        <v>-0.4344645494842307</v>
      </c>
      <c r="AN17" s="31" t="n">
        <v>0.9976485101748924</v>
      </c>
      <c r="AO17" s="7" t="n">
        <v>-0.5097764330033543</v>
      </c>
      <c r="AP17" s="7" t="n">
        <v>0.4255911480398276</v>
      </c>
      <c r="AQ17" s="7" t="inlineStr"/>
      <c r="AR17" s="7" t="n">
        <v>8.353903992285776</v>
      </c>
      <c r="AS17" s="31" t="n">
        <v>0.1850252565421826</v>
      </c>
      <c r="AT17" s="7" t="n">
        <v>0.5589754160879847</v>
      </c>
      <c r="AU17" s="7" t="n">
        <v>0.7233308039534725</v>
      </c>
      <c r="AV17" s="8" t="inlineStr"/>
      <c r="AW17" s="7" t="n">
        <v>29.26677526055725</v>
      </c>
      <c r="AX17" s="31" t="n">
        <v>5.2391509111951</v>
      </c>
      <c r="AY17" s="7" t="n">
        <v>5.138343332278616</v>
      </c>
      <c r="AZ17" s="7" t="n">
        <v>5.687662082660161</v>
      </c>
      <c r="BA17" s="7" t="inlineStr"/>
      <c r="BB17" s="7" t="n">
        <v>154.1776906933608</v>
      </c>
      <c r="BC17" s="31" t="n">
        <v>17.03689191882395</v>
      </c>
      <c r="BD17" s="7" t="n">
        <v>13.74529367829844</v>
      </c>
      <c r="BE17" s="7" t="n">
        <v>13.80783432987528</v>
      </c>
      <c r="BF17" s="7" t="inlineStr"/>
      <c r="BG17" s="7" t="n">
        <v>6.288272976603153</v>
      </c>
      <c r="BH17" s="31" t="n">
        <v>0.5083052438437079</v>
      </c>
      <c r="BI17" s="7" t="n">
        <v>0.5528342715207319</v>
      </c>
      <c r="BJ17" s="7" t="n">
        <v>0.7004554165271877</v>
      </c>
      <c r="BK17" s="7" t="inlineStr"/>
      <c r="BL17" s="7" t="n">
        <v>6.654930532120158</v>
      </c>
      <c r="BM17" s="31" t="n">
        <v>2.900875478766761</v>
      </c>
      <c r="BN17" s="7" t="n">
        <v>4.086229730857937</v>
      </c>
      <c r="BO17" s="7" t="n">
        <v>3.650975816318674</v>
      </c>
      <c r="BP17" s="7" t="inlineStr"/>
      <c r="BQ17" s="7" t="n">
        <v>24.43414353198169</v>
      </c>
      <c r="BR17" s="31" t="n">
        <v>6.835607330790555</v>
      </c>
      <c r="BS17" s="7" t="n">
        <v>3.975311262892715</v>
      </c>
      <c r="BT17" s="7" t="n">
        <v>6.357479364207141</v>
      </c>
      <c r="BU17" s="8" t="inlineStr"/>
      <c r="BV17" s="9" t="n">
        <v>-0.4892062304545291</v>
      </c>
      <c r="BW17" s="31" t="n">
        <v>-33.03742283605247</v>
      </c>
      <c r="BX17" s="7" t="n">
        <v>22.32249545901637</v>
      </c>
      <c r="BY17" s="7" t="n">
        <v>-2.72746823966437</v>
      </c>
      <c r="BZ17" s="7" t="inlineStr"/>
      <c r="CA17" s="7" t="n">
        <v>4.962255147356808</v>
      </c>
      <c r="CB17" s="31" t="n">
        <v>43.40715445358636</v>
      </c>
      <c r="CC17" s="7" t="inlineStr"/>
      <c r="CD17" s="7" t="inlineStr"/>
      <c r="CE17" s="8" t="inlineStr"/>
    </row>
    <row r="18">
      <c r="A18" s="251" t="n">
        <v>39448</v>
      </c>
      <c r="B18" s="3" t="n">
        <v>0</v>
      </c>
      <c r="C18" s="6" t="n">
        <v>22.65345421003428</v>
      </c>
      <c r="D18" s="31" t="n">
        <v>8.635680032613497</v>
      </c>
      <c r="E18" s="7" t="n">
        <v>4.704145375508854</v>
      </c>
      <c r="F18" s="7" t="n">
        <v>7.424930605241622</v>
      </c>
      <c r="G18" s="7" t="inlineStr"/>
      <c r="H18" s="9" t="n">
        <v>26.29096369029967</v>
      </c>
      <c r="I18" s="31" t="n">
        <v>4.366148005179777</v>
      </c>
      <c r="J18" s="7" t="n">
        <v>4.857864213033775</v>
      </c>
      <c r="K18" s="7" t="n">
        <v>5.505830211682309</v>
      </c>
      <c r="L18" s="7" t="n">
        <v>6.95767339166381</v>
      </c>
      <c r="M18" s="9" t="n">
        <v>24.25222107461298</v>
      </c>
      <c r="N18" s="7" t="n">
        <v>30.37434352619493</v>
      </c>
      <c r="O18" s="8" t="n">
        <v>25.12475618981451</v>
      </c>
      <c r="P18" s="7" t="n">
        <v>51.55</v>
      </c>
      <c r="Q18" s="31" t="n">
        <v>-8.25</v>
      </c>
      <c r="R18" s="7" t="n">
        <v>-2.325000000000003</v>
      </c>
      <c r="S18" s="7" t="n">
        <v>-5.806249999999999</v>
      </c>
      <c r="T18" s="7" t="n">
        <v>-6.300000000000004</v>
      </c>
      <c r="U18" s="9" t="n">
        <v>3.627627435441967</v>
      </c>
      <c r="V18" s="31" t="n">
        <v>0.6511557271749933</v>
      </c>
      <c r="W18" s="7" t="n">
        <v>0.6707817189710912</v>
      </c>
      <c r="X18" s="7" t="n">
        <v>0.7399911972100974</v>
      </c>
      <c r="Y18" s="7" t="inlineStr"/>
      <c r="Z18" s="9" t="n">
        <v>8.010563805442834</v>
      </c>
      <c r="AA18" s="31" t="n">
        <v>1.191396729346767</v>
      </c>
      <c r="AB18" s="7" t="n">
        <v>1.484541259871616</v>
      </c>
      <c r="AC18" s="7" t="n">
        <v>1.518226724310291</v>
      </c>
      <c r="AD18" s="7" t="n">
        <v>2.26920896523742</v>
      </c>
      <c r="AE18" s="9" t="n">
        <v>25.87832519303549</v>
      </c>
      <c r="AF18" s="7" t="n">
        <v>34.25126737394658</v>
      </c>
      <c r="AG18" s="8" t="n">
        <v>37.80648955116086</v>
      </c>
      <c r="AH18" s="60" t="n">
        <v>0.5012596920087948</v>
      </c>
      <c r="AI18" s="31" t="n">
        <v>0.1037473601382698</v>
      </c>
      <c r="AJ18" s="7" t="n">
        <v>0.02818217778811627</v>
      </c>
      <c r="AK18" s="7" t="n">
        <v>0.08471515213863118</v>
      </c>
      <c r="AL18" s="7" t="n">
        <v>0.0818481520866407</v>
      </c>
      <c r="AM18" s="7" t="n">
        <v>-0.7215965146976608</v>
      </c>
      <c r="AN18" s="31" t="n">
        <v>2.06455826478848</v>
      </c>
      <c r="AO18" s="7" t="n">
        <v>-0.7656243835840917</v>
      </c>
      <c r="AP18" s="7" t="n">
        <v>0.2659032910772361</v>
      </c>
      <c r="AQ18" s="7" t="n">
        <v>0.2436618257110066</v>
      </c>
      <c r="AR18" s="7" t="n">
        <v>10.72663863218471</v>
      </c>
      <c r="AS18" s="31" t="n">
        <v>2.607758956424147</v>
      </c>
      <c r="AT18" s="7" t="n">
        <v>1.429469096876601</v>
      </c>
      <c r="AU18" s="7" t="n">
        <v>2.956321589830413</v>
      </c>
      <c r="AV18" s="8" t="n">
        <v>3.010235474345273</v>
      </c>
      <c r="AW18" s="7" t="n">
        <v>29.98240391356429</v>
      </c>
      <c r="AX18" s="31" t="n">
        <v>3.614025215391273</v>
      </c>
      <c r="AY18" s="7" t="n">
        <v>5.037223290751625</v>
      </c>
      <c r="AZ18" s="7" t="n">
        <v>5.118704902597546</v>
      </c>
      <c r="BA18" s="7" t="n">
        <v>7.13639896779463</v>
      </c>
      <c r="BB18" s="7" t="n">
        <v>150.0842514138693</v>
      </c>
      <c r="BC18" s="31" t="n">
        <v>0.4107458837073352</v>
      </c>
      <c r="BD18" s="7" t="n">
        <v>11.19570004645801</v>
      </c>
      <c r="BE18" s="7" t="n">
        <v>6.278071630809166</v>
      </c>
      <c r="BF18" s="7" t="n">
        <v>10.89604135399301</v>
      </c>
      <c r="BG18" s="7" t="n">
        <v>6.519098770874802</v>
      </c>
      <c r="BH18" s="31" t="n">
        <v>0.857492223784508</v>
      </c>
      <c r="BI18" s="7" t="n">
        <v>0.7323397195097927</v>
      </c>
      <c r="BJ18" s="7" t="n">
        <v>0.7930726429186539</v>
      </c>
      <c r="BK18" s="7" t="inlineStr"/>
      <c r="BL18" s="7" t="n">
        <v>5.867601552028444</v>
      </c>
      <c r="BM18" s="31" t="n">
        <v>0.5144698771568414</v>
      </c>
      <c r="BN18" s="7" t="n">
        <v>2.71829966379618</v>
      </c>
      <c r="BO18" s="7" t="n">
        <v>1.842089403512476</v>
      </c>
      <c r="BP18" s="7" t="n">
        <v>2.983053181542728</v>
      </c>
      <c r="BQ18" s="7" t="n">
        <v>27.17788140113992</v>
      </c>
      <c r="BR18" s="31" t="n">
        <v>8.045569015455929</v>
      </c>
      <c r="BS18" s="7" t="n">
        <v>5.503386333030763</v>
      </c>
      <c r="BT18" s="7" t="n">
        <v>8.107389417642192</v>
      </c>
      <c r="BU18" s="8" t="n">
        <v>8.62049602571145</v>
      </c>
      <c r="BV18" s="9" t="n">
        <v>6.635142224163388</v>
      </c>
      <c r="BW18" s="31" t="n">
        <v>-22.65483064837955</v>
      </c>
      <c r="BX18" s="7" t="n">
        <v>19.34195673727685</v>
      </c>
      <c r="BY18" s="7" t="n">
        <v>-1.183743649800545</v>
      </c>
      <c r="BZ18" s="7" t="inlineStr"/>
      <c r="CA18" s="7" t="n">
        <v>8.762358662605005</v>
      </c>
      <c r="CB18" s="31" t="n">
        <v>40.35176973464689</v>
      </c>
      <c r="CC18" s="7" t="inlineStr"/>
      <c r="CD18" s="7" t="inlineStr"/>
      <c r="CE18" s="8" t="inlineStr"/>
    </row>
    <row r="19">
      <c r="A19" s="251" t="n">
        <v>39539</v>
      </c>
      <c r="B19" s="3" t="n">
        <v>0</v>
      </c>
      <c r="C19" s="6" t="n">
        <v>21.47607077990295</v>
      </c>
      <c r="D19" s="31" t="n">
        <v>5.301508181791238</v>
      </c>
      <c r="E19" s="7" t="n">
        <v>4.388411311850922</v>
      </c>
      <c r="F19" s="7" t="n">
        <v>5.071510831233081</v>
      </c>
      <c r="G19" s="7" t="inlineStr"/>
      <c r="H19" s="9" t="n">
        <v>26.64437440612492</v>
      </c>
      <c r="I19" s="31" t="n">
        <v>3.602681876964088</v>
      </c>
      <c r="J19" s="7" t="n">
        <v>4.714158784569003</v>
      </c>
      <c r="K19" s="7" t="n">
        <v>4.644774874249116</v>
      </c>
      <c r="L19" s="7" t="n">
        <v>6.509789046212354</v>
      </c>
      <c r="M19" s="9" t="n">
        <v>17.56724075784712</v>
      </c>
      <c r="N19" s="7" t="n">
        <v>27.43624108372728</v>
      </c>
      <c r="O19" s="8" t="n">
        <v>23.79441966155908</v>
      </c>
      <c r="P19" s="7" t="n">
        <v>51.4</v>
      </c>
      <c r="Q19" s="31" t="n">
        <v>-10.05</v>
      </c>
      <c r="R19" s="7" t="n">
        <v>-3.824999999999999</v>
      </c>
      <c r="S19" s="7" t="n">
        <v>-5.375</v>
      </c>
      <c r="T19" s="7" t="n">
        <v>-5.820833333333333</v>
      </c>
      <c r="U19" s="9" t="n">
        <v>3.671173577148446</v>
      </c>
      <c r="V19" s="31" t="n">
        <v>0.4809298428489051</v>
      </c>
      <c r="W19" s="7" t="n">
        <v>0.6157132078975713</v>
      </c>
      <c r="X19" s="7" t="n">
        <v>0.6158419091738034</v>
      </c>
      <c r="Y19" s="7" t="inlineStr"/>
      <c r="Z19" s="9" t="n">
        <v>8.290185820760577</v>
      </c>
      <c r="AA19" s="31" t="n">
        <v>1.214562084664233</v>
      </c>
      <c r="AB19" s="7" t="n">
        <v>1.442849562298332</v>
      </c>
      <c r="AC19" s="7" t="n">
        <v>1.426713424660131</v>
      </c>
      <c r="AD19" s="7" t="n">
        <v>2.199511587047474</v>
      </c>
      <c r="AE19" s="9" t="n">
        <v>26.1688544424436</v>
      </c>
      <c r="AF19" s="7" t="n">
        <v>33.04789877260197</v>
      </c>
      <c r="AG19" s="8" t="n">
        <v>36.93517635459762</v>
      </c>
      <c r="AH19" s="60" t="n">
        <v>0.4993054416959706</v>
      </c>
      <c r="AI19" s="31" t="n">
        <v>0.12386869565464</v>
      </c>
      <c r="AJ19" s="7" t="n">
        <v>0.04568183103956444</v>
      </c>
      <c r="AK19" s="7" t="n">
        <v>0.07571535737877788</v>
      </c>
      <c r="AL19" s="7" t="n">
        <v>0.07185220289896693</v>
      </c>
      <c r="AM19" s="7" t="n">
        <v>-1.501627108364709</v>
      </c>
      <c r="AN19" s="31" t="n">
        <v>0.9985044458969725</v>
      </c>
      <c r="AO19" s="7" t="n">
        <v>-1.147231020809104</v>
      </c>
      <c r="AP19" s="7" t="n">
        <v>-0.3227212066937886</v>
      </c>
      <c r="AQ19" s="7" t="n">
        <v>-0.5803049291678267</v>
      </c>
      <c r="AR19" s="7" t="n">
        <v>10.0374983761377</v>
      </c>
      <c r="AS19" s="31" t="n">
        <v>2.612692251346445</v>
      </c>
      <c r="AT19" s="7" t="n">
        <v>1.283900828502848</v>
      </c>
      <c r="AU19" s="7" t="n">
        <v>1.909814059564248</v>
      </c>
      <c r="AV19" s="8" t="n">
        <v>2.113033365182584</v>
      </c>
      <c r="AW19" s="7" t="n">
        <v>31.64561961039246</v>
      </c>
      <c r="AX19" s="31" t="n">
        <v>4.138215372992612</v>
      </c>
      <c r="AY19" s="7" t="n">
        <v>5.293754709697254</v>
      </c>
      <c r="AZ19" s="7" t="n">
        <v>5.522614776737807</v>
      </c>
      <c r="BA19" s="7" t="n">
        <v>7.872185108792401</v>
      </c>
      <c r="BB19" s="7" t="n">
        <v>157.9295144589943</v>
      </c>
      <c r="BC19" s="31" t="n">
        <v>1.374377927161362</v>
      </c>
      <c r="BD19" s="7" t="n">
        <v>13.05470432152241</v>
      </c>
      <c r="BE19" s="7" t="n">
        <v>11.32440966431966</v>
      </c>
      <c r="BF19" s="7" t="n">
        <v>17.29015217584197</v>
      </c>
      <c r="BG19" s="7" t="n">
        <v>6.875636510106258</v>
      </c>
      <c r="BH19" s="31" t="n">
        <v>0.9773127926087826</v>
      </c>
      <c r="BI19" s="7" t="n">
        <v>0.824105161511826</v>
      </c>
      <c r="BJ19" s="7" t="n">
        <v>0.966525452272661</v>
      </c>
      <c r="BK19" s="7" t="n">
        <v>1.245503274738574</v>
      </c>
      <c r="BL19" s="7" t="n">
        <v>6.024888316279879</v>
      </c>
      <c r="BM19" s="31" t="n">
        <v>0.2751531761534514</v>
      </c>
      <c r="BN19" s="7" t="n">
        <v>2.084729838392283</v>
      </c>
      <c r="BO19" s="7" t="n">
        <v>1.319801251814866</v>
      </c>
      <c r="BP19" s="7" t="n">
        <v>2.854226442657187</v>
      </c>
      <c r="BQ19" s="7" t="n">
        <v>26.71303317128892</v>
      </c>
      <c r="BR19" s="31" t="n">
        <v>5.662530697241177</v>
      </c>
      <c r="BS19" s="7" t="n">
        <v>5.444640589442655</v>
      </c>
      <c r="BT19" s="7" t="n">
        <v>6.266694604533498</v>
      </c>
      <c r="BU19" s="8" t="n">
        <v>7.491643339287503</v>
      </c>
      <c r="BV19" s="9" t="n">
        <v>8.808157771138372</v>
      </c>
      <c r="BW19" s="31" t="n">
        <v>-21.8843311489844</v>
      </c>
      <c r="BX19" s="7" t="n">
        <v>15.10342818793108</v>
      </c>
      <c r="BY19" s="7" t="n">
        <v>-3.846217287144771</v>
      </c>
      <c r="BZ19" s="7" t="inlineStr"/>
      <c r="CA19" s="7" t="n">
        <v>5.249137474319392</v>
      </c>
      <c r="CB19" s="31" t="n">
        <v>23.14350816509504</v>
      </c>
      <c r="CC19" s="7" t="n">
        <v>23.67629217618594</v>
      </c>
      <c r="CD19" s="7" t="n">
        <v>25.45702057353895</v>
      </c>
      <c r="CE19" s="8" t="inlineStr"/>
    </row>
    <row r="20">
      <c r="A20" s="251" t="n">
        <v>39630</v>
      </c>
      <c r="B20" s="3" t="n">
        <v>0</v>
      </c>
      <c r="C20" s="6" t="n">
        <v>19.94785767820662</v>
      </c>
      <c r="D20" s="31" t="n">
        <v>1.669946880310512</v>
      </c>
      <c r="E20" s="7" t="n">
        <v>3.303539840397104</v>
      </c>
      <c r="F20" s="7" t="n">
        <v>2.446194901574021</v>
      </c>
      <c r="G20" s="7" t="inlineStr"/>
      <c r="H20" s="9" t="n">
        <v>26.44899465599603</v>
      </c>
      <c r="I20" s="31" t="n">
        <v>2.687642459803751</v>
      </c>
      <c r="J20" s="7" t="n">
        <v>3.9848549910358</v>
      </c>
      <c r="K20" s="7" t="n">
        <v>3.270855427977978</v>
      </c>
      <c r="L20" s="7" t="n">
        <v>5.459214122840663</v>
      </c>
      <c r="M20" s="9" t="n">
        <v>16.36029258192298</v>
      </c>
      <c r="N20" s="7" t="n">
        <v>25.38913631648592</v>
      </c>
      <c r="O20" s="8" t="n">
        <v>24.61755696344471</v>
      </c>
      <c r="P20" s="7" t="n">
        <v>49.59999999999999</v>
      </c>
      <c r="Q20" s="31" t="n">
        <v>-9.050000000000011</v>
      </c>
      <c r="R20" s="7" t="n">
        <v>-2.800000000000004</v>
      </c>
      <c r="S20" s="7" t="n">
        <v>-6.21875</v>
      </c>
      <c r="T20" s="7" t="n">
        <v>-6.641666666666673</v>
      </c>
      <c r="U20" s="9" t="n">
        <v>3.665369027310731</v>
      </c>
      <c r="V20" s="31" t="n">
        <v>0.3073638769494398</v>
      </c>
      <c r="W20" s="7" t="n">
        <v>0.5411549496683568</v>
      </c>
      <c r="X20" s="7" t="n">
        <v>0.4561090573616955</v>
      </c>
      <c r="Y20" s="7" t="inlineStr"/>
      <c r="Z20" s="9" t="n">
        <v>8.675388402523364</v>
      </c>
      <c r="AA20" s="31" t="n">
        <v>1.256439240069519</v>
      </c>
      <c r="AB20" s="7" t="n">
        <v>1.377359443700918</v>
      </c>
      <c r="AC20" s="7" t="n">
        <v>1.451203615848334</v>
      </c>
      <c r="AD20" s="7" t="n">
        <v>2.232570504607165</v>
      </c>
      <c r="AE20" s="9" t="n">
        <v>29.54176620600572</v>
      </c>
      <c r="AF20" s="7" t="n">
        <v>32.11646111185962</v>
      </c>
      <c r="AG20" s="8" t="n">
        <v>36.59601993194732</v>
      </c>
      <c r="AH20" s="60" t="n">
        <v>0.4647492515402932</v>
      </c>
      <c r="AI20" s="31" t="n">
        <v>0.1036186206110094</v>
      </c>
      <c r="AJ20" s="7" t="n">
        <v>0.03533235767531931</v>
      </c>
      <c r="AK20" s="7" t="n">
        <v>0.02973870946320933</v>
      </c>
      <c r="AL20" s="7" t="n">
        <v>0.03219933768686767</v>
      </c>
      <c r="AM20" s="7" t="n">
        <v>-2.147535334430475</v>
      </c>
      <c r="AN20" s="31" t="n">
        <v>0.3056141312812635</v>
      </c>
      <c r="AO20" s="7" t="n">
        <v>-1.125531555555096</v>
      </c>
      <c r="AP20" s="7" t="n">
        <v>-0.681821677557279</v>
      </c>
      <c r="AQ20" s="7" t="n">
        <v>-1.238251534779</v>
      </c>
      <c r="AR20" s="7" t="n">
        <v>9.08305745018221</v>
      </c>
      <c r="AS20" s="31" t="n">
        <v>1.772689447790247</v>
      </c>
      <c r="AT20" s="7" t="n">
        <v>0.8173773999422398</v>
      </c>
      <c r="AU20" s="7" t="n">
        <v>0.6343979264830484</v>
      </c>
      <c r="AV20" s="8" t="n">
        <v>0.9611196324408677</v>
      </c>
      <c r="AW20" s="7" t="n">
        <v>32.70281026859076</v>
      </c>
      <c r="AX20" s="31" t="n">
        <v>4.463368590581524</v>
      </c>
      <c r="AY20" s="7" t="n">
        <v>5.084454963708639</v>
      </c>
      <c r="AZ20" s="7" t="n">
        <v>5.256366757511792</v>
      </c>
      <c r="BA20" s="7" t="n">
        <v>7.848561619730074</v>
      </c>
      <c r="BB20" s="7" t="n">
        <v>167.5523583922124</v>
      </c>
      <c r="BC20" s="31" t="n">
        <v>8.834412893137312</v>
      </c>
      <c r="BD20" s="7" t="n">
        <v>16.44047714680086</v>
      </c>
      <c r="BE20" s="7" t="n">
        <v>17.68357751715718</v>
      </c>
      <c r="BF20" s="7" t="n">
        <v>24.64073975431859</v>
      </c>
      <c r="BG20" s="7" t="n">
        <v>7.12815051319806</v>
      </c>
      <c r="BH20" s="31" t="n">
        <v>0.9315954631293204</v>
      </c>
      <c r="BI20" s="7" t="n">
        <v>0.7132565162529021</v>
      </c>
      <c r="BJ20" s="7" t="n">
        <v>1.013013164986507</v>
      </c>
      <c r="BK20" s="7" t="n">
        <v>1.333505764753236</v>
      </c>
      <c r="BL20" s="7" t="n">
        <v>7.059911469806815</v>
      </c>
      <c r="BM20" s="31" t="n">
        <v>0.7478140161705813</v>
      </c>
      <c r="BN20" s="7" t="n">
        <v>2.483097499859142</v>
      </c>
      <c r="BO20" s="7" t="n">
        <v>1.833641945743731</v>
      </c>
      <c r="BP20" s="7" t="n">
        <v>3.457120076078528</v>
      </c>
      <c r="BQ20" s="7" t="n">
        <v>24.9305894799325</v>
      </c>
      <c r="BR20" s="31" t="n">
        <v>3.065061727179668</v>
      </c>
      <c r="BS20" s="7" t="n">
        <v>4.221268342545024</v>
      </c>
      <c r="BT20" s="7" t="n">
        <v>3.123090765816411</v>
      </c>
      <c r="BU20" s="8" t="n">
        <v>4.945963370234949</v>
      </c>
      <c r="BV20" s="9" t="n">
        <v>16.88358006256398</v>
      </c>
      <c r="BW20" s="31" t="n">
        <v>24.72673806544988</v>
      </c>
      <c r="BX20" s="7" t="n">
        <v>-7.45833130966918</v>
      </c>
      <c r="BY20" s="7" t="n">
        <v>0.4533479572980603</v>
      </c>
      <c r="BZ20" s="7" t="inlineStr"/>
      <c r="CA20" s="7" t="n">
        <v>0.2259037653927257</v>
      </c>
      <c r="CB20" s="31" t="n">
        <v>5.311730061131545</v>
      </c>
      <c r="CC20" s="7" t="n">
        <v>20.2478140631363</v>
      </c>
      <c r="CD20" s="7" t="n">
        <v>14.5147138205658</v>
      </c>
      <c r="CE20" s="8" t="inlineStr"/>
    </row>
    <row r="21" customFormat="1" s="179">
      <c r="A21" s="251" t="n">
        <v>39722</v>
      </c>
      <c r="B21" s="77" t="n">
        <v>0</v>
      </c>
      <c r="C21" s="81" t="n">
        <v>18.46825804578401</v>
      </c>
      <c r="D21" s="82" t="n">
        <v>-2.179561721117985</v>
      </c>
      <c r="E21" s="83" t="n">
        <v>2.521663080201726</v>
      </c>
      <c r="F21" s="83" t="n">
        <v>0.1407103090521353</v>
      </c>
      <c r="G21" s="83" t="n">
        <v>1.879457052179802</v>
      </c>
      <c r="H21" s="84" t="n">
        <v>27.44976049689193</v>
      </c>
      <c r="I21" s="82" t="n">
        <v>2.409336794877593</v>
      </c>
      <c r="J21" s="83" t="n">
        <v>3.603776777791929</v>
      </c>
      <c r="K21" s="83" t="n">
        <v>3.275407521114925</v>
      </c>
      <c r="L21" s="83" t="n">
        <v>5.61696628206424</v>
      </c>
      <c r="M21" s="84" t="n">
        <v>22.71083332210287</v>
      </c>
      <c r="N21" s="83" t="n">
        <v>24.86820316355187</v>
      </c>
      <c r="O21" s="85" t="n">
        <v>27.14012167046928</v>
      </c>
      <c r="P21" s="83" t="n">
        <v>55.2</v>
      </c>
      <c r="Q21" s="82" t="n">
        <v>1.799999999999997</v>
      </c>
      <c r="R21" s="83" t="n">
        <v>0.05000000000000426</v>
      </c>
      <c r="S21" s="83" t="n">
        <v>0.08125000000000426</v>
      </c>
      <c r="T21" s="83" t="n">
        <v>-0.25416666666667</v>
      </c>
      <c r="U21" s="9" t="n">
        <v>3.877954540072674</v>
      </c>
      <c r="V21" s="82" t="n">
        <v>0.3641058296501463</v>
      </c>
      <c r="W21" s="83" t="n">
        <v>0.5621521121975772</v>
      </c>
      <c r="X21" s="83" t="n">
        <v>0.5334058327065492</v>
      </c>
      <c r="Y21" s="83" t="inlineStr"/>
      <c r="Z21" s="9" t="n">
        <v>9.242873917103523</v>
      </c>
      <c r="AA21" s="82" t="n">
        <v>1.451306351316147</v>
      </c>
      <c r="AB21" s="83" t="n">
        <v>1.388061152730928</v>
      </c>
      <c r="AC21" s="83" t="n">
        <v>1.674349269503264</v>
      </c>
      <c r="AD21" s="83" t="n">
        <v>2.441010610528411</v>
      </c>
      <c r="AE21" s="9" t="n">
        <v>32.50334139958079</v>
      </c>
      <c r="AF21" s="7" t="n">
        <v>30.65836567968273</v>
      </c>
      <c r="AG21" s="8" t="n">
        <v>35.43295771101854</v>
      </c>
      <c r="AH21" s="60" t="n">
        <v>0.4728793681201214</v>
      </c>
      <c r="AI21" s="82" t="n">
        <v>-0.02947123868622686</v>
      </c>
      <c r="AJ21" s="83" t="n">
        <v>0.01193750852267925</v>
      </c>
      <c r="AK21" s="83" t="n">
        <v>0.02903573662420772</v>
      </c>
      <c r="AL21" s="83" t="n">
        <v>0.03592942413015499</v>
      </c>
      <c r="AM21" s="7" t="n">
        <v>-1.426929525667457</v>
      </c>
      <c r="AN21" s="82" t="n">
        <v>-0.9924649761832258</v>
      </c>
      <c r="AO21" s="83" t="n">
        <v>0.0025917669958333</v>
      </c>
      <c r="AP21" s="83" t="n">
        <v>0.3201670200945133</v>
      </c>
      <c r="AQ21" s="83" t="n">
        <v>-0.4531237684033279</v>
      </c>
      <c r="AR21" s="83" t="n">
        <v>9.904330167569636</v>
      </c>
      <c r="AS21" s="82" t="n">
        <v>1.55042617528386</v>
      </c>
      <c r="AT21" s="83" t="n">
        <v>0.8677257159130214</v>
      </c>
      <c r="AU21" s="83" t="n">
        <v>1.251326293884915</v>
      </c>
      <c r="AV21" s="85" t="n">
        <v>1.633856504448902</v>
      </c>
      <c r="AW21" s="7" t="n">
        <v>33.95930885545557</v>
      </c>
      <c r="AX21" s="82" t="n">
        <v>4.692533594898322</v>
      </c>
      <c r="AY21" s="83" t="n">
        <v>4.965842253046711</v>
      </c>
      <c r="AZ21" s="83" t="n">
        <v>5.241751603449448</v>
      </c>
      <c r="BA21" s="83" t="n">
        <v>7.940099315765448</v>
      </c>
      <c r="BB21" s="7" t="n">
        <v>174.0306975194721</v>
      </c>
      <c r="BC21" s="82" t="n">
        <v>19.85300682611137</v>
      </c>
      <c r="BD21" s="83" t="n">
        <v>18.44494937246766</v>
      </c>
      <c r="BE21" s="83" t="n">
        <v>20.05179735771668</v>
      </c>
      <c r="BF21" s="83" t="n">
        <v>27.97214203061205</v>
      </c>
      <c r="BG21" s="7" t="n">
        <v>6.372034204837822</v>
      </c>
      <c r="BH21" s="82" t="n">
        <v>0.08376122823466936</v>
      </c>
      <c r="BI21" s="83" t="n">
        <v>0.2960332360391886</v>
      </c>
      <c r="BJ21" s="83" t="n">
        <v>0.07858272756304441</v>
      </c>
      <c r="BK21" s="83" t="n">
        <v>0.4125592672219893</v>
      </c>
      <c r="BL21" s="83" t="n">
        <v>8.15589438177542</v>
      </c>
      <c r="BM21" s="82" t="n">
        <v>1.500963849655262</v>
      </c>
      <c r="BN21" s="83" t="n">
        <v>2.200919664211012</v>
      </c>
      <c r="BO21" s="83" t="n">
        <v>2.308850482747551</v>
      </c>
      <c r="BP21" s="83" t="n">
        <v>4.019313582054822</v>
      </c>
      <c r="BQ21" s="83" t="n">
        <v>24.43618526741496</v>
      </c>
      <c r="BR21" s="82" t="n">
        <v>0.00204173543327002</v>
      </c>
      <c r="BS21" s="83" t="n">
        <v>3.418824533111913</v>
      </c>
      <c r="BT21" s="83" t="n">
        <v>1.573369467662619</v>
      </c>
      <c r="BU21" s="85" t="n">
        <v>3.780438523536674</v>
      </c>
      <c r="BV21" s="84" t="n">
        <v>26.90372524793886</v>
      </c>
      <c r="BW21" s="82" t="n">
        <v>27.39293147839339</v>
      </c>
      <c r="BX21" s="83" t="n">
        <v>-2.822245678829542</v>
      </c>
      <c r="BY21" s="83" t="n">
        <v>12.33807597009024</v>
      </c>
      <c r="BZ21" s="83" t="n">
        <v>22.7584110895147</v>
      </c>
      <c r="CA21" s="7" t="n">
        <v>-4.006756982191019</v>
      </c>
      <c r="CB21" s="82" t="n">
        <v>-8.969012129547828</v>
      </c>
      <c r="CC21" s="83" t="n">
        <v>17.21907116201927</v>
      </c>
      <c r="CD21" s="83" t="n">
        <v>5.220099557197976</v>
      </c>
      <c r="CE21" s="85" t="inlineStr"/>
    </row>
    <row r="22">
      <c r="A22" s="251" t="n">
        <v>39814</v>
      </c>
      <c r="B22" s="3" t="n">
        <v>1</v>
      </c>
      <c r="C22" s="6" t="n">
        <v>18.69833401737667</v>
      </c>
      <c r="D22" s="31" t="n">
        <v>-3.95512019265761</v>
      </c>
      <c r="E22" s="7" t="n">
        <v>2.340279919977943</v>
      </c>
      <c r="F22" s="7" t="n">
        <v>-0.2596294894056363</v>
      </c>
      <c r="G22" s="7" t="n">
        <v>1.667181554687577</v>
      </c>
      <c r="H22" s="9" t="n">
        <v>30.5706733509773</v>
      </c>
      <c r="I22" s="31" t="n">
        <v>4.279709660677632</v>
      </c>
      <c r="J22" s="7" t="n">
        <v>4.322928832928705</v>
      </c>
      <c r="K22" s="7" t="n">
        <v>5.495376180752316</v>
      </c>
      <c r="L22" s="7" t="n">
        <v>7.811076594456349</v>
      </c>
      <c r="M22" s="9" t="n">
        <v>31.01204273493022</v>
      </c>
      <c r="N22" s="7" t="n">
        <v>27.6321319047716</v>
      </c>
      <c r="O22" s="8" t="n">
        <v>30.5869099291067</v>
      </c>
      <c r="P22" s="7" t="n">
        <v>76.44999999999999</v>
      </c>
      <c r="Q22" s="31" t="n">
        <v>24.89999999999999</v>
      </c>
      <c r="R22" s="7" t="n">
        <v>8.324999999999996</v>
      </c>
      <c r="S22" s="7" t="n">
        <v>21.31874999999999</v>
      </c>
      <c r="T22" s="7" t="n">
        <v>20.89999999999998</v>
      </c>
      <c r="U22" s="9" t="n">
        <v>4.324534123941073</v>
      </c>
      <c r="V22" s="31" t="n">
        <v>0.6969066884991064</v>
      </c>
      <c r="W22" s="7" t="n">
        <v>0.6740312078370498</v>
      </c>
      <c r="X22" s="7" t="n">
        <v>0.8394473885255547</v>
      </c>
      <c r="Y22" s="7" t="n">
        <v>1.162599583455342</v>
      </c>
      <c r="Z22" s="9" t="n">
        <v>9.887994465662086</v>
      </c>
      <c r="AA22" s="31" t="n">
        <v>1.877430660219252</v>
      </c>
      <c r="AB22" s="7" t="n">
        <v>1.53441369478301</v>
      </c>
      <c r="AC22" s="7" t="n">
        <v>1.972454529879094</v>
      </c>
      <c r="AD22" s="7" t="n">
        <v>2.708185416087866</v>
      </c>
      <c r="AE22" s="9" t="n">
        <v>31.44308528594252</v>
      </c>
      <c r="AF22" s="7" t="n">
        <v>28.660705239489</v>
      </c>
      <c r="AG22" s="8" t="n">
        <v>33.31520667794522</v>
      </c>
      <c r="AH22" s="60" t="n">
        <v>0.5290929802474202</v>
      </c>
      <c r="AI22" s="31" t="n">
        <v>0.02783328823862541</v>
      </c>
      <c r="AJ22" s="7" t="n">
        <v>0.0657903241884476</v>
      </c>
      <c r="AK22" s="7" t="n">
        <v>0.08226497162083679</v>
      </c>
      <c r="AL22" s="7" t="n">
        <v>0.08988047422021284</v>
      </c>
      <c r="AM22" s="7" t="n">
        <v>-0.4406908227504692</v>
      </c>
      <c r="AN22" s="31" t="n">
        <v>0.2809056919471917</v>
      </c>
      <c r="AO22" s="7" t="n">
        <v>1.172731978367836</v>
      </c>
      <c r="AP22" s="7" t="n">
        <v>1.305757781262542</v>
      </c>
      <c r="AQ22" s="7" t="n">
        <v>0.7007830880294872</v>
      </c>
      <c r="AR22" s="7" t="n">
        <v>14.7169390905158</v>
      </c>
      <c r="AS22" s="31" t="n">
        <v>3.990300458331086</v>
      </c>
      <c r="AT22" s="7" t="n">
        <v>3.299029707377617</v>
      </c>
      <c r="AU22" s="7" t="n">
        <v>5.847003787852822</v>
      </c>
      <c r="AV22" s="8" t="n">
        <v>6.224100676773412</v>
      </c>
      <c r="AW22" s="7" t="n">
        <v>38.43943326289813</v>
      </c>
      <c r="AX22" s="31" t="n">
        <v>8.45702934933384</v>
      </c>
      <c r="AY22" s="7" t="n">
        <v>6.035527282362557</v>
      </c>
      <c r="AZ22" s="7" t="n">
        <v>8.480415447630328</v>
      </c>
      <c r="BA22" s="7" t="n">
        <v>11.17278870158671</v>
      </c>
      <c r="BB22" s="7" t="n">
        <v>189.2398919166249</v>
      </c>
      <c r="BC22" s="31" t="n">
        <v>39.15564050275563</v>
      </c>
      <c r="BD22" s="7" t="n">
        <v>19.78319319323148</v>
      </c>
      <c r="BE22" s="7" t="n">
        <v>30.64975441175258</v>
      </c>
      <c r="BF22" s="7" t="n">
        <v>39.23603691253919</v>
      </c>
      <c r="BG22" s="7" t="n">
        <v>5.794727730442344</v>
      </c>
      <c r="BH22" s="31" t="n">
        <v>-0.7243710404324579</v>
      </c>
      <c r="BI22" s="7" t="n">
        <v>0.06656059167602502</v>
      </c>
      <c r="BJ22" s="7" t="n">
        <v>-0.5727320558422315</v>
      </c>
      <c r="BK22" s="7" t="n">
        <v>-0.2638663547798323</v>
      </c>
      <c r="BL22" s="7" t="n">
        <v>11.02064452588648</v>
      </c>
      <c r="BM22" s="31" t="n">
        <v>5.153042973858034</v>
      </c>
      <c r="BN22" s="7" t="n">
        <v>2.833756425507438</v>
      </c>
      <c r="BO22" s="7" t="n">
        <v>4.623370710805856</v>
      </c>
      <c r="BP22" s="7" t="n">
        <v>6.077945116884953</v>
      </c>
      <c r="BQ22" s="7" t="n">
        <v>26.76426449631201</v>
      </c>
      <c r="BR22" s="31" t="n">
        <v>-0.4136169048279186</v>
      </c>
      <c r="BS22" s="7" t="n">
        <v>3.815976055314005</v>
      </c>
      <c r="BT22" s="7" t="n">
        <v>3.046742563281686</v>
      </c>
      <c r="BU22" s="8" t="n">
        <v>5.445795730665495</v>
      </c>
      <c r="BV22" s="9" t="n">
        <v>43.11419616769968</v>
      </c>
      <c r="BW22" s="31" t="n">
        <v>36.47905394353629</v>
      </c>
      <c r="BX22" s="7" t="n">
        <v>6.912111647578371</v>
      </c>
      <c r="BY22" s="7" t="n">
        <v>29.25410830955845</v>
      </c>
      <c r="BZ22" s="7" t="n">
        <v>32.96572180957335</v>
      </c>
      <c r="CA22" s="7" t="n">
        <v>-3.945013394334605</v>
      </c>
      <c r="CB22" s="31" t="n">
        <v>-12.70737205693961</v>
      </c>
      <c r="CC22" s="7" t="n">
        <v>13.82219883885364</v>
      </c>
      <c r="CD22" s="7" t="n">
        <v>0.9770753545495747</v>
      </c>
      <c r="CE22" s="8" t="inlineStr"/>
    </row>
    <row r="23">
      <c r="A23" s="251" t="n">
        <v>39904</v>
      </c>
      <c r="B23" s="3" t="n">
        <v>0</v>
      </c>
      <c r="C23" s="6" t="n">
        <v>19.18267607309713</v>
      </c>
      <c r="D23" s="31" t="n">
        <v>-2.293394706805824</v>
      </c>
      <c r="E23" s="7" t="n">
        <v>1.504056737492707</v>
      </c>
      <c r="F23" s="7" t="n">
        <v>-0.3603574136796688</v>
      </c>
      <c r="G23" s="7" t="n">
        <v>1.697092730544693</v>
      </c>
      <c r="H23" s="9" t="n">
        <v>33.20608844205743</v>
      </c>
      <c r="I23" s="31" t="n">
        <v>6.561714035932507</v>
      </c>
      <c r="J23" s="7" t="n">
        <v>5.082197956448297</v>
      </c>
      <c r="K23" s="7" t="n">
        <v>7.050059063600266</v>
      </c>
      <c r="L23" s="7" t="n">
        <v>9.280205178307707</v>
      </c>
      <c r="M23" s="9" t="n">
        <v>33.57786239423649</v>
      </c>
      <c r="N23" s="7" t="n">
        <v>25.5725515760418</v>
      </c>
      <c r="O23" s="8" t="n">
        <v>29.48344818723035</v>
      </c>
      <c r="P23" s="7" t="n">
        <v>93.19999999999999</v>
      </c>
      <c r="Q23" s="31" t="n">
        <v>41.79999999999999</v>
      </c>
      <c r="R23" s="7" t="n">
        <v>15.87499999999999</v>
      </c>
      <c r="S23" s="7" t="n">
        <v>35.98749999999999</v>
      </c>
      <c r="T23" s="7" t="n">
        <v>35.96249999999998</v>
      </c>
      <c r="U23" s="9" t="n">
        <v>4.76648568915167</v>
      </c>
      <c r="V23" s="31" t="n">
        <v>1.095312112003224</v>
      </c>
      <c r="W23" s="7" t="n">
        <v>0.7881209774260647</v>
      </c>
      <c r="X23" s="7" t="n">
        <v>1.112891151776889</v>
      </c>
      <c r="Y23" s="7" t="n">
        <v>1.434678638129165</v>
      </c>
      <c r="Z23" s="9" t="n">
        <v>10.36406012783621</v>
      </c>
      <c r="AA23" s="31" t="n">
        <v>2.073874307075631</v>
      </c>
      <c r="AB23" s="7" t="n">
        <v>1.644218195869932</v>
      </c>
      <c r="AC23" s="7" t="n">
        <v>2.064916768357465</v>
      </c>
      <c r="AD23" s="7" t="n">
        <v>2.780374979931781</v>
      </c>
      <c r="AE23" s="9" t="n">
        <v>28.08413263020725</v>
      </c>
      <c r="AF23" s="7" t="n">
        <v>27.12649353632543</v>
      </c>
      <c r="AG23" s="8" t="n">
        <v>31.39331005847039</v>
      </c>
      <c r="AH23" s="60" t="n">
        <v>0.5590316078274734</v>
      </c>
      <c r="AI23" s="31" t="n">
        <v>0.05972616613150283</v>
      </c>
      <c r="AJ23" s="7" t="n">
        <v>0.09179743089307144</v>
      </c>
      <c r="AK23" s="7" t="n">
        <v>0.09575601815377804</v>
      </c>
      <c r="AL23" s="7" t="n">
        <v>0.1128026314823612</v>
      </c>
      <c r="AM23" s="7" t="n">
        <v>1.091917860116265</v>
      </c>
      <c r="AN23" s="31" t="n">
        <v>2.593544968480974</v>
      </c>
      <c r="AO23" s="7" t="n">
        <v>1.796024707188973</v>
      </c>
      <c r="AP23" s="7" t="n">
        <v>2.545183469537318</v>
      </c>
      <c r="AQ23" s="7" t="n">
        <v>2.337587027164637</v>
      </c>
      <c r="AR23" s="7" t="n">
        <v>15.63141730380456</v>
      </c>
      <c r="AS23" s="31" t="n">
        <v>5.593918927666863</v>
      </c>
      <c r="AT23" s="7" t="n">
        <v>4.103305589506654</v>
      </c>
      <c r="AU23" s="7" t="n">
        <v>5.93672457429718</v>
      </c>
      <c r="AV23" s="8" t="n">
        <v>6.567809002388481</v>
      </c>
      <c r="AW23" s="7" t="n">
        <v>40.21260523781186</v>
      </c>
      <c r="AX23" s="31" t="n">
        <v>8.566985627419395</v>
      </c>
      <c r="AY23" s="7" t="n">
        <v>6.352600500206004</v>
      </c>
      <c r="AZ23" s="7" t="n">
        <v>8.744705601953413</v>
      </c>
      <c r="BA23" s="7" t="n">
        <v>11.40167101559734</v>
      </c>
      <c r="BB23" s="7" t="n">
        <v>193.1459955342584</v>
      </c>
      <c r="BC23" s="31" t="n">
        <v>35.21648107526414</v>
      </c>
      <c r="BD23" s="7" t="n">
        <v>18.29542950121275</v>
      </c>
      <c r="BE23" s="7" t="n">
        <v>29.6100597310782</v>
      </c>
      <c r="BF23" s="7" t="n">
        <v>38.01322048053336</v>
      </c>
      <c r="BG23" s="7" t="n">
        <v>5.960411167997512</v>
      </c>
      <c r="BH23" s="31" t="n">
        <v>-0.9152253421087462</v>
      </c>
      <c r="BI23" s="7" t="n">
        <v>0.03104372525001819</v>
      </c>
      <c r="BJ23" s="7" t="n">
        <v>-0.4236887662060704</v>
      </c>
      <c r="BK23" s="7" t="n">
        <v>-0.1598752837735926</v>
      </c>
      <c r="BL23" s="7" t="n">
        <v>12.84588613082887</v>
      </c>
      <c r="BM23" s="31" t="n">
        <v>6.820997814548987</v>
      </c>
      <c r="BN23" s="7" t="n">
        <v>3.548075495351219</v>
      </c>
      <c r="BO23" s="7" t="n">
        <v>5.740173209371384</v>
      </c>
      <c r="BP23" s="7" t="n">
        <v>7.020716530039809</v>
      </c>
      <c r="BQ23" s="7" t="n">
        <v>30.44596292007369</v>
      </c>
      <c r="BR23" s="31" t="n">
        <v>3.73292974878477</v>
      </c>
      <c r="BS23" s="7" t="n">
        <v>4.697730223012973</v>
      </c>
      <c r="BT23" s="7" t="n">
        <v>5.774446973214868</v>
      </c>
      <c r="BU23" s="8" t="n">
        <v>8.244731174324379</v>
      </c>
      <c r="BV23" s="9" t="n">
        <v>48.36931720648731</v>
      </c>
      <c r="BW23" s="31" t="n">
        <v>39.56115943534894</v>
      </c>
      <c r="BX23" s="7" t="n">
        <v>8.838414143182268</v>
      </c>
      <c r="BY23" s="7" t="n">
        <v>32.78120143645148</v>
      </c>
      <c r="BZ23" s="7" t="n">
        <v>31.95726223018681</v>
      </c>
      <c r="CA23" s="7" t="n">
        <v>-6.682001128874841</v>
      </c>
      <c r="CB23" s="31" t="n">
        <v>-11.93113860319423</v>
      </c>
      <c r="CC23" s="7" t="n">
        <v>5.606184780950404</v>
      </c>
      <c r="CD23" s="7" t="n">
        <v>-5.21546208970407</v>
      </c>
      <c r="CE23" s="8" t="n">
        <v>6.99631503200599</v>
      </c>
    </row>
    <row r="24">
      <c r="A24" s="251" t="n">
        <v>39995</v>
      </c>
      <c r="B24" s="3" t="n">
        <v>0</v>
      </c>
      <c r="C24" s="6" t="n">
        <v>20.14782854206239</v>
      </c>
      <c r="D24" s="31" t="n">
        <v>0.1999708638557642</v>
      </c>
      <c r="E24" s="7" t="n">
        <v>0.9349588720831381</v>
      </c>
      <c r="F24" s="7" t="n">
        <v>0.2287808709124164</v>
      </c>
      <c r="G24" s="7" t="n">
        <v>2.121959539768618</v>
      </c>
      <c r="H24" s="9" t="n">
        <v>35.31266819037054</v>
      </c>
      <c r="I24" s="31" t="n">
        <v>8.863673534374513</v>
      </c>
      <c r="J24" s="7" t="n">
        <v>5.775657997089132</v>
      </c>
      <c r="K24" s="7" t="n">
        <v>7.886089322801304</v>
      </c>
      <c r="L24" s="7" t="n">
        <v>10.05428229286495</v>
      </c>
      <c r="M24" s="9" t="n">
        <v>31.79842491205807</v>
      </c>
      <c r="N24" s="7" t="n">
        <v>24.07935874699052</v>
      </c>
      <c r="O24" s="8" t="n">
        <v>27.5255658483433</v>
      </c>
      <c r="P24" s="7" t="n">
        <v>86.19999999999999</v>
      </c>
      <c r="Q24" s="31" t="n">
        <v>36.59999999999999</v>
      </c>
      <c r="R24" s="7" t="n">
        <v>13.77499999999999</v>
      </c>
      <c r="S24" s="7" t="n">
        <v>25.01874999999999</v>
      </c>
      <c r="T24" s="7" t="n">
        <v>26.11666666666665</v>
      </c>
      <c r="U24" s="9" t="n">
        <v>5.16908184168912</v>
      </c>
      <c r="V24" s="31" t="n">
        <v>1.50371281437839</v>
      </c>
      <c r="W24" s="7" t="n">
        <v>0.9055383456639148</v>
      </c>
      <c r="X24" s="7" t="n">
        <v>1.318457059957823</v>
      </c>
      <c r="Y24" s="7" t="n">
        <v>1.643379913350085</v>
      </c>
      <c r="Z24" s="9" t="n">
        <v>10.60411613937014</v>
      </c>
      <c r="AA24" s="31" t="n">
        <v>1.928727736846779</v>
      </c>
      <c r="AB24" s="7" t="n">
        <v>1.592583488458149</v>
      </c>
      <c r="AC24" s="7" t="n">
        <v>1.893918230923918</v>
      </c>
      <c r="AD24" s="7" t="n">
        <v>2.607133205493025</v>
      </c>
      <c r="AE24" s="9" t="n">
        <v>20.07457789803482</v>
      </c>
      <c r="AF24" s="7" t="n">
        <v>24.80817205202027</v>
      </c>
      <c r="AG24" s="8" t="n">
        <v>28.10250004058469</v>
      </c>
      <c r="AH24" s="60" t="n">
        <v>0.6870751466603311</v>
      </c>
      <c r="AI24" s="31" t="n">
        <v>0.2223258951200379</v>
      </c>
      <c r="AJ24" s="7" t="n">
        <v>0.1629722578655237</v>
      </c>
      <c r="AK24" s="7" t="n">
        <v>0.2008501992633679</v>
      </c>
      <c r="AL24" s="7" t="n">
        <v>0.2282553512976662</v>
      </c>
      <c r="AM24" s="7" t="n">
        <v>1.438737178519515</v>
      </c>
      <c r="AN24" s="31" t="n">
        <v>3.58627251294999</v>
      </c>
      <c r="AO24" s="7" t="n">
        <v>1.945943322115627</v>
      </c>
      <c r="AP24" s="7" t="n">
        <v>2.442996611143324</v>
      </c>
      <c r="AQ24" s="7" t="n">
        <v>2.659482768329323</v>
      </c>
      <c r="AR24" s="7" t="n">
        <v>17.93828060565216</v>
      </c>
      <c r="AS24" s="31" t="n">
        <v>8.855223155469954</v>
      </c>
      <c r="AT24" s="7" t="n">
        <v>5.313956301630101</v>
      </c>
      <c r="AU24" s="7" t="n">
        <v>7.217761478768118</v>
      </c>
      <c r="AV24" s="8" t="n">
        <v>8.194528922180039</v>
      </c>
      <c r="AW24" s="7" t="n">
        <v>42.34855103725214</v>
      </c>
      <c r="AX24" s="31" t="n">
        <v>9.645740768661376</v>
      </c>
      <c r="AY24" s="7" t="n">
        <v>7.05455467962145</v>
      </c>
      <c r="AZ24" s="7" t="n">
        <v>9.292501276342186</v>
      </c>
      <c r="BA24" s="7" t="n">
        <v>11.9414088944698</v>
      </c>
      <c r="BB24" s="7" t="n">
        <v>203.0263582490248</v>
      </c>
      <c r="BC24" s="31" t="n">
        <v>35.47399985681241</v>
      </c>
      <c r="BD24" s="7" t="n">
        <v>22.15420637497486</v>
      </c>
      <c r="BE24" s="7" t="n">
        <v>34.9165650705414</v>
      </c>
      <c r="BF24" s="7" t="n">
        <v>42.78309238544068</v>
      </c>
      <c r="BG24" s="7" t="n">
        <v>6.177841553640328</v>
      </c>
      <c r="BH24" s="31" t="n">
        <v>-0.9503089595577316</v>
      </c>
      <c r="BI24" s="7" t="n">
        <v>-0.009356748214205624</v>
      </c>
      <c r="BJ24" s="7" t="n">
        <v>-0.2140193118757585</v>
      </c>
      <c r="BK24" s="7" t="n">
        <v>-0.003526979873685221</v>
      </c>
      <c r="BL24" s="7" t="n">
        <v>12.30603074916522</v>
      </c>
      <c r="BM24" s="31" t="n">
        <v>5.246119279358405</v>
      </c>
      <c r="BN24" s="7" t="n">
        <v>2.996966647764493</v>
      </c>
      <c r="BO24" s="7" t="n">
        <v>4.313298953869934</v>
      </c>
      <c r="BP24" s="7" t="n">
        <v>5.564989690765032</v>
      </c>
      <c r="BQ24" s="7" t="n">
        <v>35.59687547305187</v>
      </c>
      <c r="BR24" s="31" t="n">
        <v>10.66628599311937</v>
      </c>
      <c r="BS24" s="7" t="n">
        <v>6.865673860149519</v>
      </c>
      <c r="BT24" s="7" t="n">
        <v>9.750926970439799</v>
      </c>
      <c r="BU24" s="8" t="n">
        <v>12.17712614999671</v>
      </c>
      <c r="BV24" s="9" t="n">
        <v>42.76654879952964</v>
      </c>
      <c r="BW24" s="31" t="n">
        <v>25.88296873696567</v>
      </c>
      <c r="BX24" s="7" t="n">
        <v>25.30485340120778</v>
      </c>
      <c r="BY24" s="7" t="n">
        <v>24.96882949369825</v>
      </c>
      <c r="BZ24" s="7" t="n">
        <v>20.54049250562822</v>
      </c>
      <c r="CA24" s="7" t="n">
        <v>-10.38190811185908</v>
      </c>
      <c r="CB24" s="31" t="n">
        <v>-10.60781187725181</v>
      </c>
      <c r="CC24" s="7" t="n">
        <v>-2.648040908060132</v>
      </c>
      <c r="CD24" s="7" t="n">
        <v>-10.31691526792591</v>
      </c>
      <c r="CE24" s="8" t="n">
        <v>0.3446209032569438</v>
      </c>
    </row>
    <row r="25">
      <c r="A25" s="251" t="n">
        <v>40087</v>
      </c>
      <c r="B25" s="3" t="n">
        <v>0</v>
      </c>
      <c r="C25" s="6" t="n">
        <v>21.81773669352186</v>
      </c>
      <c r="D25" s="31" t="n">
        <v>3.349478647737843</v>
      </c>
      <c r="E25" s="7" t="n">
        <v>0.5849584633099294</v>
      </c>
      <c r="F25" s="7" t="n">
        <v>1.664949304351097</v>
      </c>
      <c r="G25" s="7" t="n">
        <v>3.224613479173918</v>
      </c>
      <c r="H25" s="9" t="n">
        <v>37.05186171262186</v>
      </c>
      <c r="I25" s="31" t="n">
        <v>9.602101215729927</v>
      </c>
      <c r="J25" s="7" t="n">
        <v>6.00571900530376</v>
      </c>
      <c r="K25" s="7" t="n">
        <v>8.181368345780335</v>
      </c>
      <c r="L25" s="7" t="n">
        <v>10.39069385541242</v>
      </c>
      <c r="M25" s="9" t="n">
        <v>28.3479057907025</v>
      </c>
      <c r="N25" s="7" t="n">
        <v>25.52936955640268</v>
      </c>
      <c r="O25" s="8" t="n">
        <v>26.02810403926874</v>
      </c>
      <c r="P25" s="7" t="n">
        <v>72.84999999999999</v>
      </c>
      <c r="Q25" s="31" t="n">
        <v>17.64999999999999</v>
      </c>
      <c r="R25" s="7" t="n">
        <v>9.724999999999994</v>
      </c>
      <c r="S25" s="7" t="n">
        <v>8.224999999999994</v>
      </c>
      <c r="T25" s="7" t="n">
        <v>10.18333333333333</v>
      </c>
      <c r="U25" s="9" t="n">
        <v>5.464465788659382</v>
      </c>
      <c r="V25" s="31" t="n">
        <v>1.586511248586708</v>
      </c>
      <c r="W25" s="7" t="n">
        <v>0.9753085391184273</v>
      </c>
      <c r="X25" s="7" t="n">
        <v>1.387456420512106</v>
      </c>
      <c r="Y25" s="7" t="n">
        <v>1.723261967510754</v>
      </c>
      <c r="Z25" s="9" t="n">
        <v>10.88159514340427</v>
      </c>
      <c r="AA25" s="31" t="n">
        <v>1.638721226300751</v>
      </c>
      <c r="AB25" s="7" t="n">
        <v>1.545013788808449</v>
      </c>
      <c r="AC25" s="7" t="n">
        <v>1.77325136284351</v>
      </c>
      <c r="AD25" s="7" t="n">
        <v>2.494324990839772</v>
      </c>
      <c r="AE25" s="9" t="n">
        <v>15.54278094823098</v>
      </c>
      <c r="AF25" s="7" t="n">
        <v>24.02306117390589</v>
      </c>
      <c r="AG25" s="8" t="n">
        <v>25.61983743586548</v>
      </c>
      <c r="AH25" s="60" t="n">
        <v>0.5868698662418242</v>
      </c>
      <c r="AI25" s="31" t="n">
        <v>0.1139904981217029</v>
      </c>
      <c r="AJ25" s="7" t="n">
        <v>0.042259629717738</v>
      </c>
      <c r="AK25" s="7" t="n">
        <v>0.05990185437848017</v>
      </c>
      <c r="AL25" s="7" t="n">
        <v>0.1036341866732696</v>
      </c>
      <c r="AM25" s="7" t="n">
        <v>-0.1138523169961743</v>
      </c>
      <c r="AN25" s="31" t="n">
        <v>1.313077208671282</v>
      </c>
      <c r="AO25" s="7" t="n">
        <v>0.1603061162440282</v>
      </c>
      <c r="AP25" s="7" t="n">
        <v>0.4039212850987283</v>
      </c>
      <c r="AQ25" s="7" t="n">
        <v>0.9956258226603175</v>
      </c>
      <c r="AR25" s="7" t="n">
        <v>20.7428104217987</v>
      </c>
      <c r="AS25" s="31" t="n">
        <v>10.83848025422907</v>
      </c>
      <c r="AT25" s="7" t="n">
        <v>6.194453214756463</v>
      </c>
      <c r="AU25" s="7" t="n">
        <v>8.693802219507131</v>
      </c>
      <c r="AV25" s="8" t="n">
        <v>10.12489390871371</v>
      </c>
      <c r="AW25" s="7" t="n">
        <v>43.8434067861063</v>
      </c>
      <c r="AX25" s="31" t="n">
        <v>9.884097930650725</v>
      </c>
      <c r="AY25" s="7" t="n">
        <v>7.288315762774523</v>
      </c>
      <c r="AZ25" s="7" t="n">
        <v>9.023718355290995</v>
      </c>
      <c r="BA25" s="7" t="n">
        <v>11.78504375198407</v>
      </c>
      <c r="BB25" s="7" t="n">
        <v>201.3378859591998</v>
      </c>
      <c r="BC25" s="31" t="n">
        <v>27.30718843972764</v>
      </c>
      <c r="BD25" s="7" t="n">
        <v>23.5800976329195</v>
      </c>
      <c r="BE25" s="7" t="n">
        <v>27.68954118697266</v>
      </c>
      <c r="BF25" s="7" t="n">
        <v>35.39837391641447</v>
      </c>
      <c r="BG25" s="7" t="n">
        <v>6.293559247724348</v>
      </c>
      <c r="BH25" s="31" t="n">
        <v>-0.07847495711347463</v>
      </c>
      <c r="BI25" s="7" t="n">
        <v>0.002643135560597365</v>
      </c>
      <c r="BJ25" s="7" t="n">
        <v>-0.09596243073818744</v>
      </c>
      <c r="BK25" s="7" t="n">
        <v>0.0725070414646618</v>
      </c>
      <c r="BL25" s="7" t="n">
        <v>12.46636003364951</v>
      </c>
      <c r="BM25" s="31" t="n">
        <v>4.310465651874091</v>
      </c>
      <c r="BN25" s="7" t="n">
        <v>2.905714750764677</v>
      </c>
      <c r="BO25" s="7" t="n">
        <v>3.724386576413101</v>
      </c>
      <c r="BP25" s="7" t="n">
        <v>4.874292785326266</v>
      </c>
      <c r="BQ25" s="7" t="n">
        <v>42.03742550204751</v>
      </c>
      <c r="BR25" s="31" t="n">
        <v>17.60124023463255</v>
      </c>
      <c r="BS25" s="7" t="n">
        <v>8.801640985032909</v>
      </c>
      <c r="BT25" s="7" t="n">
        <v>14.47505853439807</v>
      </c>
      <c r="BU25" s="8" t="n">
        <v>17.02527428914157</v>
      </c>
      <c r="BV25" s="9" t="n">
        <v>31.69348631057668</v>
      </c>
      <c r="BW25" s="31" t="n">
        <v>4.789761062637826</v>
      </c>
      <c r="BX25" s="7" t="n">
        <v>16.09134627051561</v>
      </c>
      <c r="BY25" s="7" t="n">
        <v>7.56955365444335</v>
      </c>
      <c r="BZ25" s="7" t="n">
        <v>8.553571173539648</v>
      </c>
      <c r="CA25" s="7" t="n">
        <v>-14.71819256925548</v>
      </c>
      <c r="CB25" s="31" t="n">
        <v>-10.71143558706446</v>
      </c>
      <c r="CC25" s="7" t="n">
        <v>-9.840223858306144</v>
      </c>
      <c r="CD25" s="7" t="n">
        <v>-13.99118949830728</v>
      </c>
      <c r="CE25" s="8" t="n">
        <v>-6.48231490822452</v>
      </c>
    </row>
    <row r="26">
      <c r="A26" s="251" t="n">
        <v>40179</v>
      </c>
      <c r="B26" s="3" t="n">
        <v>0</v>
      </c>
      <c r="C26" s="6" t="n">
        <v>23.07651274493482</v>
      </c>
      <c r="D26" s="31" t="n">
        <v>4.378178727558147</v>
      </c>
      <c r="E26" s="7" t="n">
        <v>0.2115292674502687</v>
      </c>
      <c r="F26" s="7" t="n">
        <v>2.777485739936576</v>
      </c>
      <c r="G26" s="7" t="n">
        <v>3.783989129908441</v>
      </c>
      <c r="H26" s="9" t="n">
        <v>38.2092106770469</v>
      </c>
      <c r="I26" s="31" t="n">
        <v>7.638537326069596</v>
      </c>
      <c r="J26" s="7" t="n">
        <v>5.959123493373614</v>
      </c>
      <c r="K26" s="7" t="n">
        <v>7.837287558879435</v>
      </c>
      <c r="L26" s="7" t="n">
        <v>10.14723825556131</v>
      </c>
      <c r="M26" s="9" t="n">
        <v>24.30178933328034</v>
      </c>
      <c r="N26" s="7" t="n">
        <v>27.65691603410528</v>
      </c>
      <c r="O26" s="8" t="n">
        <v>26.52201771427451</v>
      </c>
      <c r="P26" s="7" t="n">
        <v>69.55</v>
      </c>
      <c r="Q26" s="31" t="n">
        <v>-6.899999999999991</v>
      </c>
      <c r="R26" s="7" t="n">
        <v>9</v>
      </c>
      <c r="S26" s="7" t="n">
        <v>2.493750000000006</v>
      </c>
      <c r="T26" s="7" t="n">
        <v>5.404166666666669</v>
      </c>
      <c r="U26" s="9" t="n">
        <v>5.684581897946985</v>
      </c>
      <c r="V26" s="31" t="n">
        <v>1.360047774005912</v>
      </c>
      <c r="W26" s="7" t="n">
        <v>1.028477231252509</v>
      </c>
      <c r="X26" s="7" t="n">
        <v>1.363745395020102</v>
      </c>
      <c r="Y26" s="7" t="n">
        <v>1.717476787383202</v>
      </c>
      <c r="Z26" s="9" t="n">
        <v>11.25332268975336</v>
      </c>
      <c r="AA26" s="31" t="n">
        <v>1.365328224091272</v>
      </c>
      <c r="AB26" s="7" t="n">
        <v>1.621379442155262</v>
      </c>
      <c r="AC26" s="7" t="n">
        <v>1.758725461990482</v>
      </c>
      <c r="AD26" s="7" t="n">
        <v>2.498148909541971</v>
      </c>
      <c r="AE26" s="9" t="n">
        <v>16.23282722979786</v>
      </c>
      <c r="AF26" s="7" t="n">
        <v>23.83795625787019</v>
      </c>
      <c r="AG26" s="8" t="n">
        <v>24.51807923625863</v>
      </c>
      <c r="AH26" s="60" t="n">
        <v>0.6338284344633284</v>
      </c>
      <c r="AI26" s="31" t="n">
        <v>0.1047354542159081</v>
      </c>
      <c r="AJ26" s="7" t="n">
        <v>0.06628437122726677</v>
      </c>
      <c r="AK26" s="7" t="n">
        <v>0.09629551517054979</v>
      </c>
      <c r="AL26" s="7" t="n">
        <v>0.1391039619641853</v>
      </c>
      <c r="AM26" s="7" t="n">
        <v>0.9827575286869323</v>
      </c>
      <c r="AN26" s="31" t="n">
        <v>1.423448351437401</v>
      </c>
      <c r="AO26" s="7" t="n">
        <v>0.8521770216922966</v>
      </c>
      <c r="AP26" s="7" t="n">
        <v>1.460454601720828</v>
      </c>
      <c r="AQ26" s="7" t="n">
        <v>1.982380606454845</v>
      </c>
      <c r="AR26" s="7" t="n">
        <v>21.58269585041727</v>
      </c>
      <c r="AS26" s="31" t="n">
        <v>6.865756759901474</v>
      </c>
      <c r="AT26" s="7" t="n">
        <v>5.42802860911628</v>
      </c>
      <c r="AU26" s="7" t="n">
        <v>7.985074344436589</v>
      </c>
      <c r="AV26" s="8" t="n">
        <v>9.916951696827686</v>
      </c>
      <c r="AW26" s="7" t="n">
        <v>45.90272462845767</v>
      </c>
      <c r="AX26" s="31" t="n">
        <v>7.463291365559535</v>
      </c>
      <c r="AY26" s="7" t="n">
        <v>7.960160357446687</v>
      </c>
      <c r="AZ26" s="7" t="n">
        <v>9.260957256948728</v>
      </c>
      <c r="BA26" s="7" t="n">
        <v>12.19304639127343</v>
      </c>
      <c r="BB26" s="7" t="n">
        <v>205.5575261643098</v>
      </c>
      <c r="BC26" s="31" t="n">
        <v>16.31763424768491</v>
      </c>
      <c r="BD26" s="7" t="n">
        <v>27.73663737522027</v>
      </c>
      <c r="BE26" s="7" t="n">
        <v>26.01415698385284</v>
      </c>
      <c r="BF26" s="7" t="n">
        <v>34.26825685613596</v>
      </c>
      <c r="BG26" s="7" t="n">
        <v>6.281664292952542</v>
      </c>
      <c r="BH26" s="31" t="n">
        <v>0.4869365625101985</v>
      </c>
      <c r="BI26" s="7" t="n">
        <v>-0.1187172389611297</v>
      </c>
      <c r="BJ26" s="7" t="n">
        <v>-0.108518169400142</v>
      </c>
      <c r="BK26" s="7" t="n">
        <v>0.0178127937791146</v>
      </c>
      <c r="BL26" s="7" t="n">
        <v>10.78701614586021</v>
      </c>
      <c r="BM26" s="31" t="n">
        <v>-0.2336283800262695</v>
      </c>
      <c r="BN26" s="7" t="n">
        <v>2.459707296915882</v>
      </c>
      <c r="BO26" s="7" t="n">
        <v>1.318614000932628</v>
      </c>
      <c r="BP26" s="7" t="n">
        <v>2.468923482512288</v>
      </c>
      <c r="BQ26" s="7" t="n">
        <v>44.05574985952823</v>
      </c>
      <c r="BR26" s="31" t="n">
        <v>17.29148536321623</v>
      </c>
      <c r="BS26" s="7" t="n">
        <v>8.438934229194155</v>
      </c>
      <c r="BT26" s="7" t="n">
        <v>14.29297264562056</v>
      </c>
      <c r="BU26" s="8" t="n">
        <v>17.0070245382176</v>
      </c>
      <c r="BV26" s="9" t="n">
        <v>11.50804054039799</v>
      </c>
      <c r="BW26" s="31" t="n">
        <v>-31.60615562730169</v>
      </c>
      <c r="BX26" s="7" t="n">
        <v>2.436449158117303</v>
      </c>
      <c r="BY26" s="7" t="n">
        <v>-16.63872868336424</v>
      </c>
      <c r="BZ26" s="7" t="n">
        <v>-11.56064707205394</v>
      </c>
      <c r="CA26" s="7" t="n">
        <v>-20.2640433667587</v>
      </c>
      <c r="CB26" s="31" t="n">
        <v>-16.31902997242409</v>
      </c>
      <c r="CC26" s="7" t="n">
        <v>-14.51320101468185</v>
      </c>
      <c r="CD26" s="7" t="n">
        <v>-17.07698433123396</v>
      </c>
      <c r="CE26" s="8" t="n">
        <v>-14.00539126714224</v>
      </c>
    </row>
    <row r="27">
      <c r="A27" s="251" t="n">
        <v>40269</v>
      </c>
      <c r="B27" s="3" t="n">
        <v>0</v>
      </c>
      <c r="C27" s="6" t="n">
        <v>25.02520075119265</v>
      </c>
      <c r="D27" s="31" t="n">
        <v>5.842524678095526</v>
      </c>
      <c r="E27" s="7" t="n">
        <v>1.774564985644851</v>
      </c>
      <c r="F27" s="7" t="n">
        <v>4.673291429331847</v>
      </c>
      <c r="G27" s="7" t="n">
        <v>4.977782255540106</v>
      </c>
      <c r="H27" s="9" t="n">
        <v>38.18374065228564</v>
      </c>
      <c r="I27" s="31" t="n">
        <v>4.977652210228207</v>
      </c>
      <c r="J27" s="7" t="n">
        <v>5.769683123080357</v>
      </c>
      <c r="K27" s="7" t="n">
        <v>6.322036660774771</v>
      </c>
      <c r="L27" s="7" t="n">
        <v>8.764735314806135</v>
      </c>
      <c r="M27" s="9" t="n">
        <v>17.25750074023631</v>
      </c>
      <c r="N27" s="7" t="n">
        <v>25.4176815672364</v>
      </c>
      <c r="O27" s="8" t="n">
        <v>22.80086796410664</v>
      </c>
      <c r="P27" s="7" t="n">
        <v>65.94999999999999</v>
      </c>
      <c r="Q27" s="31" t="n">
        <v>-27.25</v>
      </c>
      <c r="R27" s="7" t="n">
        <v>7.274999999999995</v>
      </c>
      <c r="S27" s="7" t="n">
        <v>-3.356250000000003</v>
      </c>
      <c r="T27" s="7" t="n">
        <v>0.99166666666666</v>
      </c>
      <c r="U27" s="9" t="n">
        <v>5.656279404293314</v>
      </c>
      <c r="V27" s="31" t="n">
        <v>0.8897937151416437</v>
      </c>
      <c r="W27" s="7" t="n">
        <v>0.992552913572434</v>
      </c>
      <c r="X27" s="7" t="n">
        <v>1.078323593553304</v>
      </c>
      <c r="Y27" s="7" t="n">
        <v>1.46349844458953</v>
      </c>
      <c r="Z27" s="9" t="n">
        <v>11.58142015975416</v>
      </c>
      <c r="AA27" s="31" t="n">
        <v>1.21736003191795</v>
      </c>
      <c r="AB27" s="7" t="n">
        <v>1.64561716949679</v>
      </c>
      <c r="AC27" s="7" t="n">
        <v>1.681478071452466</v>
      </c>
      <c r="AD27" s="7" t="n">
        <v>2.456733411737996</v>
      </c>
      <c r="AE27" s="9" t="n">
        <v>16.51554130177033</v>
      </c>
      <c r="AF27" s="7" t="n">
        <v>22.29983696598879</v>
      </c>
      <c r="AG27" s="8" t="n">
        <v>23.58950945814039</v>
      </c>
      <c r="AH27" s="60" t="n">
        <v>0.6406980164073307</v>
      </c>
      <c r="AI27" s="31" t="n">
        <v>0.0816664085798573</v>
      </c>
      <c r="AJ27" s="7" t="n">
        <v>0.07069628735568007</v>
      </c>
      <c r="AK27" s="7" t="n">
        <v>0.08659400430773545</v>
      </c>
      <c r="AL27" s="7" t="n">
        <v>0.1262805353587875</v>
      </c>
      <c r="AM27" s="7" t="n">
        <v>0.848839338080536</v>
      </c>
      <c r="AN27" s="31" t="n">
        <v>-0.2430785220357291</v>
      </c>
      <c r="AO27" s="7" t="n">
        <v>1.175233223222622</v>
      </c>
      <c r="AP27" s="7" t="n">
        <v>1.113492155691358</v>
      </c>
      <c r="AQ27" s="7" t="n">
        <v>1.534386390167359</v>
      </c>
      <c r="AR27" s="7" t="n">
        <v>21.8254116825728</v>
      </c>
      <c r="AS27" s="31" t="n">
        <v>6.193994378768238</v>
      </c>
      <c r="AT27" s="7" t="n">
        <v>5.89395665321755</v>
      </c>
      <c r="AU27" s="7" t="n">
        <v>6.870783024313042</v>
      </c>
      <c r="AV27" s="8" t="n">
        <v>9.037682847761822</v>
      </c>
      <c r="AW27" s="7" t="n">
        <v>47.52019728972192</v>
      </c>
      <c r="AX27" s="31" t="n">
        <v>7.307592051910063</v>
      </c>
      <c r="AY27" s="7" t="n">
        <v>7.937288839664729</v>
      </c>
      <c r="AZ27" s="7" t="n">
        <v>8.888389828851302</v>
      </c>
      <c r="BA27" s="7" t="n">
        <v>12.18265689168063</v>
      </c>
      <c r="BB27" s="7" t="n">
        <v>215.66909510824</v>
      </c>
      <c r="BC27" s="31" t="n">
        <v>22.5230995739816</v>
      </c>
      <c r="BD27" s="7" t="n">
        <v>28.86979032462287</v>
      </c>
      <c r="BE27" s="7" t="n">
        <v>29.19156658397793</v>
      </c>
      <c r="BF27" s="7" t="n">
        <v>39.72282408055381</v>
      </c>
      <c r="BG27" s="7" t="n">
        <v>6.544882240165617</v>
      </c>
      <c r="BH27" s="31" t="n">
        <v>0.584471072168105</v>
      </c>
      <c r="BI27" s="7" t="n">
        <v>-0.1653771349703206</v>
      </c>
      <c r="BJ27" s="7" t="n">
        <v>0.1843790875532152</v>
      </c>
      <c r="BK27" s="7" t="n">
        <v>0.2293592621703349</v>
      </c>
      <c r="BL27" s="7" t="n">
        <v>11.13121412649542</v>
      </c>
      <c r="BM27" s="31" t="n">
        <v>-1.714672004333449</v>
      </c>
      <c r="BN27" s="7" t="n">
        <v>2.553162905107769</v>
      </c>
      <c r="BO27" s="7" t="n">
        <v>1.047885157338866</v>
      </c>
      <c r="BP27" s="7" t="n">
        <v>2.360297757231779</v>
      </c>
      <c r="BQ27" s="7" t="n">
        <v>43.68935166026127</v>
      </c>
      <c r="BR27" s="31" t="n">
        <v>13.24338874018758</v>
      </c>
      <c r="BS27" s="7" t="n">
        <v>8.488159244486177</v>
      </c>
      <c r="BT27" s="7" t="n">
        <v>11.81684088905507</v>
      </c>
      <c r="BU27" s="8" t="n">
        <v>14.56367321613028</v>
      </c>
      <c r="BV27" s="9" t="n">
        <v>3.341576624886058</v>
      </c>
      <c r="BW27" s="31" t="n">
        <v>-45.02774058160125</v>
      </c>
      <c r="BX27" s="7" t="n">
        <v>-2.733290573126157</v>
      </c>
      <c r="BY27" s="7" t="n">
        <v>-25.4143048884055</v>
      </c>
      <c r="BZ27" s="7" t="n">
        <v>-18.24528329322046</v>
      </c>
      <c r="CA27" s="7" t="n">
        <v>-21.34372610042823</v>
      </c>
      <c r="CB27" s="31" t="n">
        <v>-14.66172497155339</v>
      </c>
      <c r="CC27" s="7" t="n">
        <v>-13.29643178737381</v>
      </c>
      <c r="CD27" s="7" t="n">
        <v>-14.52836681123303</v>
      </c>
      <c r="CE27" s="8" t="n">
        <v>-16.02885464291871</v>
      </c>
    </row>
    <row r="28">
      <c r="A28" s="251" t="n">
        <v>40360</v>
      </c>
      <c r="B28" s="3" t="n">
        <v>0</v>
      </c>
      <c r="C28" s="6" t="n">
        <v>25.28975170888864</v>
      </c>
      <c r="D28" s="31" t="n">
        <v>5.141923166826253</v>
      </c>
      <c r="E28" s="7" t="n">
        <v>2.670947015341008</v>
      </c>
      <c r="F28" s="7" t="n">
        <v>4.494201140616621</v>
      </c>
      <c r="G28" s="7" t="n">
        <v>4.504780033812683</v>
      </c>
      <c r="H28" s="9" t="n">
        <v>39.21707429939934</v>
      </c>
      <c r="I28" s="31" t="n">
        <v>3.904406109028798</v>
      </c>
      <c r="J28" s="7" t="n">
        <v>6.384039821701656</v>
      </c>
      <c r="K28" s="7" t="n">
        <v>5.912949527118386</v>
      </c>
      <c r="L28" s="7" t="n">
        <v>8.536231618326109</v>
      </c>
      <c r="M28" s="9" t="n">
        <v>14.05352902036952</v>
      </c>
      <c r="N28" s="7" t="n">
        <v>22.9259769662138</v>
      </c>
      <c r="O28" s="8" t="n">
        <v>20.73741550478352</v>
      </c>
      <c r="P28" s="7" t="n">
        <v>57.55</v>
      </c>
      <c r="Q28" s="31" t="n">
        <v>-28.64999999999999</v>
      </c>
      <c r="R28" s="7" t="n">
        <v>3.975000000000001</v>
      </c>
      <c r="S28" s="7" t="n">
        <v>-13.575</v>
      </c>
      <c r="T28" s="7" t="n">
        <v>-7.783333333333331</v>
      </c>
      <c r="U28" s="9" t="n">
        <v>5.450756283796314</v>
      </c>
      <c r="V28" s="31" t="n">
        <v>0.2816744421071933</v>
      </c>
      <c r="W28" s="7" t="n">
        <v>0.8926936282427915</v>
      </c>
      <c r="X28" s="7" t="n">
        <v>0.6246622446631953</v>
      </c>
      <c r="Y28" s="7" t="n">
        <v>1.052472351593049</v>
      </c>
      <c r="Z28" s="9" t="n">
        <v>11.98151956478781</v>
      </c>
      <c r="AA28" s="31" t="n">
        <v>1.377403425417665</v>
      </c>
      <c r="AB28" s="7" t="n">
        <v>1.653065581132222</v>
      </c>
      <c r="AC28" s="7" t="n">
        <v>1.670173184111919</v>
      </c>
      <c r="AD28" s="7" t="n">
        <v>2.481349781466829</v>
      </c>
      <c r="AE28" s="9" t="n">
        <v>19.86357000877263</v>
      </c>
      <c r="AF28" s="7" t="n">
        <v>19.96907395340372</v>
      </c>
      <c r="AG28" s="8" t="n">
        <v>23.15997137093772</v>
      </c>
      <c r="AH28" s="60" t="n">
        <v>1.01233662875872</v>
      </c>
      <c r="AI28" s="31" t="n">
        <v>0.3252614820983888</v>
      </c>
      <c r="AJ28" s="7" t="n">
        <v>0.2737936886092134</v>
      </c>
      <c r="AK28" s="7" t="n">
        <v>0.4405585448202045</v>
      </c>
      <c r="AL28" s="7" t="n">
        <v>0.4758140418463432</v>
      </c>
      <c r="AM28" s="7" t="n">
        <v>1.562122045614507</v>
      </c>
      <c r="AN28" s="31" t="n">
        <v>0.1233848670949924</v>
      </c>
      <c r="AO28" s="7" t="n">
        <v>1.854828690022491</v>
      </c>
      <c r="AP28" s="7" t="n">
        <v>1.532966557419673</v>
      </c>
      <c r="AQ28" s="7" t="n">
        <v>1.968588190006146</v>
      </c>
      <c r="AR28" s="7" t="n">
        <v>21.89504288759832</v>
      </c>
      <c r="AS28" s="31" t="n">
        <v>3.956762281946158</v>
      </c>
      <c r="AT28" s="7" t="n">
        <v>6.405992718708056</v>
      </c>
      <c r="AU28" s="7" t="n">
        <v>5.466925066034179</v>
      </c>
      <c r="AV28" s="8" t="n">
        <v>7.90726358963888</v>
      </c>
      <c r="AW28" s="7" t="n">
        <v>49.31877057251781</v>
      </c>
      <c r="AX28" s="31" t="n">
        <v>6.970219535265677</v>
      </c>
      <c r="AY28" s="7" t="n">
        <v>8.307980151963527</v>
      </c>
      <c r="AZ28" s="7" t="n">
        <v>8.702640901731023</v>
      </c>
      <c r="BA28" s="7" t="n">
        <v>12.31349742011635</v>
      </c>
      <c r="BB28" s="7" t="n">
        <v>217.2463282607224</v>
      </c>
      <c r="BC28" s="31" t="n">
        <v>14.21997001169754</v>
      </c>
      <c r="BD28" s="7" t="n">
        <v>24.84698493425498</v>
      </c>
      <c r="BE28" s="7" t="n">
        <v>23.55135215530456</v>
      </c>
      <c r="BF28" s="7" t="n">
        <v>36.37389401833553</v>
      </c>
      <c r="BG28" s="7" t="n">
        <v>7.030318231882113</v>
      </c>
      <c r="BH28" s="31" t="n">
        <v>0.8524766782417847</v>
      </c>
      <c r="BI28" s="7" t="n">
        <v>-0.04891614065797345</v>
      </c>
      <c r="BJ28" s="7" t="n">
        <v>0.7111593630122908</v>
      </c>
      <c r="BK28" s="7" t="n">
        <v>0.6609153769978198</v>
      </c>
      <c r="BL28" s="7" t="n">
        <v>12.997054495124</v>
      </c>
      <c r="BM28" s="31" t="n">
        <v>0.6910237459587822</v>
      </c>
      <c r="BN28" s="7" t="n">
        <v>2.968571512658594</v>
      </c>
      <c r="BO28" s="7" t="n">
        <v>2.275434799690512</v>
      </c>
      <c r="BP28" s="7" t="n">
        <v>3.777681543662949</v>
      </c>
      <c r="BQ28" s="7" t="n">
        <v>44.89468058090895</v>
      </c>
      <c r="BR28" s="31" t="n">
        <v>9.297805107857087</v>
      </c>
      <c r="BS28" s="7" t="n">
        <v>9.982045550488229</v>
      </c>
      <c r="BT28" s="7" t="n">
        <v>10.9001299985812</v>
      </c>
      <c r="BU28" s="8" t="n">
        <v>13.88243137126017</v>
      </c>
      <c r="BV28" s="9" t="n">
        <v>6.768849247641503</v>
      </c>
      <c r="BW28" s="31" t="n">
        <v>-35.99769955188814</v>
      </c>
      <c r="BX28" s="7" t="n">
        <v>-5.057365407461236</v>
      </c>
      <c r="BY28" s="7" t="n">
        <v>-21.30370962236852</v>
      </c>
      <c r="BZ28" s="7" t="n">
        <v>-12.53876797919529</v>
      </c>
      <c r="CA28" s="7" t="n">
        <v>-22.22307176817077</v>
      </c>
      <c r="CB28" s="31" t="n">
        <v>-11.84116365631169</v>
      </c>
      <c r="CC28" s="7" t="n">
        <v>-11.22448776678175</v>
      </c>
      <c r="CD28" s="7" t="n">
        <v>-12.08360453213212</v>
      </c>
      <c r="CE28" s="8" t="n">
        <v>-16.62075402652354</v>
      </c>
    </row>
    <row r="29">
      <c r="A29" s="251" t="n">
        <v>40452</v>
      </c>
      <c r="B29" s="3" t="n">
        <v>0</v>
      </c>
      <c r="C29" s="6" t="n">
        <v>26.59499292589176</v>
      </c>
      <c r="D29" s="31" t="n">
        <v>4.777256232369904</v>
      </c>
      <c r="E29" s="7" t="n">
        <v>4.063367440053874</v>
      </c>
      <c r="F29" s="7" t="n">
        <v>5.131705603784489</v>
      </c>
      <c r="G29" s="7" t="n">
        <v>5.225701174899758</v>
      </c>
      <c r="H29" s="9" t="n">
        <v>41.0162258092239</v>
      </c>
      <c r="I29" s="31" t="n">
        <v>3.96436409660204</v>
      </c>
      <c r="J29" s="7" t="n">
        <v>6.783232656165984</v>
      </c>
      <c r="K29" s="7" t="n">
        <v>6.116091081517531</v>
      </c>
      <c r="L29" s="7" t="n">
        <v>9.047406286216741</v>
      </c>
      <c r="M29" s="9" t="n">
        <v>14.54123889320476</v>
      </c>
      <c r="N29" s="7" t="n">
        <v>21.44457234195363</v>
      </c>
      <c r="O29" s="8" t="n">
        <v>21.86665933533671</v>
      </c>
      <c r="P29" s="7" t="n">
        <v>58.89999999999999</v>
      </c>
      <c r="Q29" s="31" t="n">
        <v>-13.95</v>
      </c>
      <c r="R29" s="7" t="n">
        <v>1.849999999999994</v>
      </c>
      <c r="S29" s="7" t="n">
        <v>-13.21875</v>
      </c>
      <c r="T29" s="7" t="n">
        <v>-6.341666666666669</v>
      </c>
      <c r="U29" s="9" t="n">
        <v>5.251572449406352</v>
      </c>
      <c r="V29" s="31" t="n">
        <v>-0.2128933392530294</v>
      </c>
      <c r="W29" s="7" t="n">
        <v>0.6868089546668394</v>
      </c>
      <c r="X29" s="7" t="n">
        <v>0.202305003212536</v>
      </c>
      <c r="Y29" s="7" t="n">
        <v>0.6788925894168356</v>
      </c>
      <c r="Z29" s="9" t="n">
        <v>12.54659292362456</v>
      </c>
      <c r="AA29" s="31" t="n">
        <v>1.66499778022029</v>
      </c>
      <c r="AB29" s="7" t="n">
        <v>1.65185950326052</v>
      </c>
      <c r="AC29" s="7" t="n">
        <v>1.82198014766562</v>
      </c>
      <c r="AD29" s="7" t="n">
        <v>2.666208940109087</v>
      </c>
      <c r="AE29" s="9" t="n">
        <v>22.96980387149927</v>
      </c>
      <c r="AF29" s="7" t="n">
        <v>19.25629240986513</v>
      </c>
      <c r="AG29" s="8" t="n">
        <v>23.67197540643701</v>
      </c>
      <c r="AH29" s="60" t="n">
        <v>1.334051928630519</v>
      </c>
      <c r="AI29" s="31" t="n">
        <v>0.7471820623886943</v>
      </c>
      <c r="AJ29" s="7" t="n">
        <v>0.4305862802551986</v>
      </c>
      <c r="AK29" s="7" t="n">
        <v>0.6938254225396998</v>
      </c>
      <c r="AL29" s="7" t="n">
        <v>0.7432621752323555</v>
      </c>
      <c r="AM29" s="7" t="n">
        <v>1.705896179937556</v>
      </c>
      <c r="AN29" s="31" t="n">
        <v>1.81974849693373</v>
      </c>
      <c r="AO29" s="7" t="n">
        <v>1.566412852802506</v>
      </c>
      <c r="AP29" s="7" t="n">
        <v>1.213033519237099</v>
      </c>
      <c r="AQ29" s="7" t="n">
        <v>1.777756365052008</v>
      </c>
      <c r="AR29" s="7" t="n">
        <v>21.90402088118569</v>
      </c>
      <c r="AS29" s="31" t="n">
        <v>1.161210459386986</v>
      </c>
      <c r="AT29" s="7" t="n">
        <v>5.999845356808025</v>
      </c>
      <c r="AU29" s="7" t="n">
        <v>3.874404879944528</v>
      </c>
      <c r="AV29" s="8" t="n">
        <v>6.700852009459048</v>
      </c>
      <c r="AW29" s="7" t="n">
        <v>51.2141829426587</v>
      </c>
      <c r="AX29" s="31" t="n">
        <v>7.370776156552395</v>
      </c>
      <c r="AY29" s="7" t="n">
        <v>8.62743704360156</v>
      </c>
      <c r="AZ29" s="7" t="n">
        <v>8.521058233881021</v>
      </c>
      <c r="BA29" s="7" t="n">
        <v>12.45229904904818</v>
      </c>
      <c r="BB29" s="7" t="n">
        <v>214.9557523939668</v>
      </c>
      <c r="BC29" s="31" t="n">
        <v>13.61786643476705</v>
      </c>
      <c r="BD29" s="7" t="n">
        <v>20.46252743724735</v>
      </c>
      <c r="BE29" s="7" t="n">
        <v>15.04903005498531</v>
      </c>
      <c r="BF29" s="7" t="n">
        <v>29.20595292144276</v>
      </c>
      <c r="BG29" s="7" t="n">
        <v>7.279749595998282</v>
      </c>
      <c r="BH29" s="31" t="n">
        <v>0.9861903482739338</v>
      </c>
      <c r="BI29" s="7" t="n">
        <v>0.4538576955802296</v>
      </c>
      <c r="BJ29" s="7" t="n">
        <v>0.9728197622929526</v>
      </c>
      <c r="BK29" s="7" t="n">
        <v>0.8408664759628746</v>
      </c>
      <c r="BL29" s="7" t="n">
        <v>14.4944453214098</v>
      </c>
      <c r="BM29" s="31" t="n">
        <v>2.028085287760293</v>
      </c>
      <c r="BN29" s="7" t="n">
        <v>3.169275469817192</v>
      </c>
      <c r="BO29" s="7" t="n">
        <v>3.030682747811664</v>
      </c>
      <c r="BP29" s="7" t="n">
        <v>4.717992616491436</v>
      </c>
      <c r="BQ29" s="7" t="n">
        <v>47.26002804666003</v>
      </c>
      <c r="BR29" s="31" t="n">
        <v>5.222602544612513</v>
      </c>
      <c r="BS29" s="7" t="n">
        <v>11.41192138962253</v>
      </c>
      <c r="BT29" s="7" t="n">
        <v>10.76996607671021</v>
      </c>
      <c r="BU29" s="8" t="n">
        <v>14.32868276799823</v>
      </c>
      <c r="BV29" s="9" t="n">
        <v>18.82436061594464</v>
      </c>
      <c r="BW29" s="31" t="n">
        <v>-12.86912569463204</v>
      </c>
      <c r="BX29" s="7" t="n">
        <v>-4.039682315997108</v>
      </c>
      <c r="BY29" s="7" t="n">
        <v>-7.983856902200078</v>
      </c>
      <c r="BZ29" s="7" t="n">
        <v>-1.700923881769437</v>
      </c>
      <c r="CA29" s="7" t="n">
        <v>-23.65075158737639</v>
      </c>
      <c r="CB29" s="31" t="n">
        <v>-8.93255901812091</v>
      </c>
      <c r="CC29" s="7" t="n">
        <v>-9.821997302592685</v>
      </c>
      <c r="CD29" s="7" t="n">
        <v>-10.7051624096423</v>
      </c>
      <c r="CE29" s="8" t="n">
        <v>-16.62033005635982</v>
      </c>
    </row>
    <row r="30">
      <c r="A30" s="251" t="n">
        <v>40544</v>
      </c>
      <c r="B30" s="3" t="n">
        <v>0</v>
      </c>
      <c r="C30" s="6" t="n">
        <v>25.7884810364463</v>
      </c>
      <c r="D30" s="31" t="n">
        <v>2.711968291511482</v>
      </c>
      <c r="E30" s="7" t="n">
        <v>3.545073509534815</v>
      </c>
      <c r="F30" s="7" t="n">
        <v>3.309351854325559</v>
      </c>
      <c r="G30" s="7" t="n">
        <v>3.923591522205154</v>
      </c>
      <c r="H30" s="9" t="n">
        <v>41.94659908403457</v>
      </c>
      <c r="I30" s="31" t="n">
        <v>3.737388406987677</v>
      </c>
      <c r="J30" s="7" t="n">
        <v>5.687962866528636</v>
      </c>
      <c r="K30" s="7" t="n">
        <v>5.350656192286706</v>
      </c>
      <c r="L30" s="7" t="n">
        <v>8.646462718759956</v>
      </c>
      <c r="M30" s="9" t="n">
        <v>9.00129102435676</v>
      </c>
      <c r="N30" s="7" t="n">
        <v>16.65154017881855</v>
      </c>
      <c r="O30" s="8" t="n">
        <v>21.43837436418911</v>
      </c>
      <c r="P30" s="7" t="n">
        <v>58.3</v>
      </c>
      <c r="Q30" s="31" t="n">
        <v>-11.25</v>
      </c>
      <c r="R30" s="7" t="n">
        <v>-9.074999999999996</v>
      </c>
      <c r="S30" s="7" t="n">
        <v>-14.28124999999999</v>
      </c>
      <c r="T30" s="7" t="n">
        <v>-7.399999999999991</v>
      </c>
      <c r="U30" s="9" t="n">
        <v>5.093456667255939</v>
      </c>
      <c r="V30" s="31" t="n">
        <v>-0.5911252306910457</v>
      </c>
      <c r="W30" s="7" t="n">
        <v>0.3844612716574329</v>
      </c>
      <c r="X30" s="7" t="n">
        <v>-0.1275130176045876</v>
      </c>
      <c r="Y30" s="7" t="n">
        <v>0.3759664956844366</v>
      </c>
      <c r="Z30" s="9" t="n">
        <v>12.91121926427013</v>
      </c>
      <c r="AA30" s="31" t="n">
        <v>1.657896574516769</v>
      </c>
      <c r="AB30" s="7" t="n">
        <v>1.51161239930402</v>
      </c>
      <c r="AC30" s="7" t="n">
        <v>1.773641612496053</v>
      </c>
      <c r="AD30" s="7" t="n">
        <v>2.634583167601551</v>
      </c>
      <c r="AE30" s="9" t="n">
        <v>25.25508861842161</v>
      </c>
      <c r="AF30" s="7" t="n">
        <v>20.74395792410974</v>
      </c>
      <c r="AG30" s="8" t="n">
        <v>24.31033371138733</v>
      </c>
      <c r="AH30" s="60" t="n">
        <v>1.311625365283287</v>
      </c>
      <c r="AI30" s="31" t="n">
        <v>0.6777969308199582</v>
      </c>
      <c r="AJ30" s="7" t="n">
        <v>0.3912661925179332</v>
      </c>
      <c r="AK30" s="7" t="n">
        <v>0.5637522891286683</v>
      </c>
      <c r="AL30" s="7" t="n">
        <v>0.651527168399776</v>
      </c>
      <c r="AM30" s="7" t="n">
        <v>0.787860577250437</v>
      </c>
      <c r="AN30" s="31" t="n">
        <v>-0.1948969514364953</v>
      </c>
      <c r="AO30" s="7" t="n">
        <v>0.6142757000004531</v>
      </c>
      <c r="AP30" s="7" t="n">
        <v>-0.09660529665064654</v>
      </c>
      <c r="AQ30" s="7" t="n">
        <v>0.6813573682464064</v>
      </c>
      <c r="AR30" s="7" t="n">
        <v>22.28719382875034</v>
      </c>
      <c r="AS30" s="31" t="n">
        <v>0.7044979783330625</v>
      </c>
      <c r="AT30" s="7" t="n">
        <v>3.785127369117268</v>
      </c>
      <c r="AU30" s="7" t="n">
        <v>2.757616488307175</v>
      </c>
      <c r="AV30" s="8" t="n">
        <v>5.95484854961537</v>
      </c>
      <c r="AW30" s="7" t="n">
        <v>52.1194797045957</v>
      </c>
      <c r="AX30" s="31" t="n">
        <v>6.216755076138028</v>
      </c>
      <c r="AY30" s="7" t="n">
        <v>6.840023220848781</v>
      </c>
      <c r="AZ30" s="7" t="n">
        <v>7.269495734917633</v>
      </c>
      <c r="BA30" s="7" t="n">
        <v>11.52864517081007</v>
      </c>
      <c r="BB30" s="7" t="n">
        <v>222.6210894173942</v>
      </c>
      <c r="BC30" s="31" t="n">
        <v>17.0635632530844</v>
      </c>
      <c r="BD30" s="7" t="n">
        <v>16.69059875038465</v>
      </c>
      <c r="BE30" s="7" t="n">
        <v>17.59873521910089</v>
      </c>
      <c r="BF30" s="7" t="n">
        <v>31.80645146981962</v>
      </c>
      <c r="BG30" s="7" t="n">
        <v>7.624862025704465</v>
      </c>
      <c r="BH30" s="31" t="n">
        <v>1.343197732751923</v>
      </c>
      <c r="BI30" s="7" t="n">
        <v>0.9150671476310608</v>
      </c>
      <c r="BJ30" s="7" t="n">
        <v>1.20446776810408</v>
      </c>
      <c r="BK30" s="7" t="n">
        <v>1.103355854052797</v>
      </c>
      <c r="BL30" s="7" t="n">
        <v>16.95039874913333</v>
      </c>
      <c r="BM30" s="31" t="n">
        <v>6.163382603273119</v>
      </c>
      <c r="BN30" s="7" t="n">
        <v>2.964877111623425</v>
      </c>
      <c r="BO30" s="7" t="n">
        <v>4.69431730808089</v>
      </c>
      <c r="BP30" s="7" t="n">
        <v>6.52065314510749</v>
      </c>
      <c r="BQ30" s="7" t="n">
        <v>48.99934579701312</v>
      </c>
      <c r="BR30" s="31" t="n">
        <v>4.943595937484886</v>
      </c>
      <c r="BS30" s="7" t="n">
        <v>11.11754065035056</v>
      </c>
      <c r="BT30" s="7" t="n">
        <v>9.656303479657673</v>
      </c>
      <c r="BU30" s="8" t="n">
        <v>14.16584347546146</v>
      </c>
      <c r="BV30" s="9" t="n">
        <v>16.27642351580542</v>
      </c>
      <c r="BW30" s="31" t="n">
        <v>4.768382975407421</v>
      </c>
      <c r="BX30" s="7" t="n">
        <v>-13.41888632594713</v>
      </c>
      <c r="BY30" s="7" t="n">
        <v>-9.521873423340026</v>
      </c>
      <c r="BZ30" s="7" t="n">
        <v>-5.858324885775261</v>
      </c>
      <c r="CA30" s="7" t="n">
        <v>-27.16548165939331</v>
      </c>
      <c r="CB30" s="31" t="n">
        <v>-6.901438292634619</v>
      </c>
      <c r="CC30" s="7" t="n">
        <v>-11.61023413252935</v>
      </c>
      <c r="CD30" s="7" t="n">
        <v>-11.76439315601105</v>
      </c>
      <c r="CE30" s="8" t="n">
        <v>-17.75064290048231</v>
      </c>
    </row>
    <row r="31">
      <c r="A31" s="251" t="n">
        <v>40634</v>
      </c>
      <c r="B31" s="3" t="n">
        <v>1</v>
      </c>
      <c r="C31" s="6" t="n">
        <v>24.27376612473183</v>
      </c>
      <c r="D31" s="31" t="n">
        <v>-0.7514346264608243</v>
      </c>
      <c r="E31" s="7" t="n">
        <v>2.545545025817351</v>
      </c>
      <c r="F31" s="7" t="n">
        <v>0.9083685652273843</v>
      </c>
      <c r="G31" s="7" t="n">
        <v>2.147624374956344</v>
      </c>
      <c r="H31" s="9" t="n">
        <v>44.24515411227524</v>
      </c>
      <c r="I31" s="31" t="n">
        <v>6.061413459989602</v>
      </c>
      <c r="J31" s="7" t="n">
        <v>5.519532835108905</v>
      </c>
      <c r="K31" s="7" t="n">
        <v>6.227220503895218</v>
      </c>
      <c r="L31" s="7" t="n">
        <v>9.640381464189375</v>
      </c>
      <c r="M31" s="9" t="n">
        <v>6.308535917173003</v>
      </c>
      <c r="N31" s="7" t="n">
        <v>11.78301832870466</v>
      </c>
      <c r="O31" s="8" t="n">
        <v>19.0479663505486</v>
      </c>
      <c r="P31" s="7" t="n">
        <v>53.99999999999999</v>
      </c>
      <c r="Q31" s="31" t="n">
        <v>-11.95</v>
      </c>
      <c r="R31" s="7" t="n">
        <v>-19.6</v>
      </c>
      <c r="S31" s="7" t="n">
        <v>-16.31250000000001</v>
      </c>
      <c r="T31" s="7" t="n">
        <v>-12.26250000000001</v>
      </c>
      <c r="U31" s="9" t="n">
        <v>4.925371753259226</v>
      </c>
      <c r="V31" s="31" t="n">
        <v>-0.7309076510340882</v>
      </c>
      <c r="W31" s="7" t="n">
        <v>0.07944303205377778</v>
      </c>
      <c r="X31" s="7" t="n">
        <v>-0.3917132495156581</v>
      </c>
      <c r="Y31" s="7" t="n">
        <v>0.08572914570322521</v>
      </c>
      <c r="Z31" s="9" t="n">
        <v>12.53410226982608</v>
      </c>
      <c r="AA31" s="31" t="n">
        <v>0.952682110071926</v>
      </c>
      <c r="AB31" s="7" t="n">
        <v>1.085021070994938</v>
      </c>
      <c r="AC31" s="7" t="n">
        <v>1.018621518226004</v>
      </c>
      <c r="AD31" s="7" t="n">
        <v>1.849078218255235</v>
      </c>
      <c r="AE31" s="9" t="n">
        <v>12.85357115720763</v>
      </c>
      <c r="AF31" s="7" t="n">
        <v>14.68455622948898</v>
      </c>
      <c r="AG31" s="8" t="n">
        <v>19.15108169639507</v>
      </c>
      <c r="AH31" s="60" t="n">
        <v>1.336556590441343</v>
      </c>
      <c r="AI31" s="31" t="n">
        <v>0.6958585740340119</v>
      </c>
      <c r="AJ31" s="7" t="n">
        <v>0.3887624913069346</v>
      </c>
      <c r="AK31" s="7" t="n">
        <v>0.490866966157241</v>
      </c>
      <c r="AL31" s="7" t="n">
        <v>0.6089279207849577</v>
      </c>
      <c r="AM31" s="7" t="n">
        <v>-0.9187744291553264</v>
      </c>
      <c r="AN31" s="31" t="n">
        <v>-1.767613767235862</v>
      </c>
      <c r="AO31" s="7" t="n">
        <v>-1.005346144635796</v>
      </c>
      <c r="AP31" s="7" t="n">
        <v>-1.956809228056523</v>
      </c>
      <c r="AQ31" s="7" t="n">
        <v>-1.151065729155032</v>
      </c>
      <c r="AR31" s="7" t="n">
        <v>25.5388004906824</v>
      </c>
      <c r="AS31" s="31" t="n">
        <v>3.713388808109599</v>
      </c>
      <c r="AT31" s="7" t="n">
        <v>4.953691593438919</v>
      </c>
      <c r="AU31" s="7" t="n">
        <v>5.062941307959917</v>
      </c>
      <c r="AV31" s="8" t="n">
        <v>8.243075611833632</v>
      </c>
      <c r="AW31" s="7" t="n">
        <v>53.76120656252264</v>
      </c>
      <c r="AX31" s="31" t="n">
        <v>6.241009272800724</v>
      </c>
      <c r="AY31" s="7" t="n">
        <v>6.774300662355394</v>
      </c>
      <c r="AZ31" s="7" t="n">
        <v>7.20121678763239</v>
      </c>
      <c r="BA31" s="7" t="n">
        <v>11.32561571281773</v>
      </c>
      <c r="BB31" s="7" t="n">
        <v>224.288393415787</v>
      </c>
      <c r="BC31" s="31" t="n">
        <v>8.619298307547012</v>
      </c>
      <c r="BD31" s="7" t="n">
        <v>15.5711989407643</v>
      </c>
      <c r="BE31" s="7" t="n">
        <v>15.09338952989748</v>
      </c>
      <c r="BF31" s="7" t="n">
        <v>27.42901896791867</v>
      </c>
      <c r="BG31" s="7" t="n">
        <v>8.697726403716095</v>
      </c>
      <c r="BH31" s="31" t="n">
        <v>2.152844163550478</v>
      </c>
      <c r="BI31" s="7" t="n">
        <v>1.368657617859292</v>
      </c>
      <c r="BJ31" s="7" t="n">
        <v>2.048565359207944</v>
      </c>
      <c r="BK31" s="7" t="n">
        <v>2.084073294161953</v>
      </c>
      <c r="BL31" s="7" t="n">
        <v>14.3258759142409</v>
      </c>
      <c r="BM31" s="31" t="n">
        <v>3.194661787745479</v>
      </c>
      <c r="BN31" s="7" t="n">
        <v>0.7399948917060151</v>
      </c>
      <c r="BO31" s="7" t="n">
        <v>1.3285751952826</v>
      </c>
      <c r="BP31" s="7" t="n">
        <v>2.972563877122985</v>
      </c>
      <c r="BQ31" s="7" t="n">
        <v>49.5987246465803</v>
      </c>
      <c r="BR31" s="31" t="n">
        <v>5.909372986319028</v>
      </c>
      <c r="BS31" s="7" t="n">
        <v>9.576380863253306</v>
      </c>
      <c r="BT31" s="7" t="n">
        <v>7.476297166637217</v>
      </c>
      <c r="BU31" s="8" t="n">
        <v>12.94676695870588</v>
      </c>
      <c r="BV31" s="9" t="n">
        <v>16.54738634110897</v>
      </c>
      <c r="BW31" s="31" t="n">
        <v>13.20580971622291</v>
      </c>
      <c r="BX31" s="7" t="n">
        <v>-15.91096543268917</v>
      </c>
      <c r="BY31" s="7" t="n">
        <v>-5.896189016549684</v>
      </c>
      <c r="BZ31" s="7" t="n">
        <v>-6.390802168108539</v>
      </c>
      <c r="CA31" s="7" t="n">
        <v>-25.77649713332137</v>
      </c>
      <c r="CB31" s="31" t="n">
        <v>-4.432771032893132</v>
      </c>
      <c r="CC31" s="7" t="n">
        <v>-9.547248002223263</v>
      </c>
      <c r="CD31" s="7" t="n">
        <v>-7.472850096806766</v>
      </c>
      <c r="CE31" s="8" t="n">
        <v>-13.36767168091051</v>
      </c>
    </row>
    <row r="32">
      <c r="A32" s="251" t="n">
        <v>40725</v>
      </c>
      <c r="B32" s="3" t="n">
        <v>0</v>
      </c>
      <c r="C32" s="6" t="n">
        <v>25.27588328895408</v>
      </c>
      <c r="D32" s="31" t="n">
        <v>-0.01386841993456045</v>
      </c>
      <c r="E32" s="7" t="n">
        <v>2.564027373445846</v>
      </c>
      <c r="F32" s="7" t="n">
        <v>1.274099472995299</v>
      </c>
      <c r="G32" s="7" t="n">
        <v>2.916600260442856</v>
      </c>
      <c r="H32" s="9" t="n">
        <v>44.3845711325043</v>
      </c>
      <c r="I32" s="31" t="n">
        <v>5.167496833104956</v>
      </c>
      <c r="J32" s="7" t="n">
        <v>4.535951471066877</v>
      </c>
      <c r="K32" s="7" t="n">
        <v>4.986754315347049</v>
      </c>
      <c r="L32" s="7" t="n">
        <v>8.313066842239238</v>
      </c>
      <c r="M32" s="9" t="n">
        <v>2.352239740989035</v>
      </c>
      <c r="N32" s="7" t="n">
        <v>8.202884380679279</v>
      </c>
      <c r="O32" s="8" t="n">
        <v>16.06806455780554</v>
      </c>
      <c r="P32" s="7" t="n">
        <v>54.09999999999999</v>
      </c>
      <c r="Q32" s="31" t="n">
        <v>-3.450000000000003</v>
      </c>
      <c r="R32" s="7" t="n">
        <v>-16.05</v>
      </c>
      <c r="S32" s="7" t="n">
        <v>-11.3125</v>
      </c>
      <c r="T32" s="7" t="n">
        <v>-12.37916666666668</v>
      </c>
      <c r="U32" s="9" t="n">
        <v>4.87398837390606</v>
      </c>
      <c r="V32" s="31" t="n">
        <v>-0.5767679098902541</v>
      </c>
      <c r="W32" s="7" t="n">
        <v>-0.1475467338915304</v>
      </c>
      <c r="X32" s="7" t="n">
        <v>-0.4629573868822696</v>
      </c>
      <c r="Y32" s="7" t="n">
        <v>-0.07017074832583869</v>
      </c>
      <c r="Z32" s="9" t="n">
        <v>11.68872244723506</v>
      </c>
      <c r="AA32" s="31" t="n">
        <v>-0.29279711755275</v>
      </c>
      <c r="AB32" s="7" t="n">
        <v>0.5423031539324574</v>
      </c>
      <c r="AC32" s="7" t="n">
        <v>-0.09801357211375716</v>
      </c>
      <c r="AD32" s="7" t="n">
        <v>0.6500386915754159</v>
      </c>
      <c r="AE32" s="9" t="n">
        <v>-8.105547270150737</v>
      </c>
      <c r="AF32" s="7" t="n">
        <v>5.879011369310945</v>
      </c>
      <c r="AG32" s="8" t="n">
        <v>10.61086687888557</v>
      </c>
      <c r="AH32" s="60" t="n">
        <v>1.24614196939991</v>
      </c>
      <c r="AI32" s="31" t="n">
        <v>0.2338053406411902</v>
      </c>
      <c r="AJ32" s="7" t="n">
        <v>0.2795334113697895</v>
      </c>
      <c r="AK32" s="7" t="n">
        <v>0.3032617222890748</v>
      </c>
      <c r="AL32" s="7" t="n">
        <v>0.4487423706814109</v>
      </c>
      <c r="AM32" s="7" t="n">
        <v>-1.676752823234892</v>
      </c>
      <c r="AN32" s="31" t="n">
        <v>-3.2388748688494</v>
      </c>
      <c r="AO32" s="7" t="n">
        <v>-1.557745000877204</v>
      </c>
      <c r="AP32" s="7" t="n">
        <v>-2.46345108597714</v>
      </c>
      <c r="AQ32" s="7" t="n">
        <v>-1.95761517983538</v>
      </c>
      <c r="AR32" s="7" t="n">
        <v>25.57426337673626</v>
      </c>
      <c r="AS32" s="31" t="n">
        <v>3.679220489137936</v>
      </c>
      <c r="AT32" s="7" t="n">
        <v>3.817991385542047</v>
      </c>
      <c r="AU32" s="7" t="n">
        <v>3.859981295654048</v>
      </c>
      <c r="AV32" s="8" t="n">
        <v>6.986763321675433</v>
      </c>
      <c r="AW32" s="7" t="n">
        <v>52.60904987837351</v>
      </c>
      <c r="AX32" s="31" t="n">
        <v>3.290279305855698</v>
      </c>
      <c r="AY32" s="7" t="n">
        <v>5.130249420560688</v>
      </c>
      <c r="AZ32" s="7" t="n">
        <v>4.355484937894403</v>
      </c>
      <c r="BA32" s="7" t="n">
        <v>8.330493449324408</v>
      </c>
      <c r="BB32" s="7" t="n">
        <v>208.9453909681621</v>
      </c>
      <c r="BC32" s="31" t="n">
        <v>-8.300937292560292</v>
      </c>
      <c r="BD32" s="7" t="n">
        <v>2.959516359568624</v>
      </c>
      <c r="BE32" s="7" t="n">
        <v>-4.142412652918551</v>
      </c>
      <c r="BF32" s="7" t="n">
        <v>6.556109940560958</v>
      </c>
      <c r="BG32" s="7" t="n">
        <v>9.748427989381096</v>
      </c>
      <c r="BH32" s="31" t="n">
        <v>2.718109757498983</v>
      </c>
      <c r="BI32" s="7" t="n">
        <v>1.785293217870384</v>
      </c>
      <c r="BJ32" s="7" t="n">
        <v>2.757102540408122</v>
      </c>
      <c r="BK32" s="7" t="n">
        <v>2.982934055359468</v>
      </c>
      <c r="BL32" s="7" t="n">
        <v>10.85220803492486</v>
      </c>
      <c r="BM32" s="31" t="n">
        <v>-2.144846460199139</v>
      </c>
      <c r="BN32" s="7" t="n">
        <v>-0.7269113571201782</v>
      </c>
      <c r="BO32" s="7" t="n">
        <v>-2.330091406959934</v>
      </c>
      <c r="BP32" s="7" t="n">
        <v>-1.192852968689799</v>
      </c>
      <c r="BQ32" s="7" t="n">
        <v>50.41159990213649</v>
      </c>
      <c r="BR32" s="31" t="n">
        <v>5.51691932122754</v>
      </c>
      <c r="BS32" s="7" t="n">
        <v>7.407362214542314</v>
      </c>
      <c r="BT32" s="7" t="n">
        <v>5.89507720638008</v>
      </c>
      <c r="BU32" s="8" t="n">
        <v>11.85250125798779</v>
      </c>
      <c r="BV32" s="9" t="n">
        <v>7.509512917242437</v>
      </c>
      <c r="BW32" s="31" t="n">
        <v>0.7406636696009334</v>
      </c>
      <c r="BX32" s="7" t="n">
        <v>-17.6285179411436</v>
      </c>
      <c r="BY32" s="7" t="n">
        <v>-10.95632108224393</v>
      </c>
      <c r="BZ32" s="7" t="n">
        <v>-16.07361130613929</v>
      </c>
      <c r="CA32" s="7" t="n">
        <v>-24.00399188615912</v>
      </c>
      <c r="CB32" s="31" t="n">
        <v>-1.780920117988352</v>
      </c>
      <c r="CC32" s="7" t="n">
        <v>-6.81104188715002</v>
      </c>
      <c r="CD32" s="7" t="n">
        <v>-3.313532849088705</v>
      </c>
      <c r="CE32" s="8" t="n">
        <v>-9.009696883111536</v>
      </c>
    </row>
    <row r="33">
      <c r="A33" s="251" t="n">
        <v>40817</v>
      </c>
      <c r="B33" s="3" t="n">
        <v>0</v>
      </c>
      <c r="C33" s="6" t="n">
        <v>25.5476078881107</v>
      </c>
      <c r="D33" s="31" t="n">
        <v>-1.047385037781062</v>
      </c>
      <c r="E33" s="7" t="n">
        <v>1.864935597294421</v>
      </c>
      <c r="F33" s="7" t="n">
        <v>0.9048172287904563</v>
      </c>
      <c r="G33" s="7" t="n">
        <v>2.74432272537052</v>
      </c>
      <c r="H33" s="9" t="n">
        <v>44.70797170010903</v>
      </c>
      <c r="I33" s="31" t="n">
        <v>3.691745890885137</v>
      </c>
      <c r="J33" s="7" t="n">
        <v>3.828054993743589</v>
      </c>
      <c r="K33" s="7" t="n">
        <v>4.176167015185065</v>
      </c>
      <c r="L33" s="7" t="n">
        <v>7.141836036801621</v>
      </c>
      <c r="M33" s="9" t="n">
        <v>-15.27147464220161</v>
      </c>
      <c r="N33" s="7" t="n">
        <v>-0.3651178744984236</v>
      </c>
      <c r="O33" s="8" t="n">
        <v>9.205890013901884</v>
      </c>
      <c r="P33" s="7" t="n">
        <v>55.84999999999999</v>
      </c>
      <c r="Q33" s="31" t="n">
        <v>-3.049999999999997</v>
      </c>
      <c r="R33" s="7" t="n">
        <v>-8.5</v>
      </c>
      <c r="S33" s="7" t="n">
        <v>-5.550000000000004</v>
      </c>
      <c r="T33" s="7" t="n">
        <v>-11.00416666666666</v>
      </c>
      <c r="U33" s="9" t="n">
        <v>4.716089040558357</v>
      </c>
      <c r="V33" s="31" t="n">
        <v>-0.5354834088479956</v>
      </c>
      <c r="W33" s="7" t="n">
        <v>-0.3741883740505125</v>
      </c>
      <c r="X33" s="7" t="n">
        <v>-0.5839700367570897</v>
      </c>
      <c r="Y33" s="7" t="n">
        <v>-0.3287883605564854</v>
      </c>
      <c r="Z33" s="9" t="n">
        <v>10.05045074777458</v>
      </c>
      <c r="AA33" s="31" t="n">
        <v>-2.496142175849986</v>
      </c>
      <c r="AB33" s="7" t="n">
        <v>-0.4155721978148481</v>
      </c>
      <c r="AC33" s="7" t="n">
        <v>-1.87186106005735</v>
      </c>
      <c r="AD33" s="7" t="n">
        <v>-1.239344178277705</v>
      </c>
      <c r="AE33" s="9" t="n">
        <v>-33.48287757853427</v>
      </c>
      <c r="AF33" s="7" t="n">
        <v>-5.256536853517503</v>
      </c>
      <c r="AG33" s="8" t="n">
        <v>1.67656908039866</v>
      </c>
      <c r="AH33" s="60" t="n">
        <v>1.051675647856609</v>
      </c>
      <c r="AI33" s="31" t="n">
        <v>-0.2823762807739092</v>
      </c>
      <c r="AJ33" s="7" t="n">
        <v>0.2324028908073926</v>
      </c>
      <c r="AK33" s="7" t="n">
        <v>0.0389120479033267</v>
      </c>
      <c r="AL33" s="7" t="n">
        <v>0.1891599893164754</v>
      </c>
      <c r="AM33" s="7" t="n">
        <v>-2.686270832267408</v>
      </c>
      <c r="AN33" s="31" t="n">
        <v>-4.392167012204964</v>
      </c>
      <c r="AO33" s="7" t="n">
        <v>-1.286209257635617</v>
      </c>
      <c r="AP33" s="7" t="n">
        <v>-3.083532844790355</v>
      </c>
      <c r="AQ33" s="7" t="n">
        <v>-3.00636506480086</v>
      </c>
      <c r="AR33" s="7" t="n">
        <v>31.7800719135582</v>
      </c>
      <c r="AS33" s="31" t="n">
        <v>9.876051032372516</v>
      </c>
      <c r="AT33" s="7" t="n">
        <v>5.518630745879751</v>
      </c>
      <c r="AU33" s="7" t="n">
        <v>9.111291986090482</v>
      </c>
      <c r="AV33" s="8" t="n">
        <v>11.81830469795121</v>
      </c>
      <c r="AW33" s="7" t="n">
        <v>49.70652856890398</v>
      </c>
      <c r="AX33" s="31" t="n">
        <v>-1.507654373754711</v>
      </c>
      <c r="AY33" s="7" t="n">
        <v>2.931560891398842</v>
      </c>
      <c r="AZ33" s="7" t="n">
        <v>0.1704012732847033</v>
      </c>
      <c r="BA33" s="7" t="n">
        <v>3.769118839039656</v>
      </c>
      <c r="BB33" s="7" t="n">
        <v>185.4963612708339</v>
      </c>
      <c r="BC33" s="31" t="n">
        <v>-29.45939112313289</v>
      </c>
      <c r="BD33" s="7" t="n">
        <v>-7.920762344182918</v>
      </c>
      <c r="BE33" s="7" t="n">
        <v>-28.33132144013882</v>
      </c>
      <c r="BF33" s="7" t="n">
        <v>-20.34233913809626</v>
      </c>
      <c r="BG33" s="7" t="n">
        <v>8.133287747181523</v>
      </c>
      <c r="BH33" s="31" t="n">
        <v>0.8535381511832414</v>
      </c>
      <c r="BI33" s="7" t="n">
        <v>0.9198642497285876</v>
      </c>
      <c r="BJ33" s="7" t="n">
        <v>0.6956389937409533</v>
      </c>
      <c r="BK33" s="7" t="n">
        <v>1.149437356811309</v>
      </c>
      <c r="BL33" s="7" t="n">
        <v>7.96759815683839</v>
      </c>
      <c r="BM33" s="31" t="n">
        <v>-6.526847164571414</v>
      </c>
      <c r="BN33" s="7" t="n">
        <v>-2.249380938405561</v>
      </c>
      <c r="BO33" s="7" t="n">
        <v>-5.032973445766364</v>
      </c>
      <c r="BP33" s="7" t="n">
        <v>-4.39348756053611</v>
      </c>
      <c r="BQ33" s="7" t="n">
        <v>52.75046722710612</v>
      </c>
      <c r="BR33" s="31" t="n">
        <v>5.490439180446096</v>
      </c>
      <c r="BS33" s="7" t="n">
        <v>5.356520862529305</v>
      </c>
      <c r="BT33" s="7" t="n">
        <v>6.382103977714131</v>
      </c>
      <c r="BU33" s="8" t="n">
        <v>12.06795104777375</v>
      </c>
      <c r="BV33" s="9" t="n">
        <v>-5.485526727899946</v>
      </c>
      <c r="BW33" s="31" t="n">
        <v>-24.30988734384459</v>
      </c>
      <c r="BX33" s="7" t="n">
        <v>-18.58950651923832</v>
      </c>
      <c r="BY33" s="7" t="n">
        <v>-19.54423124210041</v>
      </c>
      <c r="BZ33" s="7" t="n">
        <v>-28.28747868917155</v>
      </c>
      <c r="CA33" s="7" t="n">
        <v>-17.12366167794664</v>
      </c>
      <c r="CB33" s="31" t="n">
        <v>6.527089909429748</v>
      </c>
      <c r="CC33" s="7" t="n">
        <v>-1.202734554345581</v>
      </c>
      <c r="CD33" s="7" t="n">
        <v>5.269557830911278</v>
      </c>
      <c r="CE33" s="8" t="n">
        <v>-0.1102087039364008</v>
      </c>
    </row>
    <row r="34">
      <c r="A34" s="251" t="n">
        <v>40909</v>
      </c>
      <c r="B34" s="3" t="n">
        <v>0</v>
      </c>
      <c r="C34" s="6" t="n">
        <v>24.5029592321522</v>
      </c>
      <c r="D34" s="31" t="n">
        <v>-1.285521804294103</v>
      </c>
      <c r="E34" s="7" t="n">
        <v>0.7132232436086898</v>
      </c>
      <c r="F34" s="7" t="n">
        <v>-0.6060653264916489</v>
      </c>
      <c r="G34" s="7" t="n">
        <v>1.109728249218126</v>
      </c>
      <c r="H34" s="9" t="n">
        <v>42.68535181055532</v>
      </c>
      <c r="I34" s="31" t="n">
        <v>0.738752726520751</v>
      </c>
      <c r="J34" s="7" t="n">
        <v>2.238070566754214</v>
      </c>
      <c r="K34" s="7" t="n">
        <v>1.196533377195465</v>
      </c>
      <c r="L34" s="7" t="n">
        <v>3.681031880313157</v>
      </c>
      <c r="M34" s="9" t="n">
        <v>-6.21400091399164</v>
      </c>
      <c r="N34" s="7" t="n">
        <v>1.39364505518256</v>
      </c>
      <c r="O34" s="8" t="n">
        <v>9.029693147881821</v>
      </c>
      <c r="P34" s="7" t="n">
        <v>52.34999999999999</v>
      </c>
      <c r="Q34" s="31" t="n">
        <v>-5.950000000000003</v>
      </c>
      <c r="R34" s="7" t="n">
        <v>-8.600000000000001</v>
      </c>
      <c r="S34" s="7" t="n">
        <v>-6.924999999999997</v>
      </c>
      <c r="T34" s="7" t="n">
        <v>-14.55833333333332</v>
      </c>
      <c r="U34" s="9" t="n">
        <v>4.255610824097054</v>
      </c>
      <c r="V34" s="31" t="n">
        <v>-0.8378458431588847</v>
      </c>
      <c r="W34" s="7" t="n">
        <v>-0.7144855369249652</v>
      </c>
      <c r="X34" s="7" t="n">
        <v>-0.9509011597057642</v>
      </c>
      <c r="Y34" s="7" t="n">
        <v>-0.8591111187249281</v>
      </c>
      <c r="Z34" s="9" t="n">
        <v>8.75515852279991</v>
      </c>
      <c r="AA34" s="31" t="n">
        <v>-4.156060741470217</v>
      </c>
      <c r="AB34" s="7" t="n">
        <v>-1.249082083476724</v>
      </c>
      <c r="AC34" s="7" t="n">
        <v>-3.063260235578307</v>
      </c>
      <c r="AD34" s="7" t="n">
        <v>-2.60193447247496</v>
      </c>
      <c r="AE34" s="9" t="n">
        <v>-42.65379390136604</v>
      </c>
      <c r="AF34" s="7" t="n">
        <v>-8.699352641472217</v>
      </c>
      <c r="AG34" s="8" t="n">
        <v>-0.3886260177155236</v>
      </c>
      <c r="AH34" s="60" t="n">
        <v>1.184083054612243</v>
      </c>
      <c r="AI34" s="31" t="n">
        <v>-0.1275423106710432</v>
      </c>
      <c r="AJ34" s="7" t="n">
        <v>0.2751273100744575</v>
      </c>
      <c r="AK34" s="7" t="n">
        <v>0.1132187319571125</v>
      </c>
      <c r="AL34" s="7" t="n">
        <v>0.2733343727607355</v>
      </c>
      <c r="AM34" s="7" t="n">
        <v>-3.149359359225029</v>
      </c>
      <c r="AN34" s="31" t="n">
        <v>-3.937219936475466</v>
      </c>
      <c r="AO34" s="7" t="n">
        <v>-2.06605844395598</v>
      </c>
      <c r="AP34" s="7" t="n">
        <v>-3.225069057339072</v>
      </c>
      <c r="AQ34" s="7" t="n">
        <v>-3.364508482875152</v>
      </c>
      <c r="AR34" s="7" t="n">
        <v>32.0028836441569</v>
      </c>
      <c r="AS34" s="31" t="n">
        <v>9.715689815406567</v>
      </c>
      <c r="AT34" s="7" t="n">
        <v>5.210093896869815</v>
      </c>
      <c r="AU34" s="7" t="n">
        <v>7.954446030219241</v>
      </c>
      <c r="AV34" s="8" t="n">
        <v>10.21813794971753</v>
      </c>
      <c r="AW34" s="7" t="n">
        <v>43.18432420133067</v>
      </c>
      <c r="AX34" s="31" t="n">
        <v>-8.93515550326503</v>
      </c>
      <c r="AY34" s="7" t="n">
        <v>-1.359200213563501</v>
      </c>
      <c r="AZ34" s="7" t="n">
        <v>-7.084693317138324</v>
      </c>
      <c r="BA34" s="7" t="n">
        <v>-4.065353837987693</v>
      </c>
      <c r="BB34" s="7" t="n">
        <v>155.9954397765957</v>
      </c>
      <c r="BC34" s="31" t="n">
        <v>-66.62564964079857</v>
      </c>
      <c r="BD34" s="7" t="n">
        <v>-24.78104319385709</v>
      </c>
      <c r="BE34" s="7" t="n">
        <v>-55.85205234833137</v>
      </c>
      <c r="BF34" s="7" t="n">
        <v>-50.79873261161467</v>
      </c>
      <c r="BG34" s="7" t="n">
        <v>6.80973933884138</v>
      </c>
      <c r="BH34" s="31" t="n">
        <v>-0.8151226868630852</v>
      </c>
      <c r="BI34" s="7" t="n">
        <v>0.264037522944419</v>
      </c>
      <c r="BJ34" s="7" t="n">
        <v>-0.8578754770313362</v>
      </c>
      <c r="BK34" s="7" t="n">
        <v>-0.3208821800574757</v>
      </c>
      <c r="BL34" s="7" t="n">
        <v>2.896252025833009</v>
      </c>
      <c r="BM34" s="31" t="n">
        <v>-14.05414672330032</v>
      </c>
      <c r="BN34" s="7" t="n">
        <v>-3.9453820600136</v>
      </c>
      <c r="BO34" s="7" t="n">
        <v>-9.541974342170354</v>
      </c>
      <c r="BP34" s="7" t="n">
        <v>-9.449142339463407</v>
      </c>
      <c r="BQ34" s="7" t="n">
        <v>55.69555450415387</v>
      </c>
      <c r="BR34" s="31" t="n">
        <v>6.696208707140748</v>
      </c>
      <c r="BS34" s="7" t="n">
        <v>5.819902322312817</v>
      </c>
      <c r="BT34" s="7" t="n">
        <v>7.988061039129555</v>
      </c>
      <c r="BU34" s="8" t="n">
        <v>12.65351482818056</v>
      </c>
      <c r="BV34" s="9" t="n">
        <v>-7.038302943513969</v>
      </c>
      <c r="BW34" s="31" t="n">
        <v>-23.31472645931938</v>
      </c>
      <c r="BX34" s="7" t="n">
        <v>-9.273171741955981</v>
      </c>
      <c r="BY34" s="7" t="n">
        <v>-16.44963082790485</v>
      </c>
      <c r="BZ34" s="7" t="n">
        <v>-27.14115057346567</v>
      </c>
      <c r="CA34" s="7" t="n">
        <v>-11.79108673344822</v>
      </c>
      <c r="CB34" s="31" t="n">
        <v>15.37439492594509</v>
      </c>
      <c r="CC34" s="7" t="n">
        <v>4.236478316655237</v>
      </c>
      <c r="CD34" s="7" t="n">
        <v>10.9028164139961</v>
      </c>
      <c r="CE34" s="8" t="n">
        <v>6.31544163187499</v>
      </c>
    </row>
    <row r="35">
      <c r="A35" s="251" t="n">
        <v>41000</v>
      </c>
      <c r="B35" s="3" t="n">
        <v>0</v>
      </c>
      <c r="C35" s="6" t="n">
        <v>23.58944141620644</v>
      </c>
      <c r="D35" s="31" t="n">
        <v>-0.6843247085253914</v>
      </c>
      <c r="E35" s="7" t="n">
        <v>-0.7178796674931078</v>
      </c>
      <c r="F35" s="7" t="n">
        <v>-1.697888953339582</v>
      </c>
      <c r="G35" s="7" t="n">
        <v>-0.287508334625592</v>
      </c>
      <c r="H35" s="9" t="n">
        <v>37.67554936527465</v>
      </c>
      <c r="I35" s="31" t="n">
        <v>-6.569604747000589</v>
      </c>
      <c r="J35" s="7" t="n">
        <v>-0.2540956435054937</v>
      </c>
      <c r="K35" s="7" t="n">
        <v>-4.37278670977377</v>
      </c>
      <c r="L35" s="7" t="n">
        <v>-2.338327103265691</v>
      </c>
      <c r="M35" s="9" t="n">
        <v>-16.1269330181874</v>
      </c>
      <c r="N35" s="7" t="n">
        <v>-4.909198550507199</v>
      </c>
      <c r="O35" s="8" t="n">
        <v>2.479701213073971</v>
      </c>
      <c r="P35" s="7" t="n">
        <v>48.55</v>
      </c>
      <c r="Q35" s="31" t="n">
        <v>-5.449999999999996</v>
      </c>
      <c r="R35" s="7" t="n">
        <v>-8.699999999999996</v>
      </c>
      <c r="S35" s="7" t="n">
        <v>-8.575000000000003</v>
      </c>
      <c r="T35" s="7" t="n">
        <v>-16.34999999999999</v>
      </c>
      <c r="U35" s="9" t="n">
        <v>3.600561370753359</v>
      </c>
      <c r="V35" s="31" t="n">
        <v>-1.324810382505867</v>
      </c>
      <c r="W35" s="7" t="n">
        <v>-1.027859016769978</v>
      </c>
      <c r="X35" s="7" t="n">
        <v>-1.427329228818218</v>
      </c>
      <c r="Y35" s="7" t="n">
        <v>-1.508416963748289</v>
      </c>
      <c r="Z35" s="9" t="n">
        <v>7.523000734518265</v>
      </c>
      <c r="AA35" s="31" t="n">
        <v>-5.011101535307819</v>
      </c>
      <c r="AB35" s="7" t="n">
        <v>-2.029209712617947</v>
      </c>
      <c r="AC35" s="7" t="n">
        <v>-3.983147502990771</v>
      </c>
      <c r="AD35" s="7" t="n">
        <v>-3.739689265518091</v>
      </c>
      <c r="AE35" s="9" t="n">
        <v>-36.97013975010771</v>
      </c>
      <c r="AF35" s="7" t="n">
        <v>-12.05828429645004</v>
      </c>
      <c r="AG35" s="8" t="n">
        <v>-2.533675763709918</v>
      </c>
      <c r="AH35" s="60" t="n">
        <v>1.461034366334508</v>
      </c>
      <c r="AI35" s="31" t="n">
        <v>0.1244777758931659</v>
      </c>
      <c r="AJ35" s="7" t="n">
        <v>0.4101681749635889</v>
      </c>
      <c r="AK35" s="7" t="n">
        <v>0.3213882161607633</v>
      </c>
      <c r="AL35" s="7" t="n">
        <v>0.4957031782859319</v>
      </c>
      <c r="AM35" s="7" t="n">
        <v>-2.237468684120761</v>
      </c>
      <c r="AN35" s="31" t="n">
        <v>-1.318694254965434</v>
      </c>
      <c r="AO35" s="7" t="n">
        <v>-1.543154011100648</v>
      </c>
      <c r="AP35" s="7" t="n">
        <v>-1.796663771245808</v>
      </c>
      <c r="AQ35" s="7" t="n">
        <v>-2.226895429731337</v>
      </c>
      <c r="AR35" s="7" t="n">
        <v>30.78196337864591</v>
      </c>
      <c r="AS35" s="31" t="n">
        <v>5.243162887963514</v>
      </c>
      <c r="AT35" s="7" t="n">
        <v>4.478275848036557</v>
      </c>
      <c r="AU35" s="7" t="n">
        <v>5.431002290490799</v>
      </c>
      <c r="AV35" s="8" t="n">
        <v>7.556722304736443</v>
      </c>
      <c r="AW35" s="7" t="n">
        <v>38.73113860143535</v>
      </c>
      <c r="AX35" s="31" t="n">
        <v>-15.03006796108729</v>
      </c>
      <c r="AY35" s="7" t="n">
        <v>-4.394529344143283</v>
      </c>
      <c r="AZ35" s="7" t="n">
        <v>-11.19807886364276</v>
      </c>
      <c r="BA35" s="7" t="n">
        <v>-8.913947016085729</v>
      </c>
      <c r="BB35" s="7" t="n">
        <v>151.8837975631546</v>
      </c>
      <c r="BC35" s="31" t="n">
        <v>-72.40459585263244</v>
      </c>
      <c r="BD35" s="7" t="n">
        <v>-31.89264877254271</v>
      </c>
      <c r="BE35" s="7" t="n">
        <v>-53.7684337633082</v>
      </c>
      <c r="BF35" s="7" t="n">
        <v>-52.14000381338664</v>
      </c>
      <c r="BG35" s="7" t="n">
        <v>6.537408118481871</v>
      </c>
      <c r="BH35" s="31" t="n">
        <v>-2.160318285234224</v>
      </c>
      <c r="BI35" s="7" t="n">
        <v>-0.003737060841872974</v>
      </c>
      <c r="BJ35" s="7" t="n">
        <v>-1.196216078126951</v>
      </c>
      <c r="BK35" s="7" t="n">
        <v>-0.6777977011169041</v>
      </c>
      <c r="BL35" s="7" t="n">
        <v>0.2913145880850236</v>
      </c>
      <c r="BM35" s="31" t="n">
        <v>-14.03456132615587</v>
      </c>
      <c r="BN35" s="7" t="n">
        <v>-5.419949769205196</v>
      </c>
      <c r="BO35" s="7" t="n">
        <v>-11.16056626491494</v>
      </c>
      <c r="BP35" s="7" t="n">
        <v>-11.3770470688736</v>
      </c>
      <c r="BQ35" s="7" t="n">
        <v>55.24732417823375</v>
      </c>
      <c r="BR35" s="31" t="n">
        <v>5.648599531653446</v>
      </c>
      <c r="BS35" s="7" t="n">
        <v>5.778986258986237</v>
      </c>
      <c r="BT35" s="7" t="n">
        <v>6.084855132631226</v>
      </c>
      <c r="BU35" s="8" t="n">
        <v>9.794343668273626</v>
      </c>
      <c r="BV35" s="9" t="n">
        <v>-7.431589858345558</v>
      </c>
      <c r="BW35" s="31" t="n">
        <v>-23.97897619945453</v>
      </c>
      <c r="BX35" s="7" t="n">
        <v>-5.386583241615808</v>
      </c>
      <c r="BY35" s="7" t="n">
        <v>-14.52462480724745</v>
      </c>
      <c r="BZ35" s="7" t="n">
        <v>-23.35506256236279</v>
      </c>
      <c r="CA35" s="7" t="n">
        <v>-11.81486381188325</v>
      </c>
      <c r="CB35" s="31" t="n">
        <v>13.96163332143811</v>
      </c>
      <c r="CC35" s="7" t="n">
        <v>4.764431144272491</v>
      </c>
      <c r="CD35" s="7" t="n">
        <v>9.819919756397255</v>
      </c>
      <c r="CE35" s="8" t="n">
        <v>6.945503998366092</v>
      </c>
    </row>
    <row r="36">
      <c r="A36" s="251" t="n">
        <v>41091</v>
      </c>
      <c r="B36" s="3" t="n">
        <v>0</v>
      </c>
      <c r="C36" s="6" t="n">
        <v>21.37994044597751</v>
      </c>
      <c r="D36" s="31" t="n">
        <v>-3.895942842976574</v>
      </c>
      <c r="E36" s="7" t="n">
        <v>-1.954905631455567</v>
      </c>
      <c r="F36" s="7" t="n">
        <v>-3.727920006695236</v>
      </c>
      <c r="G36" s="7" t="n">
        <v>-2.864239750113629</v>
      </c>
      <c r="H36" s="9" t="n">
        <v>36.22793158616851</v>
      </c>
      <c r="I36" s="31" t="n">
        <v>-8.156639546335789</v>
      </c>
      <c r="J36" s="7" t="n">
        <v>-1.494571356615417</v>
      </c>
      <c r="K36" s="7" t="n">
        <v>-5.756880578003532</v>
      </c>
      <c r="L36" s="7" t="n">
        <v>-4.1583999593066</v>
      </c>
      <c r="M36" s="9" t="n">
        <v>-1.457493498716303</v>
      </c>
      <c r="N36" s="7" t="n">
        <v>0.4473731211363656</v>
      </c>
      <c r="O36" s="8" t="n">
        <v>4.982758420880752</v>
      </c>
      <c r="P36" s="7" t="n">
        <v>52.39999999999999</v>
      </c>
      <c r="Q36" s="31" t="n">
        <v>-1.700000000000003</v>
      </c>
      <c r="R36" s="7" t="n">
        <v>-2.575000000000003</v>
      </c>
      <c r="S36" s="7" t="n">
        <v>-2.549999999999997</v>
      </c>
      <c r="T36" s="7" t="n">
        <v>-8.779166666666661</v>
      </c>
      <c r="U36" s="9" t="n">
        <v>3.175190776584346</v>
      </c>
      <c r="V36" s="31" t="n">
        <v>-1.698797597321714</v>
      </c>
      <c r="W36" s="7" t="n">
        <v>-1.137782753605984</v>
      </c>
      <c r="X36" s="7" t="n">
        <v>-1.595735068794737</v>
      </c>
      <c r="Y36" s="7" t="n">
        <v>-1.836627198050776</v>
      </c>
      <c r="Z36" s="9" t="n">
        <v>7.055832735576381</v>
      </c>
      <c r="AA36" s="31" t="n">
        <v>-4.632889711658677</v>
      </c>
      <c r="AB36" s="7" t="n">
        <v>-2.462843414605714</v>
      </c>
      <c r="AC36" s="7" t="n">
        <v>-3.943013073778168</v>
      </c>
      <c r="AD36" s="7" t="n">
        <v>-3.970102315016812</v>
      </c>
      <c r="AE36" s="9" t="n">
        <v>-22.01419259133286</v>
      </c>
      <c r="AF36" s="7" t="n">
        <v>-15.0598699307418</v>
      </c>
      <c r="AG36" s="8" t="n">
        <v>-3.418723284236989</v>
      </c>
      <c r="AH36" s="60" t="n">
        <v>1.578704087996807</v>
      </c>
      <c r="AI36" s="31" t="n">
        <v>0.3325621185968965</v>
      </c>
      <c r="AJ36" s="7" t="n">
        <v>0.2831837296190434</v>
      </c>
      <c r="AK36" s="7" t="n">
        <v>0.3365158940821642</v>
      </c>
      <c r="AL36" s="7" t="n">
        <v>0.538206003405977</v>
      </c>
      <c r="AM36" s="7" t="n">
        <v>-1.987373038656103</v>
      </c>
      <c r="AN36" s="31" t="n">
        <v>-0.3106202154212112</v>
      </c>
      <c r="AO36" s="7" t="n">
        <v>-1.774747542135305</v>
      </c>
      <c r="AP36" s="7" t="n">
        <v>-1.160779623005989</v>
      </c>
      <c r="AQ36" s="7" t="n">
        <v>-1.699350905580261</v>
      </c>
      <c r="AR36" s="7" t="n">
        <v>29.97518314915551</v>
      </c>
      <c r="AS36" s="31" t="n">
        <v>4.400919772419247</v>
      </c>
      <c r="AT36" s="7" t="n">
        <v>4.040070130778592</v>
      </c>
      <c r="AU36" s="7" t="n">
        <v>3.504653098991255</v>
      </c>
      <c r="AV36" s="8" t="n">
        <v>5.487396569009256</v>
      </c>
      <c r="AW36" s="7" t="n">
        <v>37.3699962925857</v>
      </c>
      <c r="AX36" s="31" t="n">
        <v>-15.23905358578781</v>
      </c>
      <c r="AY36" s="7" t="n">
        <v>-5.974387139966055</v>
      </c>
      <c r="AZ36" s="7" t="n">
        <v>-11.46058883645659</v>
      </c>
      <c r="BA36" s="7" t="n">
        <v>-10.151633771904</v>
      </c>
      <c r="BB36" s="7" t="n">
        <v>148.616547000074</v>
      </c>
      <c r="BC36" s="31" t="n">
        <v>-60.32884396808811</v>
      </c>
      <c r="BD36" s="7" t="n">
        <v>-34.3148906303242</v>
      </c>
      <c r="BE36" s="7" t="n">
        <v>-49.06252213325314</v>
      </c>
      <c r="BF36" s="7" t="n">
        <v>-51.96873787887529</v>
      </c>
      <c r="BG36" s="7" t="n">
        <v>6.60183116184952</v>
      </c>
      <c r="BH36" s="31" t="n">
        <v>-3.146596827531575</v>
      </c>
      <c r="BI36" s="7" t="n">
        <v>-0.2142435350162963</v>
      </c>
      <c r="BJ36" s="7" t="n">
        <v>-1.130858769548833</v>
      </c>
      <c r="BK36" s="7" t="n">
        <v>-0.6614577369562848</v>
      </c>
      <c r="BL36" s="7" t="n">
        <v>1.882583035681183</v>
      </c>
      <c r="BM36" s="31" t="n">
        <v>-8.969624999243681</v>
      </c>
      <c r="BN36" s="7" t="n">
        <v>-5.55723572972141</v>
      </c>
      <c r="BO36" s="7" t="n">
        <v>-8.214310375017483</v>
      </c>
      <c r="BP36" s="7" t="n">
        <v>-8.739564326048791</v>
      </c>
      <c r="BQ36" s="7" t="n">
        <v>53.85671845165326</v>
      </c>
      <c r="BR36" s="31" t="n">
        <v>3.445118549516771</v>
      </c>
      <c r="BS36" s="7" t="n">
        <v>4.481018935372155</v>
      </c>
      <c r="BT36" s="7" t="n">
        <v>3.249502841304185</v>
      </c>
      <c r="BU36" s="8" t="n">
        <v>6.33695783684648</v>
      </c>
      <c r="BV36" s="9" t="n">
        <v>10.01962530326456</v>
      </c>
      <c r="BW36" s="31" t="n">
        <v>2.510112386022127</v>
      </c>
      <c r="BX36" s="7" t="n">
        <v>1.62538802781153</v>
      </c>
      <c r="BY36" s="7" t="n">
        <v>4.273236164766627</v>
      </c>
      <c r="BZ36" s="7" t="n">
        <v>-1.253771812016591</v>
      </c>
      <c r="CA36" s="7" t="n">
        <v>-11.5197500127628</v>
      </c>
      <c r="CB36" s="31" t="n">
        <v>12.48424187339632</v>
      </c>
      <c r="CC36" s="7" t="n">
        <v>5.351660877703986</v>
      </c>
      <c r="CD36" s="7" t="n">
        <v>8.923925769449587</v>
      </c>
      <c r="CE36" s="8" t="n">
        <v>7.668356354403913</v>
      </c>
    </row>
    <row r="37">
      <c r="A37" s="251" t="n">
        <v>41183</v>
      </c>
      <c r="B37" s="3" t="n">
        <v>0</v>
      </c>
      <c r="C37" s="6" t="n">
        <v>20.89143215793817</v>
      </c>
      <c r="D37" s="31" t="n">
        <v>-4.656175730172528</v>
      </c>
      <c r="E37" s="7" t="n">
        <v>-2.851780383976795</v>
      </c>
      <c r="F37" s="7" t="n">
        <v>-3.72770188687068</v>
      </c>
      <c r="G37" s="7" t="n">
        <v>-3.455424030145895</v>
      </c>
      <c r="H37" s="9" t="n">
        <v>36.35205083090052</v>
      </c>
      <c r="I37" s="31" t="n">
        <v>-8.355920869208511</v>
      </c>
      <c r="J37" s="7" t="n">
        <v>-2.332087489161687</v>
      </c>
      <c r="K37" s="7" t="n">
        <v>-5.259118494117672</v>
      </c>
      <c r="L37" s="7" t="n">
        <v>-4.110552664224414</v>
      </c>
      <c r="M37" s="9" t="n">
        <v>1.405959876196903</v>
      </c>
      <c r="N37" s="7" t="n">
        <v>-6.932757383002354</v>
      </c>
      <c r="O37" s="8" t="n">
        <v>0.2252413757333519</v>
      </c>
      <c r="P37" s="7" t="n">
        <v>55.3</v>
      </c>
      <c r="Q37" s="31" t="n">
        <v>-0.5499999999999972</v>
      </c>
      <c r="R37" s="7" t="n">
        <v>-1.799999999999997</v>
      </c>
      <c r="S37" s="7" t="n">
        <v>0.9937499999999986</v>
      </c>
      <c r="T37" s="7" t="n">
        <v>-3.062499999999993</v>
      </c>
      <c r="U37" s="9" t="n">
        <v>2.993366817204727</v>
      </c>
      <c r="V37" s="31" t="n">
        <v>-1.72272222335363</v>
      </c>
      <c r="W37" s="7" t="n">
        <v>-1.129102816100813</v>
      </c>
      <c r="X37" s="7" t="n">
        <v>-1.49311333977286</v>
      </c>
      <c r="Y37" s="7" t="n">
        <v>-1.852293568671664</v>
      </c>
      <c r="Z37" s="9" t="n">
        <v>7.035208394849901</v>
      </c>
      <c r="AA37" s="31" t="n">
        <v>-3.015242352924677</v>
      </c>
      <c r="AB37" s="7" t="n">
        <v>-2.755692264387331</v>
      </c>
      <c r="AC37" s="7" t="n">
        <v>-3.347926560853219</v>
      </c>
      <c r="AD37" s="7" t="n">
        <v>-3.695036372093812</v>
      </c>
      <c r="AE37" s="9" t="n">
        <v>-0.8379522590172428</v>
      </c>
      <c r="AF37" s="7" t="n">
        <v>-17.16041491877576</v>
      </c>
      <c r="AG37" s="8" t="n">
        <v>-3.783675322017416</v>
      </c>
      <c r="AH37" s="60" t="n">
        <v>2.547455894942674</v>
      </c>
      <c r="AI37" s="31" t="n">
        <v>1.495780247086065</v>
      </c>
      <c r="AJ37" s="7" t="n">
        <v>0.6067019831560779</v>
      </c>
      <c r="AK37" s="7" t="n">
        <v>1.234471768623271</v>
      </c>
      <c r="AL37" s="7" t="n">
        <v>1.432655398573805</v>
      </c>
      <c r="AM37" s="7" t="n">
        <v>-0.6494950255680648</v>
      </c>
      <c r="AN37" s="31" t="n">
        <v>2.036775806699343</v>
      </c>
      <c r="AO37" s="7" t="n">
        <v>-1.17769560275281</v>
      </c>
      <c r="AP37" s="7" t="n">
        <v>0.6207852756158759</v>
      </c>
      <c r="AQ37" s="7" t="n">
        <v>-0.07596370772758765</v>
      </c>
      <c r="AR37" s="7" t="n">
        <v>28.75700291319295</v>
      </c>
      <c r="AS37" s="31" t="n">
        <v>-3.023069000365254</v>
      </c>
      <c r="AT37" s="7" t="n">
        <v>3.426491016003631</v>
      </c>
      <c r="AU37" s="7" t="n">
        <v>1.276455330334052</v>
      </c>
      <c r="AV37" s="8" t="n">
        <v>3.266141121088094</v>
      </c>
      <c r="AW37" s="7" t="n">
        <v>37.70916403630417</v>
      </c>
      <c r="AX37" s="31" t="n">
        <v>-11.99736453259981</v>
      </c>
      <c r="AY37" s="7" t="n">
        <v>-6.752509453177261</v>
      </c>
      <c r="AZ37" s="7" t="n">
        <v>-9.627824307746607</v>
      </c>
      <c r="BA37" s="7" t="n">
        <v>-9.397586466129987</v>
      </c>
      <c r="BB37" s="7" t="n">
        <v>148.8857644360851</v>
      </c>
      <c r="BC37" s="31" t="n">
        <v>-36.61059683474883</v>
      </c>
      <c r="BD37" s="7" t="n">
        <v>-33.03499397894086</v>
      </c>
      <c r="BE37" s="7" t="n">
        <v>-40.21458203966094</v>
      </c>
      <c r="BF37" s="7" t="n">
        <v>-47.16536950545159</v>
      </c>
      <c r="BG37" s="7" t="n">
        <v>6.782576201414509</v>
      </c>
      <c r="BH37" s="31" t="n">
        <v>-1.350711545767014</v>
      </c>
      <c r="BI37" s="7" t="n">
        <v>-0.2485866972918864</v>
      </c>
      <c r="BJ37" s="7" t="n">
        <v>-0.8965528462297705</v>
      </c>
      <c r="BK37" s="7" t="n">
        <v>-0.5160451647420619</v>
      </c>
      <c r="BL37" s="7" t="n">
        <v>2.838262754315101</v>
      </c>
      <c r="BM37" s="31" t="n">
        <v>-5.129335402523289</v>
      </c>
      <c r="BN37" s="7" t="n">
        <v>-5.828091283547352</v>
      </c>
      <c r="BO37" s="7" t="n">
        <v>-5.869321723953211</v>
      </c>
      <c r="BP37" s="7" t="n">
        <v>-6.915263964624536</v>
      </c>
      <c r="BQ37" s="7" t="n">
        <v>50.85454470375883</v>
      </c>
      <c r="BR37" s="31" t="n">
        <v>-1.895922523347288</v>
      </c>
      <c r="BS37" s="7" t="n">
        <v>1.797258328549404</v>
      </c>
      <c r="BT37" s="7" t="n">
        <v>-0.8729256404332801</v>
      </c>
      <c r="BU37" s="8" t="n">
        <v>1.813130507401915</v>
      </c>
      <c r="BV37" s="9" t="n">
        <v>9.040607286164644</v>
      </c>
      <c r="BW37" s="31" t="n">
        <v>14.52613401406459</v>
      </c>
      <c r="BX37" s="7" t="n">
        <v>-4.891876664889999</v>
      </c>
      <c r="BY37" s="7" t="n">
        <v>2.887871140713824</v>
      </c>
      <c r="BZ37" s="7" t="n">
        <v>0.4961204622389115</v>
      </c>
      <c r="CA37" s="7" t="n">
        <v>-15.19149511772581</v>
      </c>
      <c r="CB37" s="31" t="n">
        <v>1.932166560220834</v>
      </c>
      <c r="CC37" s="7" t="n">
        <v>4.229628234825291</v>
      </c>
      <c r="CD37" s="7" t="n">
        <v>3.914265445060581</v>
      </c>
      <c r="CE37" s="8" t="n">
        <v>4.09143140784955</v>
      </c>
    </row>
    <row r="38">
      <c r="A38" s="251" t="n">
        <v>41275</v>
      </c>
      <c r="B38" s="3" t="n">
        <v>0</v>
      </c>
      <c r="C38" s="6" t="n">
        <v>21.03426454681591</v>
      </c>
      <c r="D38" s="31" t="n">
        <v>-3.468694685336285</v>
      </c>
      <c r="E38" s="7" t="n">
        <v>-2.377108244815194</v>
      </c>
      <c r="F38" s="7" t="n">
        <v>-2.87192440199874</v>
      </c>
      <c r="G38" s="7" t="n">
        <v>-3.235399596636181</v>
      </c>
      <c r="H38" s="9" t="n">
        <v>36.53677967360355</v>
      </c>
      <c r="I38" s="31" t="n">
        <v>-6.148572136951778</v>
      </c>
      <c r="J38" s="7" t="n">
        <v>-2.704909705215513</v>
      </c>
      <c r="K38" s="7" t="n">
        <v>-4.491367779124225</v>
      </c>
      <c r="L38" s="7" t="n">
        <v>-3.867506248044613</v>
      </c>
      <c r="M38" s="9" t="n">
        <v>9.042357700993989</v>
      </c>
      <c r="N38" s="7" t="n">
        <v>1.414178393501174</v>
      </c>
      <c r="O38" s="8" t="n">
        <v>3.943215937119703</v>
      </c>
      <c r="P38" s="7" t="n">
        <v>69.3</v>
      </c>
      <c r="Q38" s="31" t="n">
        <v>16.95</v>
      </c>
      <c r="R38" s="7" t="n">
        <v>5.5</v>
      </c>
      <c r="S38" s="7" t="n">
        <v>15.44375000000001</v>
      </c>
      <c r="T38" s="7" t="n">
        <v>12.4</v>
      </c>
      <c r="U38" s="9" t="n">
        <v>3.017851639292155</v>
      </c>
      <c r="V38" s="31" t="n">
        <v>-1.237759184804899</v>
      </c>
      <c r="W38" s="7" t="n">
        <v>-1.037802513981892</v>
      </c>
      <c r="X38" s="7" t="n">
        <v>-1.186352813660227</v>
      </c>
      <c r="Y38" s="7" t="n">
        <v>-1.621883832296347</v>
      </c>
      <c r="Z38" s="9" t="n">
        <v>7.136837614285064</v>
      </c>
      <c r="AA38" s="31" t="n">
        <v>-1.618320908514845</v>
      </c>
      <c r="AB38" s="7" t="n">
        <v>-2.887190824992531</v>
      </c>
      <c r="AC38" s="7" t="n">
        <v>-2.557374275321224</v>
      </c>
      <c r="AD38" s="7" t="n">
        <v>-3.272874923612453</v>
      </c>
      <c r="AE38" s="9" t="n">
        <v>4.46403680258652</v>
      </c>
      <c r="AF38" s="7" t="n">
        <v>-19.09487854938976</v>
      </c>
      <c r="AG38" s="8" t="n">
        <v>-4.311556160119305</v>
      </c>
      <c r="AH38" s="60" t="n">
        <v>2.882770067715892</v>
      </c>
      <c r="AI38" s="31" t="n">
        <v>1.698687013103649</v>
      </c>
      <c r="AJ38" s="7" t="n">
        <v>0.7855723512163029</v>
      </c>
      <c r="AK38" s="7" t="n">
        <v>1.41811044560747</v>
      </c>
      <c r="AL38" s="7" t="n">
        <v>1.604587402288619</v>
      </c>
      <c r="AM38" s="7" t="n">
        <v>-0.5174018335799576</v>
      </c>
      <c r="AN38" s="31" t="n">
        <v>2.631957525645071</v>
      </c>
      <c r="AO38" s="7" t="n">
        <v>-0.6526312054151973</v>
      </c>
      <c r="AP38" s="7" t="n">
        <v>1.047302368292186</v>
      </c>
      <c r="AQ38" s="7" t="n">
        <v>0.1007663766415103</v>
      </c>
      <c r="AR38" s="7" t="n">
        <v>28.86312002230468</v>
      </c>
      <c r="AS38" s="31" t="n">
        <v>-3.139763621852218</v>
      </c>
      <c r="AT38" s="7" t="n">
        <v>3.287963096777174</v>
      </c>
      <c r="AU38" s="7" t="n">
        <v>0.5259496854448749</v>
      </c>
      <c r="AV38" s="8" t="n">
        <v>2.70440885591697</v>
      </c>
      <c r="AW38" s="7" t="n">
        <v>38.76760131979407</v>
      </c>
      <c r="AX38" s="31" t="n">
        <v>-4.416722881536593</v>
      </c>
      <c r="AY38" s="7" t="n">
        <v>-6.675939192400811</v>
      </c>
      <c r="AZ38" s="7" t="n">
        <v>-6.881259660962392</v>
      </c>
      <c r="BA38" s="7" t="n">
        <v>-7.827962286823251</v>
      </c>
      <c r="BB38" s="7" t="n">
        <v>152.2506875818713</v>
      </c>
      <c r="BC38" s="31" t="n">
        <v>-3.744752194724384</v>
      </c>
      <c r="BD38" s="7" t="n">
        <v>-35.18520091776148</v>
      </c>
      <c r="BE38" s="7" t="n">
        <v>-28.59091039913955</v>
      </c>
      <c r="BF38" s="7" t="n">
        <v>-39.42943623273919</v>
      </c>
      <c r="BG38" s="7" t="n">
        <v>6.802440193186283</v>
      </c>
      <c r="BH38" s="31" t="n">
        <v>-0.007299145655097483</v>
      </c>
      <c r="BI38" s="7" t="n">
        <v>-0.4112109162590913</v>
      </c>
      <c r="BJ38" s="7" t="n">
        <v>-0.8145421801350246</v>
      </c>
      <c r="BK38" s="7" t="n">
        <v>-0.5369325857778016</v>
      </c>
      <c r="BL38" s="7" t="n">
        <v>6.472318544331507</v>
      </c>
      <c r="BM38" s="31" t="n">
        <v>3.576066518498497</v>
      </c>
      <c r="BN38" s="7" t="n">
        <v>-5.23904010240091</v>
      </c>
      <c r="BO38" s="7" t="n">
        <v>-0.7782431130499674</v>
      </c>
      <c r="BP38" s="7" t="n">
        <v>-2.478866734663597</v>
      </c>
      <c r="BQ38" s="7" t="n">
        <v>49.4018584360421</v>
      </c>
      <c r="BR38" s="31" t="n">
        <v>-6.293696068111771</v>
      </c>
      <c r="BS38" s="7" t="n">
        <v>0.2012563195144885</v>
      </c>
      <c r="BT38" s="7" t="n">
        <v>-2.77492649028737</v>
      </c>
      <c r="BU38" s="8" t="n">
        <v>-0.3743156937907628</v>
      </c>
      <c r="BV38" s="9" t="n">
        <v>14.03439198019641</v>
      </c>
      <c r="BW38" s="31" t="n">
        <v>21.07269492371038</v>
      </c>
      <c r="BX38" s="7" t="n">
        <v>-1.121015767804503</v>
      </c>
      <c r="BY38" s="7" t="n">
        <v>9.104625000968088</v>
      </c>
      <c r="BZ38" s="7" t="n">
        <v>7.37764507497168</v>
      </c>
      <c r="CA38" s="7" t="n">
        <v>-16.64933968736782</v>
      </c>
      <c r="CB38" s="31" t="n">
        <v>-4.8582529539196</v>
      </c>
      <c r="CC38" s="7" t="n">
        <v>5.258070986012747</v>
      </c>
      <c r="CD38" s="7" t="n">
        <v>1.399013816712248</v>
      </c>
      <c r="CE38" s="8" t="n">
        <v>2.673028717246734</v>
      </c>
    </row>
    <row r="39">
      <c r="A39" s="251" t="n">
        <v>41365</v>
      </c>
      <c r="B39" s="3" t="n">
        <v>0</v>
      </c>
      <c r="C39" s="6" t="n">
        <v>21.07272507087648</v>
      </c>
      <c r="D39" s="31" t="n">
        <v>-2.516716345329961</v>
      </c>
      <c r="E39" s="7" t="n">
        <v>-1.600520526927676</v>
      </c>
      <c r="F39" s="7" t="n">
        <v>-2.239186816734378</v>
      </c>
      <c r="G39" s="7" t="n">
        <v>-3.026751722732371</v>
      </c>
      <c r="H39" s="9" t="n">
        <v>36.61391961100406</v>
      </c>
      <c r="I39" s="31" t="n">
        <v>-1.061629754270591</v>
      </c>
      <c r="J39" s="7" t="n">
        <v>-3.81561725063559</v>
      </c>
      <c r="K39" s="7" t="n">
        <v>-3.738000415419826</v>
      </c>
      <c r="L39" s="7" t="n">
        <v>-3.650997060357156</v>
      </c>
      <c r="M39" s="9" t="n">
        <v>10.89716936218247</v>
      </c>
      <c r="N39" s="7" t="n">
        <v>-2.614881828002467</v>
      </c>
      <c r="O39" s="8" t="n">
        <v>0.3595907537226897</v>
      </c>
      <c r="P39" s="7" t="n">
        <v>81.94999999999999</v>
      </c>
      <c r="Q39" s="31" t="n">
        <v>33.39999999999999</v>
      </c>
      <c r="R39" s="7" t="n">
        <v>13.975</v>
      </c>
      <c r="S39" s="7" t="n">
        <v>26.71874999999999</v>
      </c>
      <c r="T39" s="7" t="n">
        <v>25.07083333333333</v>
      </c>
      <c r="U39" s="9" t="n">
        <v>2.998452455431391</v>
      </c>
      <c r="V39" s="31" t="n">
        <v>-0.6021089153219679</v>
      </c>
      <c r="W39" s="7" t="n">
        <v>-0.9634596489139176</v>
      </c>
      <c r="X39" s="7" t="n">
        <v>-0.9463013690255195</v>
      </c>
      <c r="Y39" s="7" t="n">
        <v>-1.419055494602543</v>
      </c>
      <c r="Z39" s="9" t="n">
        <v>7.297138705584786</v>
      </c>
      <c r="AA39" s="31" t="n">
        <v>-0.225862028933479</v>
      </c>
      <c r="AB39" s="7" t="n">
        <v>-2.618481782120649</v>
      </c>
      <c r="AC39" s="7" t="n">
        <v>-1.67527547777337</v>
      </c>
      <c r="AD39" s="7" t="n">
        <v>-2.76953340935704</v>
      </c>
      <c r="AE39" s="9" t="n">
        <v>10.934345719779</v>
      </c>
      <c r="AF39" s="7" t="n">
        <v>-13.01789701516435</v>
      </c>
      <c r="AG39" s="8" t="n">
        <v>-4.394074291040359</v>
      </c>
      <c r="AH39" s="60" t="n">
        <v>3.240908248888255</v>
      </c>
      <c r="AI39" s="31" t="n">
        <v>1.779873882553747</v>
      </c>
      <c r="AJ39" s="7" t="n">
        <v>0.9521758292234562</v>
      </c>
      <c r="AK39" s="7" t="n">
        <v>1.579855538975757</v>
      </c>
      <c r="AL39" s="7" t="n">
        <v>1.775313780689935</v>
      </c>
      <c r="AM39" s="7" t="n">
        <v>-0.7089169837653567</v>
      </c>
      <c r="AN39" s="31" t="n">
        <v>1.528551700355404</v>
      </c>
      <c r="AO39" s="7" t="n">
        <v>0.1049287226949848</v>
      </c>
      <c r="AP39" s="7" t="n">
        <v>1.018945019460586</v>
      </c>
      <c r="AQ39" s="7" t="n">
        <v>0.0342645066450189</v>
      </c>
      <c r="AR39" s="7" t="n">
        <v>28.73858065014335</v>
      </c>
      <c r="AS39" s="31" t="n">
        <v>-2.043382728502564</v>
      </c>
      <c r="AT39" s="7" t="n">
        <v>1.599890079730475</v>
      </c>
      <c r="AU39" s="7" t="n">
        <v>-0.4205804609107524</v>
      </c>
      <c r="AV39" s="8" t="n">
        <v>1.973167469431683</v>
      </c>
      <c r="AW39" s="7" t="n">
        <v>39.72766199896496</v>
      </c>
      <c r="AX39" s="31" t="n">
        <v>0.9965233975296073</v>
      </c>
      <c r="AY39" s="7" t="n">
        <v>-7.016772281778842</v>
      </c>
      <c r="AZ39" s="7" t="n">
        <v>-4.252214183691301</v>
      </c>
      <c r="BA39" s="7" t="n">
        <v>-6.273307998597055</v>
      </c>
      <c r="BB39" s="7" t="n">
        <v>157.7954574133666</v>
      </c>
      <c r="BC39" s="31" t="n">
        <v>5.911659850212061</v>
      </c>
      <c r="BD39" s="7" t="n">
        <v>-33.24646800121019</v>
      </c>
      <c r="BE39" s="7" t="n">
        <v>-14.2498403382038</v>
      </c>
      <c r="BF39" s="7" t="n">
        <v>-29.44242985270728</v>
      </c>
      <c r="BG39" s="7" t="n">
        <v>6.744216400120724</v>
      </c>
      <c r="BH39" s="31" t="n">
        <v>0.2068082816388532</v>
      </c>
      <c r="BI39" s="7" t="n">
        <v>-0.9767550017976854</v>
      </c>
      <c r="BJ39" s="7" t="n">
        <v>-0.7699632441358109</v>
      </c>
      <c r="BK39" s="7" t="n">
        <v>-0.6385543705295058</v>
      </c>
      <c r="BL39" s="7" t="n">
        <v>8.602433488951819</v>
      </c>
      <c r="BM39" s="31" t="n">
        <v>8.311118900866795</v>
      </c>
      <c r="BN39" s="7" t="n">
        <v>-2.861721212644539</v>
      </c>
      <c r="BO39" s="7" t="n">
        <v>2.661631857170573</v>
      </c>
      <c r="BP39" s="7" t="n">
        <v>0.0108063434174408</v>
      </c>
      <c r="BQ39" s="7" t="n">
        <v>48.9929015287435</v>
      </c>
      <c r="BR39" s="31" t="n">
        <v>-6.254422649490245</v>
      </c>
      <c r="BS39" s="7" t="n">
        <v>-0.3029115589183995</v>
      </c>
      <c r="BT39" s="7" t="n">
        <v>-3.234197477464591</v>
      </c>
      <c r="BU39" s="8" t="n">
        <v>-1.228781649132181</v>
      </c>
      <c r="BV39" s="9" t="n">
        <v>11.7831789121872</v>
      </c>
      <c r="BW39" s="31" t="n">
        <v>19.21476877053276</v>
      </c>
      <c r="BX39" s="7" t="n">
        <v>-2.382103714460884</v>
      </c>
      <c r="BY39" s="7" t="n">
        <v>7.13366587491001</v>
      </c>
      <c r="BZ39" s="7" t="n">
        <v>4.915902720312606</v>
      </c>
      <c r="CA39" s="7" t="n">
        <v>-14.14635700867979</v>
      </c>
      <c r="CB39" s="31" t="n">
        <v>-2.331493196796533</v>
      </c>
      <c r="CC39" s="7" t="n">
        <v>5.815070062320791</v>
      </c>
      <c r="CD39" s="7" t="n">
        <v>2.587478748897095</v>
      </c>
      <c r="CE39" s="8" t="n">
        <v>4.87478608931886</v>
      </c>
    </row>
    <row r="40">
      <c r="A40" s="251" t="n">
        <v>41456</v>
      </c>
      <c r="B40" s="3" t="n">
        <v>0</v>
      </c>
      <c r="C40" s="6" t="n">
        <v>20.46674574540841</v>
      </c>
      <c r="D40" s="31" t="n">
        <v>-0.9131947005691003</v>
      </c>
      <c r="E40" s="7" t="n">
        <v>-2.404568771772837</v>
      </c>
      <c r="F40" s="7" t="n">
        <v>-2.445036010470528</v>
      </c>
      <c r="G40" s="7" t="n">
        <v>-3.303358074840759</v>
      </c>
      <c r="H40" s="9" t="n">
        <v>37.08099051413862</v>
      </c>
      <c r="I40" s="31" t="n">
        <v>0.8530589279701104</v>
      </c>
      <c r="J40" s="7" t="n">
        <v>-3.651790309182839</v>
      </c>
      <c r="K40" s="7" t="n">
        <v>-2.317025199626372</v>
      </c>
      <c r="L40" s="7" t="n">
        <v>-3.053107737115802</v>
      </c>
      <c r="M40" s="9" t="n">
        <v>5.689234382595941</v>
      </c>
      <c r="N40" s="7" t="n">
        <v>2.115870441939819</v>
      </c>
      <c r="O40" s="8" t="n">
        <v>2.194660208289557</v>
      </c>
      <c r="P40" s="7" t="n">
        <v>78.15000000000001</v>
      </c>
      <c r="Q40" s="31" t="n">
        <v>25.75000000000001</v>
      </c>
      <c r="R40" s="7" t="n">
        <v>12.02500000000001</v>
      </c>
      <c r="S40" s="7" t="n">
        <v>19.42500000000001</v>
      </c>
      <c r="T40" s="7" t="n">
        <v>19.93750000000001</v>
      </c>
      <c r="U40" s="9" t="n">
        <v>3.042375703984368</v>
      </c>
      <c r="V40" s="31" t="n">
        <v>-0.1328150725999775</v>
      </c>
      <c r="W40" s="7" t="n">
        <v>-0.9158063349608456</v>
      </c>
      <c r="X40" s="7" t="n">
        <v>-0.6615132082440627</v>
      </c>
      <c r="Y40" s="7" t="n">
        <v>-1.153646666977738</v>
      </c>
      <c r="Z40" s="9" t="n">
        <v>7.505767576198304</v>
      </c>
      <c r="AA40" s="31" t="n">
        <v>0.449934840621923</v>
      </c>
      <c r="AB40" s="7" t="n">
        <v>-2.091477435518377</v>
      </c>
      <c r="AC40" s="7" t="n">
        <v>-0.8120261616296887</v>
      </c>
      <c r="AD40" s="7" t="n">
        <v>-2.203881084229407</v>
      </c>
      <c r="AE40" s="9" t="n">
        <v>16.20544233345368</v>
      </c>
      <c r="AF40" s="7" t="n">
        <v>-2.904375128939591</v>
      </c>
      <c r="AG40" s="8" t="n">
        <v>-4.638099176009973</v>
      </c>
      <c r="AH40" s="60" t="n">
        <v>3.559365852997352</v>
      </c>
      <c r="AI40" s="31" t="n">
        <v>1.980661765000545</v>
      </c>
      <c r="AJ40" s="7" t="n">
        <v>1.156611941798721</v>
      </c>
      <c r="AK40" s="7" t="n">
        <v>1.660269185778989</v>
      </c>
      <c r="AL40" s="7" t="n">
        <v>1.877087198758954</v>
      </c>
      <c r="AM40" s="7" t="n">
        <v>-0.4145512153901439</v>
      </c>
      <c r="AN40" s="31" t="n">
        <v>1.57282182326596</v>
      </c>
      <c r="AO40" s="7" t="n">
        <v>0.6311008039223742</v>
      </c>
      <c r="AP40" s="7" t="n">
        <v>1.287078607162053</v>
      </c>
      <c r="AQ40" s="7" t="n">
        <v>0.4584433018407226</v>
      </c>
      <c r="AR40" s="7" t="n">
        <v>28.34493090139981</v>
      </c>
      <c r="AS40" s="31" t="n">
        <v>-1.630252247755692</v>
      </c>
      <c r="AT40" s="7" t="n">
        <v>1.385333762331777</v>
      </c>
      <c r="AU40" s="7" t="n">
        <v>-1.214202729586908</v>
      </c>
      <c r="AV40" s="8" t="n">
        <v>1.003420306723935</v>
      </c>
      <c r="AW40" s="7" t="n">
        <v>40.23175799621585</v>
      </c>
      <c r="AX40" s="31" t="n">
        <v>2.861761703630151</v>
      </c>
      <c r="AY40" s="7" t="n">
        <v>-6.188645941078828</v>
      </c>
      <c r="AZ40" s="7" t="n">
        <v>-1.993925115995701</v>
      </c>
      <c r="BA40" s="7" t="n">
        <v>-5.119834060449747</v>
      </c>
      <c r="BB40" s="7" t="n">
        <v>163.1521276304707</v>
      </c>
      <c r="BC40" s="31" t="n">
        <v>14.53558063039679</v>
      </c>
      <c r="BD40" s="7" t="n">
        <v>-22.89663166884566</v>
      </c>
      <c r="BE40" s="7" t="n">
        <v>-0.5815531207971674</v>
      </c>
      <c r="BF40" s="7" t="n">
        <v>-19.26295649436375</v>
      </c>
      <c r="BG40" s="7" t="n">
        <v>6.887061099955474</v>
      </c>
      <c r="BH40" s="31" t="n">
        <v>0.285229938105954</v>
      </c>
      <c r="BI40" s="7" t="n">
        <v>-1.430683444712811</v>
      </c>
      <c r="BJ40" s="7" t="n">
        <v>-0.3829297938516394</v>
      </c>
      <c r="BK40" s="7" t="n">
        <v>-0.5123208506910144</v>
      </c>
      <c r="BL40" s="7" t="n">
        <v>9.829519588556165</v>
      </c>
      <c r="BM40" s="31" t="n">
        <v>7.946936552874982</v>
      </c>
      <c r="BN40" s="7" t="n">
        <v>-0.5113442231843495</v>
      </c>
      <c r="BO40" s="7" t="n">
        <v>4.604148259936053</v>
      </c>
      <c r="BP40" s="7" t="n">
        <v>1.448624162817087</v>
      </c>
      <c r="BQ40" s="7" t="n">
        <v>48.99650173756899</v>
      </c>
      <c r="BR40" s="31" t="n">
        <v>-4.860216714084274</v>
      </c>
      <c r="BS40" s="7" t="n">
        <v>-0.7075490822837516</v>
      </c>
      <c r="BT40" s="7" t="n">
        <v>-3.154869378909495</v>
      </c>
      <c r="BU40" s="8" t="n">
        <v>-1.667143929346871</v>
      </c>
      <c r="BV40" s="9" t="n">
        <v>2.28138404207494</v>
      </c>
      <c r="BW40" s="31" t="n">
        <v>-7.738241261189623</v>
      </c>
      <c r="BX40" s="7" t="n">
        <v>-2.614064437583748</v>
      </c>
      <c r="BY40" s="7" t="n">
        <v>-1.772603066587033</v>
      </c>
      <c r="BZ40" s="7" t="n">
        <v>-5.289359007074753</v>
      </c>
      <c r="CA40" s="7" t="n">
        <v>-8.047317852051588</v>
      </c>
      <c r="CB40" s="31" t="n">
        <v>3.472432160711213</v>
      </c>
      <c r="CC40" s="7" t="n">
        <v>7.978337017053768</v>
      </c>
      <c r="CD40" s="7" t="n">
        <v>7.232750389945094</v>
      </c>
      <c r="CE40" s="8" t="n">
        <v>10.37404448830135</v>
      </c>
    </row>
    <row r="41">
      <c r="A41" s="251" t="n">
        <v>41548</v>
      </c>
      <c r="B41" s="3" t="n">
        <v>0</v>
      </c>
      <c r="C41" s="6" t="n">
        <v>20.06200513045447</v>
      </c>
      <c r="D41" s="31" t="n">
        <v>-0.8294270274836997</v>
      </c>
      <c r="E41" s="7" t="n">
        <v>-2.742801378828114</v>
      </c>
      <c r="F41" s="7" t="n">
        <v>-2.248634432481257</v>
      </c>
      <c r="G41" s="7" t="n">
        <v>-3.306181526171343</v>
      </c>
      <c r="H41" s="9" t="n">
        <v>38.6537486552749</v>
      </c>
      <c r="I41" s="31" t="n">
        <v>2.301697824374372</v>
      </c>
      <c r="J41" s="7" t="n">
        <v>-3.027111522417069</v>
      </c>
      <c r="K41" s="7" t="n">
        <v>0.1686805188056155</v>
      </c>
      <c r="L41" s="7" t="n">
        <v>-1.302342613874458</v>
      </c>
      <c r="M41" s="9" t="n">
        <v>8.830811716191192</v>
      </c>
      <c r="N41" s="7" t="n">
        <v>5.118385796194048</v>
      </c>
      <c r="O41" s="8" t="n">
        <v>-1.678234349937838</v>
      </c>
      <c r="P41" s="7" t="n">
        <v>74.5</v>
      </c>
      <c r="Q41" s="31" t="n">
        <v>19.2</v>
      </c>
      <c r="R41" s="7" t="n">
        <v>9.325000000000003</v>
      </c>
      <c r="S41" s="7" t="n">
        <v>12.76875000000001</v>
      </c>
      <c r="T41" s="7" t="n">
        <v>14.57083333333333</v>
      </c>
      <c r="U41" s="9" t="n">
        <v>3.274730261186386</v>
      </c>
      <c r="V41" s="31" t="n">
        <v>0.2813634439816597</v>
      </c>
      <c r="W41" s="7" t="n">
        <v>-0.7206793896859853</v>
      </c>
      <c r="X41" s="7" t="n">
        <v>-0.2002070673018332</v>
      </c>
      <c r="Y41" s="7" t="n">
        <v>-0.7205937281247246</v>
      </c>
      <c r="Z41" s="9" t="n">
        <v>7.793509736636306</v>
      </c>
      <c r="AA41" s="31" t="n">
        <v>0.7583013417864048</v>
      </c>
      <c r="AB41" s="7" t="n">
        <v>-1.128470505569136</v>
      </c>
      <c r="AC41" s="7" t="n">
        <v>-0.001414642312092873</v>
      </c>
      <c r="AD41" s="7" t="n">
        <v>-1.543159591408946</v>
      </c>
      <c r="AE41" s="9" t="n">
        <v>15.96906068462386</v>
      </c>
      <c r="AF41" s="7" t="n">
        <v>7.565554212803306</v>
      </c>
      <c r="AG41" s="8" t="n">
        <v>-6.117256384309219</v>
      </c>
      <c r="AH41" s="60" t="n">
        <v>3.291500107797311</v>
      </c>
      <c r="AI41" s="31" t="n">
        <v>0.7440442128546363</v>
      </c>
      <c r="AJ41" s="7" t="n">
        <v>1.119912229970351</v>
      </c>
      <c r="AK41" s="7" t="n">
        <v>1.103250455129268</v>
      </c>
      <c r="AL41" s="7" t="n">
        <v>1.396969018205694</v>
      </c>
      <c r="AM41" s="7" t="n">
        <v>0.1441028827093387</v>
      </c>
      <c r="AN41" s="31" t="n">
        <v>0.7935979082774036</v>
      </c>
      <c r="AO41" s="7" t="n">
        <v>1.415186857488373</v>
      </c>
      <c r="AP41" s="7" t="n">
        <v>1.687957504280942</v>
      </c>
      <c r="AQ41" s="7" t="n">
        <v>1.181820171690593</v>
      </c>
      <c r="AR41" s="7" t="n">
        <v>28.38565550746672</v>
      </c>
      <c r="AS41" s="31" t="n">
        <v>-0.3713474057262331</v>
      </c>
      <c r="AT41" s="7" t="n">
        <v>-1.697208203045744</v>
      </c>
      <c r="AU41" s="7" t="n">
        <v>-1.519811564102948</v>
      </c>
      <c r="AV41" s="8" t="n">
        <v>0.5066542449740474</v>
      </c>
      <c r="AW41" s="7" t="n">
        <v>40.87759337256104</v>
      </c>
      <c r="AX41" s="31" t="n">
        <v>3.168429336256864</v>
      </c>
      <c r="AY41" s="7" t="n">
        <v>-4.414467598171473</v>
      </c>
      <c r="AZ41" s="7" t="n">
        <v>0.1990717456191931</v>
      </c>
      <c r="BA41" s="7" t="n">
        <v>-3.716747636079404</v>
      </c>
      <c r="BB41" s="7" t="n">
        <v>163.6301026182128</v>
      </c>
      <c r="BC41" s="31" t="n">
        <v>14.74433818212768</v>
      </c>
      <c r="BD41" s="7" t="n">
        <v>-10.93312932631058</v>
      </c>
      <c r="BE41" s="7" t="n">
        <v>5.620579784156291</v>
      </c>
      <c r="BF41" s="7" t="n">
        <v>-14.27713145410073</v>
      </c>
      <c r="BG41" s="7" t="n">
        <v>7.041241648792762</v>
      </c>
      <c r="BH41" s="31" t="n">
        <v>0.2586654473782533</v>
      </c>
      <c r="BI41" s="7" t="n">
        <v>-0.5460230491943805</v>
      </c>
      <c r="BJ41" s="7" t="n">
        <v>0.1289216161638516</v>
      </c>
      <c r="BK41" s="7" t="n">
        <v>-0.346202207526507</v>
      </c>
      <c r="BL41" s="7" t="n">
        <v>10.03738414899641</v>
      </c>
      <c r="BM41" s="31" t="n">
        <v>7.199121394681312</v>
      </c>
      <c r="BN41" s="7" t="n">
        <v>1.034892996079011</v>
      </c>
      <c r="BO41" s="7" t="n">
        <v>4.939848876172388</v>
      </c>
      <c r="BP41" s="7" t="n">
        <v>1.920449965471322</v>
      </c>
      <c r="BQ41" s="7" t="n">
        <v>50.88076870242263</v>
      </c>
      <c r="BR41" s="31" t="n">
        <v>0.0262239986637951</v>
      </c>
      <c r="BS41" s="7" t="n">
        <v>-0.9348492623417464</v>
      </c>
      <c r="BT41" s="7" t="n">
        <v>-1.093715143484928</v>
      </c>
      <c r="BU41" s="8" t="n">
        <v>-0.1246953942149034</v>
      </c>
      <c r="BV41" s="9" t="n">
        <v>1.734686178520233</v>
      </c>
      <c r="BW41" s="31" t="n">
        <v>-7.30592110764441</v>
      </c>
      <c r="BX41" s="7" t="n">
        <v>3.610106453210089</v>
      </c>
      <c r="BY41" s="7" t="n">
        <v>-1.665784820745802</v>
      </c>
      <c r="BZ41" s="7" t="n">
        <v>-5.462101436832245</v>
      </c>
      <c r="CA41" s="7" t="n">
        <v>-2.153066594922421</v>
      </c>
      <c r="CB41" s="31" t="n">
        <v>13.03842852280339</v>
      </c>
      <c r="CC41" s="7" t="n">
        <v>7.485297541512111</v>
      </c>
      <c r="CD41" s="7" t="n">
        <v>11.13241739281082</v>
      </c>
      <c r="CE41" s="8" t="n">
        <v>15.08698291908726</v>
      </c>
    </row>
    <row r="42">
      <c r="A42" s="251" t="n">
        <v>41640</v>
      </c>
      <c r="B42" s="3" t="n">
        <v>0</v>
      </c>
      <c r="C42" s="6" t="n">
        <v>20.77980404070112</v>
      </c>
      <c r="D42" s="31" t="n">
        <v>-0.2544605061147962</v>
      </c>
      <c r="E42" s="7" t="n">
        <v>-1.86157759572554</v>
      </c>
      <c r="F42" s="7" t="n">
        <v>-0.845135177527581</v>
      </c>
      <c r="G42" s="7" t="n">
        <v>-2.043966966304925</v>
      </c>
      <c r="H42" s="9" t="n">
        <v>39.34518980372952</v>
      </c>
      <c r="I42" s="31" t="n">
        <v>2.808410130125971</v>
      </c>
      <c r="J42" s="7" t="n">
        <v>-1.670081003412903</v>
      </c>
      <c r="K42" s="7" t="n">
        <v>1.616899547864499</v>
      </c>
      <c r="L42" s="7" t="n">
        <v>-0.4140283692574229</v>
      </c>
      <c r="M42" s="9" t="n">
        <v>8.12832334604991</v>
      </c>
      <c r="N42" s="7" t="n">
        <v>8.58534052352195</v>
      </c>
      <c r="O42" s="8" t="n">
        <v>3.65222671101742</v>
      </c>
      <c r="P42" s="7" t="n">
        <v>77.59999999999999</v>
      </c>
      <c r="Q42" s="31" t="n">
        <v>8.299999999999997</v>
      </c>
      <c r="R42" s="7" t="n">
        <v>12.625</v>
      </c>
      <c r="S42" s="7" t="n">
        <v>13.53749999999999</v>
      </c>
      <c r="T42" s="7" t="n">
        <v>16.37083333333333</v>
      </c>
      <c r="U42" s="9" t="n">
        <v>3.511097125753681</v>
      </c>
      <c r="V42" s="31" t="n">
        <v>0.4932454864615257</v>
      </c>
      <c r="W42" s="7" t="n">
        <v>-0.3722568491716867</v>
      </c>
      <c r="X42" s="7" t="n">
        <v>0.216329644686958</v>
      </c>
      <c r="Y42" s="7" t="n">
        <v>-0.3194900145390998</v>
      </c>
      <c r="Z42" s="9" t="n">
        <v>7.812808308953606</v>
      </c>
      <c r="AA42" s="31" t="n">
        <v>0.6759706946685418</v>
      </c>
      <c r="AB42" s="7" t="n">
        <v>-0.4711751069231518</v>
      </c>
      <c r="AC42" s="7" t="n">
        <v>0.3000015563974916</v>
      </c>
      <c r="AD42" s="7" t="n">
        <v>-1.12777075350929</v>
      </c>
      <c r="AE42" s="9" t="n">
        <v>13.61995690448896</v>
      </c>
      <c r="AF42" s="7" t="n">
        <v>9.041996853537739</v>
      </c>
      <c r="AG42" s="8" t="n">
        <v>-8.189933398096855</v>
      </c>
      <c r="AH42" s="60" t="n">
        <v>3.467873806135628</v>
      </c>
      <c r="AI42" s="31" t="n">
        <v>0.5851037384197357</v>
      </c>
      <c r="AJ42" s="7" t="n">
        <v>1.141895375761692</v>
      </c>
      <c r="AK42" s="7" t="n">
        <v>0.9996460959749975</v>
      </c>
      <c r="AL42" s="7" t="n">
        <v>1.410222034946779</v>
      </c>
      <c r="AM42" s="7" t="n">
        <v>0.5572295428105203</v>
      </c>
      <c r="AN42" s="31" t="n">
        <v>1.074631376390478</v>
      </c>
      <c r="AO42" s="7" t="n">
        <v>1.853294451017775</v>
      </c>
      <c r="AP42" s="7" t="n">
        <v>1.74728745001003</v>
      </c>
      <c r="AQ42" s="7" t="n">
        <v>1.725096273227459</v>
      </c>
      <c r="AR42" s="7" t="n">
        <v>28.84546316249926</v>
      </c>
      <c r="AS42" s="31" t="n">
        <v>-0.01765685980542031</v>
      </c>
      <c r="AT42" s="7" t="n">
        <v>-1.578710240828819</v>
      </c>
      <c r="AU42" s="7" t="n">
        <v>-0.6357018583089626</v>
      </c>
      <c r="AV42" s="8" t="n">
        <v>0.4263256811498444</v>
      </c>
      <c r="AW42" s="7" t="n">
        <v>41.04904057147348</v>
      </c>
      <c r="AX42" s="31" t="n">
        <v>2.281439251679402</v>
      </c>
      <c r="AY42" s="7" t="n">
        <v>-1.067641814928596</v>
      </c>
      <c r="AZ42" s="7" t="n">
        <v>1.474135844074496</v>
      </c>
      <c r="BA42" s="7" t="n">
        <v>-2.683917972992163</v>
      </c>
      <c r="BB42" s="7" t="n">
        <v>162.6444105504896</v>
      </c>
      <c r="BC42" s="31" t="n">
        <v>10.39372296861831</v>
      </c>
      <c r="BD42" s="7" t="n">
        <v>3.324485386946961</v>
      </c>
      <c r="BE42" s="7" t="n">
        <v>7.368170048010739</v>
      </c>
      <c r="BF42" s="7" t="n">
        <v>-10.98568604051107</v>
      </c>
      <c r="BG42" s="7" t="n">
        <v>7.039490950799772</v>
      </c>
      <c r="BH42" s="31" t="n">
        <v>0.2370507576134893</v>
      </c>
      <c r="BI42" s="7" t="n">
        <v>0.1148758059791959</v>
      </c>
      <c r="BJ42" s="7" t="n">
        <v>0.263676680469457</v>
      </c>
      <c r="BK42" s="7" t="n">
        <v>-0.3280772432523706</v>
      </c>
      <c r="BL42" s="7" t="n">
        <v>8.937727693738132</v>
      </c>
      <c r="BM42" s="31" t="n">
        <v>2.465409149406626</v>
      </c>
      <c r="BN42" s="7" t="n">
        <v>3.020737833952562</v>
      </c>
      <c r="BO42" s="7" t="n">
        <v>3.581469171894355</v>
      </c>
      <c r="BP42" s="7" t="n">
        <v>1.192215274580824</v>
      </c>
      <c r="BQ42" s="7" t="n">
        <v>51.42863373058923</v>
      </c>
      <c r="BR42" s="31" t="n">
        <v>2.026775294547129</v>
      </c>
      <c r="BS42" s="7" t="n">
        <v>-2.133460386782321</v>
      </c>
      <c r="BT42" s="7" t="n">
        <v>-0.3121377997328949</v>
      </c>
      <c r="BU42" s="8" t="n">
        <v>0.1214412459714751</v>
      </c>
      <c r="BV42" s="9" t="n">
        <v>-2.919719028263947</v>
      </c>
      <c r="BW42" s="31" t="n">
        <v>-16.95411100846036</v>
      </c>
      <c r="BX42" s="7" t="n">
        <v>2.059291957625011</v>
      </c>
      <c r="BY42" s="7" t="n">
        <v>-7.222716640832505</v>
      </c>
      <c r="BZ42" s="7" t="n">
        <v>-8.692367107164392</v>
      </c>
      <c r="CA42" s="7" t="n">
        <v>2.241626877583464</v>
      </c>
      <c r="CB42" s="31" t="n">
        <v>18.89096656495128</v>
      </c>
      <c r="CC42" s="7" t="n">
        <v>7.016356805515843</v>
      </c>
      <c r="CD42" s="7" t="n">
        <v>13.65578647993868</v>
      </c>
      <c r="CE42" s="8" t="n">
        <v>17.69020264222198</v>
      </c>
    </row>
    <row r="43">
      <c r="A43" s="251" t="n">
        <v>41730</v>
      </c>
      <c r="B43" s="3" t="n">
        <v>0</v>
      </c>
      <c r="C43" s="6" t="n">
        <v>21.21949319563273</v>
      </c>
      <c r="D43" s="31" t="n">
        <v>0.1467681247562531</v>
      </c>
      <c r="E43" s="7" t="n">
        <v>-1.184974110286854</v>
      </c>
      <c r="F43" s="7" t="n">
        <v>0.0599483763354165</v>
      </c>
      <c r="G43" s="7" t="n">
        <v>-1.186888061727878</v>
      </c>
      <c r="H43" s="9" t="n">
        <v>39.60044173002698</v>
      </c>
      <c r="I43" s="31" t="n">
        <v>2.986522119022922</v>
      </c>
      <c r="J43" s="7" t="n">
        <v>0.9624461823761656</v>
      </c>
      <c r="K43" s="7" t="n">
        <v>2.289671725015189</v>
      </c>
      <c r="L43" s="7" t="n">
        <v>0.05800766373212696</v>
      </c>
      <c r="M43" s="9" t="n">
        <v>11.97021461956342</v>
      </c>
      <c r="N43" s="7" t="n">
        <v>11.43369199087294</v>
      </c>
      <c r="O43" s="8" t="n">
        <v>2.246816987852829</v>
      </c>
      <c r="P43" s="7" t="n">
        <v>81.05000000000001</v>
      </c>
      <c r="Q43" s="31" t="n">
        <v>-0.8999999999999773</v>
      </c>
      <c r="R43" s="7" t="n">
        <v>16.25000000000001</v>
      </c>
      <c r="S43" s="7" t="n">
        <v>13.83125000000001</v>
      </c>
      <c r="T43" s="7" t="n">
        <v>18.21250000000001</v>
      </c>
      <c r="U43" s="9" t="n">
        <v>3.612348989783189</v>
      </c>
      <c r="V43" s="31" t="n">
        <v>0.6138965343517984</v>
      </c>
      <c r="W43" s="7" t="n">
        <v>0.005893809514915249</v>
      </c>
      <c r="X43" s="7" t="n">
        <v>0.4106457210093875</v>
      </c>
      <c r="Y43" s="7" t="n">
        <v>-0.08637485538440304</v>
      </c>
      <c r="Z43" s="9" t="n">
        <v>7.75542332983246</v>
      </c>
      <c r="AA43" s="31" t="n">
        <v>0.4582846242476748</v>
      </c>
      <c r="AB43" s="7" t="n">
        <v>0.1162112976570979</v>
      </c>
      <c r="AC43" s="7" t="n">
        <v>0.3604103540071337</v>
      </c>
      <c r="AD43" s="7" t="n">
        <v>-0.7602881530207259</v>
      </c>
      <c r="AE43" s="9" t="n">
        <v>7.439573884536799</v>
      </c>
      <c r="AF43" s="7" t="n">
        <v>9.186959802157901</v>
      </c>
      <c r="AG43" s="8" t="n">
        <v>-6.198740048597301</v>
      </c>
      <c r="AH43" s="60" t="n">
        <v>4.088742979478774</v>
      </c>
      <c r="AI43" s="31" t="n">
        <v>0.8478347305905185</v>
      </c>
      <c r="AJ43" s="7" t="n">
        <v>1.313854306572133</v>
      </c>
      <c r="AK43" s="7" t="n">
        <v>1.33504142537772</v>
      </c>
      <c r="AL43" s="7" t="n">
        <v>1.851403838218896</v>
      </c>
      <c r="AM43" s="7" t="n">
        <v>0.8117513221131433</v>
      </c>
      <c r="AN43" s="31" t="n">
        <v>1.5206683058785</v>
      </c>
      <c r="AO43" s="7" t="n">
        <v>1.524610003116952</v>
      </c>
      <c r="AP43" s="7" t="n">
        <v>1.538485616558209</v>
      </c>
      <c r="AQ43" s="7" t="n">
        <v>1.998837305400075</v>
      </c>
      <c r="AR43" s="7" t="n">
        <v>28.87005252316176</v>
      </c>
      <c r="AS43" s="31" t="n">
        <v>0.131471873018409</v>
      </c>
      <c r="AT43" s="7" t="n">
        <v>-0.9559554277420776</v>
      </c>
      <c r="AU43" s="7" t="n">
        <v>-0.2164349374392671</v>
      </c>
      <c r="AV43" s="8" t="n">
        <v>-0.09560740266673662</v>
      </c>
      <c r="AW43" s="7" t="n">
        <v>41.89937182071256</v>
      </c>
      <c r="AX43" s="31" t="n">
        <v>2.171709821747598</v>
      </c>
      <c r="AY43" s="7" t="n">
        <v>1.584116609638603</v>
      </c>
      <c r="AZ43" s="7" t="n">
        <v>2.591377547045724</v>
      </c>
      <c r="BA43" s="7" t="n">
        <v>-0.9110501293262203</v>
      </c>
      <c r="BB43" s="7" t="n">
        <v>162.9558864965094</v>
      </c>
      <c r="BC43" s="31" t="n">
        <v>5.160429083142787</v>
      </c>
      <c r="BD43" s="7" t="n">
        <v>5.536044466677424</v>
      </c>
      <c r="BE43" s="7" t="n">
        <v>6.848524647293857</v>
      </c>
      <c r="BF43" s="7" t="n">
        <v>-5.676153522249166</v>
      </c>
      <c r="BG43" s="7" t="n">
        <v>7.121765111197386</v>
      </c>
      <c r="BH43" s="31" t="n">
        <v>0.3775487110766624</v>
      </c>
      <c r="BI43" s="7" t="n">
        <v>0.2921784963577578</v>
      </c>
      <c r="BJ43" s="7" t="n">
        <v>0.3172318893722723</v>
      </c>
      <c r="BK43" s="7" t="n">
        <v>-0.1970221599460311</v>
      </c>
      <c r="BL43" s="7" t="n">
        <v>8.486973230883246</v>
      </c>
      <c r="BM43" s="31" t="n">
        <v>-0.1154602580685733</v>
      </c>
      <c r="BN43" s="7" t="n">
        <v>4.097829321399111</v>
      </c>
      <c r="BO43" s="7" t="n">
        <v>2.375530250551328</v>
      </c>
      <c r="BP43" s="7" t="n">
        <v>1.409183399675537</v>
      </c>
      <c r="BQ43" s="7" t="n">
        <v>52.06434155804696</v>
      </c>
      <c r="BR43" s="31" t="n">
        <v>3.071440029303453</v>
      </c>
      <c r="BS43" s="7" t="n">
        <v>-1.591491310093396</v>
      </c>
      <c r="BT43" s="7" t="n">
        <v>0.8569351244204242</v>
      </c>
      <c r="BU43" s="8" t="n">
        <v>0.5547084122978632</v>
      </c>
      <c r="BV43" s="9" t="n">
        <v>8.070338859721629</v>
      </c>
      <c r="BW43" s="31" t="n">
        <v>-3.712840052465575</v>
      </c>
      <c r="BX43" s="7" t="n">
        <v>7.750964359033594</v>
      </c>
      <c r="BY43" s="7" t="n">
        <v>3.252518257746818</v>
      </c>
      <c r="BZ43" s="7" t="n">
        <v>3.897369326160296</v>
      </c>
      <c r="CA43" s="7" t="n">
        <v>3.945937687024038</v>
      </c>
      <c r="CB43" s="31" t="n">
        <v>18.09229469570382</v>
      </c>
      <c r="CC43" s="7" t="n">
        <v>7.880400749453646</v>
      </c>
      <c r="CD43" s="7" t="n">
        <v>13.60600808800029</v>
      </c>
      <c r="CE43" s="8" t="n">
        <v>16.94392107358115</v>
      </c>
    </row>
    <row r="44">
      <c r="A44" s="251" t="n">
        <v>41821</v>
      </c>
      <c r="B44" s="3" t="n">
        <v>0</v>
      </c>
      <c r="C44" s="6" t="n">
        <v>22.38257551388874</v>
      </c>
      <c r="D44" s="31" t="n">
        <v>1.915829768480336</v>
      </c>
      <c r="E44" s="7" t="n">
        <v>0.5013175339556177</v>
      </c>
      <c r="F44" s="7" t="n">
        <v>1.519274222163144</v>
      </c>
      <c r="G44" s="7" t="n">
        <v>0.2307170006197268</v>
      </c>
      <c r="H44" s="9" t="n">
        <v>38.98362813549498</v>
      </c>
      <c r="I44" s="31" t="n">
        <v>1.902637621356362</v>
      </c>
      <c r="J44" s="7" t="n">
        <v>1.377848274663236</v>
      </c>
      <c r="K44" s="7" t="n">
        <v>1.43224658488915</v>
      </c>
      <c r="L44" s="7" t="n">
        <v>-0.1717465656125157</v>
      </c>
      <c r="M44" s="9" t="n">
        <v>5.093461211044541</v>
      </c>
      <c r="N44" s="7" t="n">
        <v>5.391347796820241</v>
      </c>
      <c r="O44" s="8" t="n">
        <v>3.10840069830806</v>
      </c>
      <c r="P44" s="7" t="n">
        <v>79.05000000000001</v>
      </c>
      <c r="Q44" s="31" t="n">
        <v>0.9000000000000057</v>
      </c>
      <c r="R44" s="7" t="n">
        <v>13.32500000000001</v>
      </c>
      <c r="S44" s="7" t="n">
        <v>7.768750000000011</v>
      </c>
      <c r="T44" s="7" t="n">
        <v>13.95833333333336</v>
      </c>
      <c r="U44" s="9" t="n">
        <v>3.592747310786856</v>
      </c>
      <c r="V44" s="31" t="n">
        <v>0.5503716068024875</v>
      </c>
      <c r="W44" s="7" t="n">
        <v>0.208778267101255</v>
      </c>
      <c r="X44" s="7" t="n">
        <v>0.3895705896343253</v>
      </c>
      <c r="Y44" s="7" t="n">
        <v>0.003442029242266553</v>
      </c>
      <c r="Z44" s="9" t="n">
        <v>7.623930542672053</v>
      </c>
      <c r="AA44" s="31" t="n">
        <v>0.1181629664737489</v>
      </c>
      <c r="AB44" s="7" t="n">
        <v>0.284048903547836</v>
      </c>
      <c r="AC44" s="7" t="n">
        <v>0.1998647424324522</v>
      </c>
      <c r="AD44" s="7" t="n">
        <v>-0.493557695181666</v>
      </c>
      <c r="AE44" s="9" t="n">
        <v>1.221995730878575</v>
      </c>
      <c r="AF44" s="7" t="n">
        <v>8.713719032166125</v>
      </c>
      <c r="AG44" s="8" t="n">
        <v>-1.528918175666869</v>
      </c>
      <c r="AH44" s="60" t="n">
        <v>6.719748676583777</v>
      </c>
      <c r="AI44" s="31" t="n">
        <v>3.160382823586425</v>
      </c>
      <c r="AJ44" s="7" t="n">
        <v>2.570522294293485</v>
      </c>
      <c r="AK44" s="7" t="n">
        <v>3.63758354583969</v>
      </c>
      <c r="AL44" s="7" t="n">
        <v>4.253060669570779</v>
      </c>
      <c r="AM44" s="7" t="n">
        <v>0.4106914176358035</v>
      </c>
      <c r="AN44" s="31" t="n">
        <v>0.8252426330259475</v>
      </c>
      <c r="AO44" s="7" t="n">
        <v>1.199032228145954</v>
      </c>
      <c r="AP44" s="7" t="n">
        <v>0.7562732113016315</v>
      </c>
      <c r="AQ44" s="7" t="n">
        <v>1.453566921650363</v>
      </c>
      <c r="AR44" s="7" t="n">
        <v>29.98047194768839</v>
      </c>
      <c r="AS44" s="31" t="n">
        <v>1.635541046288573</v>
      </c>
      <c r="AT44" s="7" t="n">
        <v>0.002644399266440445</v>
      </c>
      <c r="AU44" s="7" t="n">
        <v>1.132973344022879</v>
      </c>
      <c r="AV44" s="8" t="n">
        <v>0.7372076858199428</v>
      </c>
      <c r="AW44" s="7" t="n">
        <v>41.29557743598281</v>
      </c>
      <c r="AX44" s="31" t="n">
        <v>1.063819439766952</v>
      </c>
      <c r="AY44" s="7" t="n">
        <v>1.962790571698552</v>
      </c>
      <c r="AZ44" s="7" t="n">
        <v>1.591554009906325</v>
      </c>
      <c r="BA44" s="7" t="n">
        <v>-0.5263582855718099</v>
      </c>
      <c r="BB44" s="7" t="n">
        <v>159.5477959120664</v>
      </c>
      <c r="BC44" s="31" t="n">
        <v>-3.604331718404381</v>
      </c>
      <c r="BD44" s="7" t="n">
        <v>5.465624455996206</v>
      </c>
      <c r="BE44" s="7" t="n">
        <v>2.056422946181414</v>
      </c>
      <c r="BF44" s="7" t="n">
        <v>-3.973201863419121</v>
      </c>
      <c r="BG44" s="7" t="n">
        <v>7.216205881089659</v>
      </c>
      <c r="BH44" s="31" t="n">
        <v>0.3291447811341843</v>
      </c>
      <c r="BI44" s="7" t="n">
        <v>0.3071873596200692</v>
      </c>
      <c r="BJ44" s="7" t="n">
        <v>0.3386280351751054</v>
      </c>
      <c r="BK44" s="7" t="n">
        <v>0.02874871765613385</v>
      </c>
      <c r="BL44" s="7" t="n">
        <v>7.011610325497972</v>
      </c>
      <c r="BM44" s="31" t="n">
        <v>-2.817909263058193</v>
      </c>
      <c r="BN44" s="7" t="n">
        <v>2.564513644908395</v>
      </c>
      <c r="BO44" s="7" t="n">
        <v>-0.124289985183724</v>
      </c>
      <c r="BP44" s="7" t="n">
        <v>0.4203957179034017</v>
      </c>
      <c r="BQ44" s="7" t="n">
        <v>52.20793966159866</v>
      </c>
      <c r="BR44" s="31" t="n">
        <v>3.211437924029667</v>
      </c>
      <c r="BS44" s="7" t="n">
        <v>-0.8243893950273034</v>
      </c>
      <c r="BT44" s="7" t="n">
        <v>1.398406055495471</v>
      </c>
      <c r="BU44" s="8" t="n">
        <v>0.4928384398940082</v>
      </c>
      <c r="BV44" s="9" t="n">
        <v>19.33418419124263</v>
      </c>
      <c r="BW44" s="31" t="n">
        <v>17.05280014916769</v>
      </c>
      <c r="BX44" s="7" t="n">
        <v>4.657279443989032</v>
      </c>
      <c r="BY44" s="7" t="n">
        <v>12.57862249950942</v>
      </c>
      <c r="BZ44" s="7" t="n">
        <v>15.86763528113024</v>
      </c>
      <c r="CA44" s="7" t="n">
        <v>2.667514518317697</v>
      </c>
      <c r="CB44" s="31" t="n">
        <v>10.71483237036928</v>
      </c>
      <c r="CC44" s="7" t="n">
        <v>7.093632265540249</v>
      </c>
      <c r="CD44" s="7" t="n">
        <v>10.35748473193054</v>
      </c>
      <c r="CE44" s="8" t="n">
        <v>13.18862833651269</v>
      </c>
    </row>
    <row r="45">
      <c r="A45" s="251" t="n">
        <v>41913</v>
      </c>
      <c r="B45" s="3" t="n">
        <v>1</v>
      </c>
      <c r="C45" s="6" t="n">
        <v>22.70804117316202</v>
      </c>
      <c r="D45" s="31" t="n">
        <v>2.64603604270755</v>
      </c>
      <c r="E45" s="7" t="n">
        <v>0.9083045076119252</v>
      </c>
      <c r="F45" s="7" t="n">
        <v>1.719410497947518</v>
      </c>
      <c r="G45" s="7" t="n">
        <v>0.7972916411484476</v>
      </c>
      <c r="H45" s="9" t="n">
        <v>39.40519105544556</v>
      </c>
      <c r="I45" s="31" t="n">
        <v>0.7514424001706672</v>
      </c>
      <c r="J45" s="7" t="n">
        <v>1.52657011227252</v>
      </c>
      <c r="K45" s="7" t="n">
        <v>1.509347436173925</v>
      </c>
      <c r="L45" s="7" t="n">
        <v>0.6998949374221723</v>
      </c>
      <c r="M45" s="9" t="n">
        <v>4.510271276699314</v>
      </c>
      <c r="N45" s="7" t="n">
        <v>6.670541496445253</v>
      </c>
      <c r="O45" s="8" t="n">
        <v>4.915680956362469</v>
      </c>
      <c r="P45" s="7" t="n">
        <v>76.25</v>
      </c>
      <c r="Q45" s="31" t="n">
        <v>1.75</v>
      </c>
      <c r="R45" s="7" t="n">
        <v>10.475</v>
      </c>
      <c r="S45" s="7" t="n">
        <v>1.637499999999989</v>
      </c>
      <c r="T45" s="7" t="n">
        <v>9.079166666666666</v>
      </c>
      <c r="U45" s="9" t="n">
        <v>3.576880345908764</v>
      </c>
      <c r="V45" s="31" t="n">
        <v>0.3021500847223777</v>
      </c>
      <c r="W45" s="7" t="n">
        <v>0.2917567643520187</v>
      </c>
      <c r="X45" s="7" t="n">
        <v>0.3215090579809199</v>
      </c>
      <c r="Y45" s="7" t="n">
        <v>0.0943451529574415</v>
      </c>
      <c r="Z45" s="9" t="n">
        <v>7.612522408058546</v>
      </c>
      <c r="AA45" s="31" t="n">
        <v>-0.1809873285777597</v>
      </c>
      <c r="AB45" s="7" t="n">
        <v>0.2886570066043226</v>
      </c>
      <c r="AC45" s="7" t="n">
        <v>0.1174443819319864</v>
      </c>
      <c r="AD45" s="7" t="n">
        <v>-0.166233171081589</v>
      </c>
      <c r="AE45" s="9" t="n">
        <v>-0.4072240477674995</v>
      </c>
      <c r="AF45" s="7" t="n">
        <v>7.780918318428178</v>
      </c>
      <c r="AG45" s="8" t="n">
        <v>4.907961459279704</v>
      </c>
      <c r="AH45" s="60" t="n">
        <v>6.371362633409709</v>
      </c>
      <c r="AI45" s="31" t="n">
        <v>3.079862525612398</v>
      </c>
      <c r="AJ45" s="7" t="n">
        <v>1.911953369233517</v>
      </c>
      <c r="AK45" s="7" t="n">
        <v>2.646566929092251</v>
      </c>
      <c r="AL45" s="7" t="n">
        <v>3.44854073413139</v>
      </c>
      <c r="AM45" s="7" t="n">
        <v>-1.036644537224022</v>
      </c>
      <c r="AN45" s="31" t="n">
        <v>-1.180747419933361</v>
      </c>
      <c r="AO45" s="7" t="n">
        <v>-0.1935747558279788</v>
      </c>
      <c r="AP45" s="7" t="n">
        <v>-0.9908208005946829</v>
      </c>
      <c r="AQ45" s="7" t="n">
        <v>-0.1677227199486877</v>
      </c>
      <c r="AR45" s="7" t="n">
        <v>29.56381162573248</v>
      </c>
      <c r="AS45" s="31" t="n">
        <v>1.178156118265761</v>
      </c>
      <c r="AT45" s="7" t="n">
        <v>0.403404356269764</v>
      </c>
      <c r="AU45" s="7" t="n">
        <v>0.715651922250359</v>
      </c>
      <c r="AV45" s="8" t="n">
        <v>-0.0466366837153096</v>
      </c>
      <c r="AW45" s="7" t="n">
        <v>40.32055428377493</v>
      </c>
      <c r="AX45" s="31" t="n">
        <v>-0.5570390887861052</v>
      </c>
      <c r="AY45" s="7" t="n">
        <v>1.305695123735379</v>
      </c>
      <c r="AZ45" s="7" t="n">
        <v>0.125833214773813</v>
      </c>
      <c r="BA45" s="7" t="n">
        <v>-0.5585920675804559</v>
      </c>
      <c r="BB45" s="7" t="n">
        <v>155.3989494896406</v>
      </c>
      <c r="BC45" s="31" t="n">
        <v>-8.231153128572146</v>
      </c>
      <c r="BD45" s="7" t="n">
        <v>3.256592526777766</v>
      </c>
      <c r="BE45" s="7" t="n">
        <v>-3.45882959024334</v>
      </c>
      <c r="BF45" s="7" t="n">
        <v>-4.005582031170178</v>
      </c>
      <c r="BG45" s="7" t="n">
        <v>7.303169964619673</v>
      </c>
      <c r="BH45" s="31" t="n">
        <v>0.2619283158269106</v>
      </c>
      <c r="BI45" s="7" t="n">
        <v>0.2602968816025819</v>
      </c>
      <c r="BJ45" s="7" t="n">
        <v>0.3487952788001012</v>
      </c>
      <c r="BK45" s="7" t="n">
        <v>0.3267313102104339</v>
      </c>
      <c r="BL45" s="7" t="n">
        <v>6.556479683210164</v>
      </c>
      <c r="BM45" s="31" t="n">
        <v>-3.480904465786248</v>
      </c>
      <c r="BN45" s="7" t="n">
        <v>1.859108464447532</v>
      </c>
      <c r="BO45" s="7" t="n">
        <v>-1.220549038698629</v>
      </c>
      <c r="BP45" s="7" t="n">
        <v>0.2853148847345013</v>
      </c>
      <c r="BQ45" s="7" t="n">
        <v>50.52855158581006</v>
      </c>
      <c r="BR45" s="31" t="n">
        <v>-0.3522171166125645</v>
      </c>
      <c r="BS45" s="7" t="n">
        <v>-0.1629965589743847</v>
      </c>
      <c r="BT45" s="7" t="n">
        <v>-0.07488467153629585</v>
      </c>
      <c r="BU45" s="8" t="n">
        <v>-1.336244615849765</v>
      </c>
      <c r="BV45" s="9" t="n">
        <v>21.65400241815981</v>
      </c>
      <c r="BW45" s="31" t="n">
        <v>19.91931623963957</v>
      </c>
      <c r="BX45" s="7" t="n">
        <v>6.306697565997581</v>
      </c>
      <c r="BY45" s="7" t="n">
        <v>13.73412086542934</v>
      </c>
      <c r="BZ45" s="7" t="n">
        <v>17.20206423521407</v>
      </c>
      <c r="CA45" s="7" t="n">
        <v>1.22795591803883</v>
      </c>
      <c r="CB45" s="31" t="n">
        <v>3.381022512961251</v>
      </c>
      <c r="CC45" s="7" t="n">
        <v>8.209725517882319</v>
      </c>
      <c r="CD45" s="7" t="n">
        <v>7.144518065266609</v>
      </c>
      <c r="CE45" s="8" t="n">
        <v>9.526444202527426</v>
      </c>
    </row>
    <row r="46">
      <c r="A46" s="251" t="n">
        <v>42005</v>
      </c>
      <c r="B46" s="3" t="n">
        <v>0</v>
      </c>
      <c r="C46" s="6" t="n">
        <v>24.25689473900839</v>
      </c>
      <c r="D46" s="31" t="n">
        <v>3.477090698307272</v>
      </c>
      <c r="E46" s="7" t="n">
        <v>1.611315096096238</v>
      </c>
      <c r="F46" s="7" t="n">
        <v>3.041187936890903</v>
      </c>
      <c r="G46" s="7" t="n">
        <v>2.582775766573874</v>
      </c>
      <c r="H46" s="9" t="n">
        <v>44.14027837784546</v>
      </c>
      <c r="I46" s="31" t="n">
        <v>4.795088574115944</v>
      </c>
      <c r="J46" s="7" t="n">
        <v>3.801749352120957</v>
      </c>
      <c r="K46" s="7" t="n">
        <v>5.86279223050569</v>
      </c>
      <c r="L46" s="7" t="n">
        <v>5.876880646877368</v>
      </c>
      <c r="M46" s="9" t="n">
        <v>10.19886792031639</v>
      </c>
      <c r="N46" s="7" t="n">
        <v>9.163595633183149</v>
      </c>
      <c r="O46" s="8" t="n">
        <v>9.123182989120096</v>
      </c>
      <c r="P46" s="7" t="n">
        <v>79.84999999999999</v>
      </c>
      <c r="Q46" s="31" t="n">
        <v>2.25</v>
      </c>
      <c r="R46" s="7" t="n">
        <v>5.274999999999999</v>
      </c>
      <c r="S46" s="7" t="n">
        <v>2.618750000000006</v>
      </c>
      <c r="T46" s="7" t="n">
        <v>10.97916666666666</v>
      </c>
      <c r="U46" s="9" t="n">
        <v>3.64989686077751</v>
      </c>
      <c r="V46" s="31" t="n">
        <v>0.1387997350238286</v>
      </c>
      <c r="W46" s="7" t="n">
        <v>0.3160226107426771</v>
      </c>
      <c r="X46" s="7" t="n">
        <v>0.3215863817616609</v>
      </c>
      <c r="Y46" s="7" t="n">
        <v>0.262295725713654</v>
      </c>
      <c r="Z46" s="9" t="n">
        <v>7.55781386132654</v>
      </c>
      <c r="AA46" s="31" t="n">
        <v>-0.254994447627066</v>
      </c>
      <c r="AB46" s="7" t="n">
        <v>0.2104881235207379</v>
      </c>
      <c r="AC46" s="7" t="n">
        <v>-0.009428416451100929</v>
      </c>
      <c r="AD46" s="7" t="n">
        <v>-0.01778102283725769</v>
      </c>
      <c r="AE46" s="9" t="n">
        <v>-1.046271639305019</v>
      </c>
      <c r="AF46" s="7" t="n">
        <v>6.28684263259197</v>
      </c>
      <c r="AG46" s="8" t="n">
        <v>5.67924068925682</v>
      </c>
      <c r="AH46" s="60" t="n">
        <v>6.505053573577147</v>
      </c>
      <c r="AI46" s="31" t="n">
        <v>3.037179767441519</v>
      </c>
      <c r="AJ46" s="7" t="n">
        <v>1.811141752930627</v>
      </c>
      <c r="AK46" s="7" t="n">
        <v>2.30226952695131</v>
      </c>
      <c r="AL46" s="7" t="n">
        <v>3.138924425502736</v>
      </c>
      <c r="AM46" s="7" t="n">
        <v>-1.648621540881757</v>
      </c>
      <c r="AN46" s="31" t="n">
        <v>-2.205851083692277</v>
      </c>
      <c r="AO46" s="7" t="n">
        <v>-0.5656098536508996</v>
      </c>
      <c r="AP46" s="7" t="n">
        <v>-1.554404115295422</v>
      </c>
      <c r="AQ46" s="7" t="n">
        <v>-0.9171685815267041</v>
      </c>
      <c r="AR46" s="7" t="n">
        <v>33.3303170035213</v>
      </c>
      <c r="AS46" s="31" t="n">
        <v>4.484853841022037</v>
      </c>
      <c r="AT46" s="7" t="n">
        <v>2.233598490608308</v>
      </c>
      <c r="AU46" s="7" t="n">
        <v>4.381306210971747</v>
      </c>
      <c r="AV46" s="8" t="n">
        <v>3.904557051392327</v>
      </c>
      <c r="AW46" s="7" t="n">
        <v>45.39310733667313</v>
      </c>
      <c r="AX46" s="31" t="n">
        <v>4.344066765199649</v>
      </c>
      <c r="AY46" s="7" t="n">
        <v>3.312753008439525</v>
      </c>
      <c r="AZ46" s="7" t="n">
        <v>4.871962486738163</v>
      </c>
      <c r="BA46" s="7" t="n">
        <v>5.296125509078493</v>
      </c>
      <c r="BB46" s="7" t="n">
        <v>166.3750142806849</v>
      </c>
      <c r="BC46" s="31" t="n">
        <v>3.730603730195298</v>
      </c>
      <c r="BD46" s="7" t="n">
        <v>7.062163349406802</v>
      </c>
      <c r="BE46" s="7" t="n">
        <v>6.703087069106459</v>
      </c>
      <c r="BF46" s="7" t="n">
        <v>9.478600408306818</v>
      </c>
      <c r="BG46" s="7" t="n">
        <v>7.737896150086118</v>
      </c>
      <c r="BH46" s="31" t="n">
        <v>0.6984051992863458</v>
      </c>
      <c r="BI46" s="7" t="n">
        <v>0.4677279784499175</v>
      </c>
      <c r="BJ46" s="7" t="n">
        <v>0.7184472438659011</v>
      </c>
      <c r="BK46" s="7" t="n">
        <v>0.8306339775570342</v>
      </c>
      <c r="BL46" s="7" t="n">
        <v>6.11067622387039</v>
      </c>
      <c r="BM46" s="31" t="n">
        <v>-2.827051469867743</v>
      </c>
      <c r="BN46" s="7" t="n">
        <v>-0.1808211602305585</v>
      </c>
      <c r="BO46" s="7" t="n">
        <v>-2.131129614150288</v>
      </c>
      <c r="BP46" s="7" t="n">
        <v>-0.04289536846958875</v>
      </c>
      <c r="BQ46" s="7" t="n">
        <v>51.52227337289227</v>
      </c>
      <c r="BR46" s="31" t="n">
        <v>0.09363964230304589</v>
      </c>
      <c r="BS46" s="7" t="n">
        <v>1.060207468425087</v>
      </c>
      <c r="BT46" s="7" t="n">
        <v>0.9595862552895085</v>
      </c>
      <c r="BU46" s="8" t="n">
        <v>-0.1573631919928857</v>
      </c>
      <c r="BV46" s="9" t="n">
        <v>23.36386980268633</v>
      </c>
      <c r="BW46" s="31" t="n">
        <v>26.28358883095028</v>
      </c>
      <c r="BX46" s="7" t="n">
        <v>4.664738911244961</v>
      </c>
      <c r="BY46" s="7" t="n">
        <v>13.86731385845647</v>
      </c>
      <c r="BZ46" s="7" t="n">
        <v>16.65030419090228</v>
      </c>
      <c r="CA46" s="7" t="n">
        <v>6.721904171251429</v>
      </c>
      <c r="CB46" s="31" t="n">
        <v>4.480277293667966</v>
      </c>
      <c r="CC46" s="7" t="n">
        <v>11.68562192930963</v>
      </c>
      <c r="CD46" s="7" t="n">
        <v>10.58603493900863</v>
      </c>
      <c r="CE46" s="8" t="n">
        <v>13.4910909894079</v>
      </c>
    </row>
    <row r="47">
      <c r="A47" s="251" t="n">
        <v>42095</v>
      </c>
      <c r="B47" s="3" t="n">
        <v>0</v>
      </c>
      <c r="C47" s="6" t="n">
        <v>23.5098956130201</v>
      </c>
      <c r="D47" s="31" t="n">
        <v>2.290402417387366</v>
      </c>
      <c r="E47" s="7" t="n">
        <v>1.218585271071809</v>
      </c>
      <c r="F47" s="7" t="n">
        <v>1.891360036878552</v>
      </c>
      <c r="G47" s="7" t="n">
        <v>1.85628201501423</v>
      </c>
      <c r="H47" s="9" t="n">
        <v>44.56909000829211</v>
      </c>
      <c r="I47" s="31" t="n">
        <v>4.968648278265135</v>
      </c>
      <c r="J47" s="7" t="n">
        <v>3.977585198644029</v>
      </c>
      <c r="K47" s="7" t="n">
        <v>5.341166522922101</v>
      </c>
      <c r="L47" s="7" t="n">
        <v>6.184448396716505</v>
      </c>
      <c r="M47" s="9" t="n">
        <v>12.00064034613342</v>
      </c>
      <c r="N47" s="7" t="n">
        <v>11.98542748284842</v>
      </c>
      <c r="O47" s="8" t="n">
        <v>11.62267477595977</v>
      </c>
      <c r="P47" s="7" t="n">
        <v>80.5</v>
      </c>
      <c r="Q47" s="31" t="n">
        <v>-0.5500000000000114</v>
      </c>
      <c r="R47" s="7" t="n">
        <v>-0.7249999999999943</v>
      </c>
      <c r="S47" s="7" t="n">
        <v>1.950000000000003</v>
      </c>
      <c r="T47" s="7" t="n">
        <v>9.337500000000006</v>
      </c>
      <c r="U47" s="9" t="n">
        <v>3.651973269507268</v>
      </c>
      <c r="V47" s="31" t="n">
        <v>0.03962427972407934</v>
      </c>
      <c r="W47" s="7" t="n">
        <v>0.3267604070379388</v>
      </c>
      <c r="X47" s="7" t="n">
        <v>0.24465713780575</v>
      </c>
      <c r="Y47" s="7" t="n">
        <v>0.314848298053374</v>
      </c>
      <c r="Z47" s="9" t="n">
        <v>7.445185498573818</v>
      </c>
      <c r="AA47" s="31" t="n">
        <v>-0.3102378312586422</v>
      </c>
      <c r="AB47" s="7" t="n">
        <v>0.07402339649451628</v>
      </c>
      <c r="AC47" s="7" t="n">
        <v>-0.1746788100840071</v>
      </c>
      <c r="AD47" s="7" t="n">
        <v>-0.03063066380053314</v>
      </c>
      <c r="AE47" s="9" t="n">
        <v>-0.4739374120665616</v>
      </c>
      <c r="AF47" s="7" t="n">
        <v>3.482818236235119</v>
      </c>
      <c r="AG47" s="8" t="n">
        <v>5.966660730749747</v>
      </c>
      <c r="AH47" s="60" t="n">
        <v>5.779322828815131</v>
      </c>
      <c r="AI47" s="31" t="n">
        <v>1.690579849336357</v>
      </c>
      <c r="AJ47" s="7" t="n">
        <v>1.269207289963438</v>
      </c>
      <c r="AK47" s="7" t="n">
        <v>1.123753343956637</v>
      </c>
      <c r="AL47" s="7" t="n">
        <v>1.969779470826978</v>
      </c>
      <c r="AM47" s="7" t="n">
        <v>-2.731972812217952</v>
      </c>
      <c r="AN47" s="31" t="n">
        <v>-3.543724134331095</v>
      </c>
      <c r="AO47" s="7" t="n">
        <v>-1.011527914226298</v>
      </c>
      <c r="AP47" s="7" t="n">
        <v>-2.496352923218893</v>
      </c>
      <c r="AQ47" s="7" t="n">
        <v>-2.125581337724839</v>
      </c>
      <c r="AR47" s="7" t="n">
        <v>32.69458342985206</v>
      </c>
      <c r="AS47" s="31" t="n">
        <v>3.824530906690303</v>
      </c>
      <c r="AT47" s="7" t="n">
        <v>1.978001389854356</v>
      </c>
      <c r="AU47" s="7" t="n">
        <v>3.187173014650426</v>
      </c>
      <c r="AV47" s="8" t="n">
        <v>3.158204031109381</v>
      </c>
      <c r="AW47" s="7" t="n">
        <v>44.68585449033318</v>
      </c>
      <c r="AX47" s="31" t="n">
        <v>2.786482669620625</v>
      </c>
      <c r="AY47" s="7" t="n">
        <v>2.479096245684111</v>
      </c>
      <c r="AZ47" s="7" t="n">
        <v>3.33652138828834</v>
      </c>
      <c r="BA47" s="7" t="n">
        <v>4.404807401460012</v>
      </c>
      <c r="BB47" s="7" t="n">
        <v>151.959942405955</v>
      </c>
      <c r="BC47" s="31" t="n">
        <v>-10.99594409055442</v>
      </c>
      <c r="BD47" s="7" t="n">
        <v>-2.917757503705815</v>
      </c>
      <c r="BE47" s="7" t="n">
        <v>-9.477525642975138</v>
      </c>
      <c r="BF47" s="7" t="n">
        <v>-5.801436008430471</v>
      </c>
      <c r="BG47" s="7" t="n">
        <v>8.25451411644943</v>
      </c>
      <c r="BH47" s="31" t="n">
        <v>1.132749005252044</v>
      </c>
      <c r="BI47" s="7" t="n">
        <v>0.7551488581643531</v>
      </c>
      <c r="BJ47" s="7" t="n">
        <v>1.118133215616734</v>
      </c>
      <c r="BK47" s="7" t="n">
        <v>1.269905542983284</v>
      </c>
      <c r="BL47" s="7" t="n">
        <v>4.929143070030323</v>
      </c>
      <c r="BM47" s="31" t="n">
        <v>-3.557830160852923</v>
      </c>
      <c r="BN47" s="7" t="n">
        <v>-1.836645209460748</v>
      </c>
      <c r="BO47" s="7" t="n">
        <v>-3.267457477932716</v>
      </c>
      <c r="BP47" s="7" t="n">
        <v>-1.492297205479437</v>
      </c>
      <c r="BQ47" s="7" t="n">
        <v>53.19098610943622</v>
      </c>
      <c r="BR47" s="31" t="n">
        <v>1.126644551389269</v>
      </c>
      <c r="BS47" s="7" t="n">
        <v>2.099042290346361</v>
      </c>
      <c r="BT47" s="7" t="n">
        <v>2.363247124727188</v>
      </c>
      <c r="BU47" s="8" t="n">
        <v>1.859122972156207</v>
      </c>
      <c r="BV47" s="9" t="n">
        <v>22.76221197798944</v>
      </c>
      <c r="BW47" s="31" t="n">
        <v>14.69187311826782</v>
      </c>
      <c r="BX47" s="7" t="n">
        <v>5.489516532901121</v>
      </c>
      <c r="BY47" s="7" t="n">
        <v>12.09947130594834</v>
      </c>
      <c r="BZ47" s="7" t="n">
        <v>13.5151319706887</v>
      </c>
      <c r="CA47" s="7" t="n">
        <v>8.94166119632596</v>
      </c>
      <c r="CB47" s="31" t="n">
        <v>4.995723509301921</v>
      </c>
      <c r="CC47" s="7" t="n">
        <v>11.54400910250287</v>
      </c>
      <c r="CD47" s="7" t="n">
        <v>9.884386481755751</v>
      </c>
      <c r="CE47" s="8" t="n">
        <v>14.16809877242413</v>
      </c>
    </row>
    <row r="48">
      <c r="A48" s="251" t="n">
        <v>42186</v>
      </c>
      <c r="B48" s="3" t="n">
        <v>0</v>
      </c>
      <c r="C48" s="6" t="n">
        <v>24.74907859823518</v>
      </c>
      <c r="D48" s="31" t="n">
        <v>2.366503084346437</v>
      </c>
      <c r="E48" s="7" t="n">
        <v>2.141166426413387</v>
      </c>
      <c r="F48" s="7" t="n">
        <v>2.825896704325686</v>
      </c>
      <c r="G48" s="7" t="n">
        <v>3.10209381716151</v>
      </c>
      <c r="H48" s="9" t="n">
        <v>47.17628743347939</v>
      </c>
      <c r="I48" s="31" t="n">
        <v>8.192659297984413</v>
      </c>
      <c r="J48" s="7" t="n">
        <v>5.047648459670388</v>
      </c>
      <c r="K48" s="7" t="n">
        <v>6.953967648448376</v>
      </c>
      <c r="L48" s="7" t="n">
        <v>8.217184101652329</v>
      </c>
      <c r="M48" s="9" t="n">
        <v>20.37059508638981</v>
      </c>
      <c r="N48" s="7" t="n">
        <v>12.73202814871718</v>
      </c>
      <c r="O48" s="8" t="n">
        <v>10.38443022667676</v>
      </c>
      <c r="P48" s="7" t="n">
        <v>73.94999999999999</v>
      </c>
      <c r="Q48" s="31" t="n">
        <v>-5.100000000000023</v>
      </c>
      <c r="R48" s="7" t="n">
        <v>-2.100000000000009</v>
      </c>
      <c r="S48" s="7" t="n">
        <v>-4.418750000000017</v>
      </c>
      <c r="T48" s="7" t="n">
        <v>0.1249999999999858</v>
      </c>
      <c r="U48" s="9" t="n">
        <v>3.605926399496324</v>
      </c>
      <c r="V48" s="31" t="n">
        <v>0.01317908870946782</v>
      </c>
      <c r="W48" s="7" t="n">
        <v>0.2817753477559777</v>
      </c>
      <c r="X48" s="7" t="n">
        <v>0.116920166035321</v>
      </c>
      <c r="Y48" s="7" t="n">
        <v>0.2645171031462699</v>
      </c>
      <c r="Z48" s="9" t="n">
        <v>7.479376527466498</v>
      </c>
      <c r="AA48" s="31" t="n">
        <v>-0.1445540152055544</v>
      </c>
      <c r="AB48" s="7" t="n">
        <v>-0.01319552436590277</v>
      </c>
      <c r="AC48" s="7" t="n">
        <v>-0.1589936303149564</v>
      </c>
      <c r="AD48" s="7" t="n">
        <v>0.01004496808751831</v>
      </c>
      <c r="AE48" s="9" t="n">
        <v>0.2685603374077346</v>
      </c>
      <c r="AF48" s="7" t="n">
        <v>0.7452780341431549</v>
      </c>
      <c r="AG48" s="8" t="n">
        <v>5.898666133913328</v>
      </c>
      <c r="AH48" s="60" t="n">
        <v>4.435224795451394</v>
      </c>
      <c r="AI48" s="31" t="n">
        <v>-2.284523881132382</v>
      </c>
      <c r="AJ48" s="7" t="n">
        <v>0.4379294712270214</v>
      </c>
      <c r="AK48" s="7" t="n">
        <v>-0.5376465118979592</v>
      </c>
      <c r="AL48" s="7" t="n">
        <v>0.2658240655898565</v>
      </c>
      <c r="AM48" s="7" t="n">
        <v>-2.019779855623261</v>
      </c>
      <c r="AN48" s="31" t="n">
        <v>-2.430471273259065</v>
      </c>
      <c r="AO48" s="7" t="n">
        <v>-0.8026143201165585</v>
      </c>
      <c r="AP48" s="7" t="n">
        <v>-1.531277988067627</v>
      </c>
      <c r="AQ48" s="7" t="n">
        <v>-1.372179703788715</v>
      </c>
      <c r="AR48" s="7" t="n">
        <v>38.44417997279373</v>
      </c>
      <c r="AS48" s="31" t="n">
        <v>8.463708025105348</v>
      </c>
      <c r="AT48" s="7" t="n">
        <v>5.04962453569696</v>
      </c>
      <c r="AU48" s="7" t="n">
        <v>8.442269210128512</v>
      </c>
      <c r="AV48" s="8" t="n">
        <v>8.748415569783884</v>
      </c>
      <c r="AW48" s="7" t="n">
        <v>45.96126639258379</v>
      </c>
      <c r="AX48" s="31" t="n">
        <v>4.665688956600981</v>
      </c>
      <c r="AY48" s="7" t="n">
        <v>2.864754198183967</v>
      </c>
      <c r="AZ48" s="7" t="n">
        <v>3.992159229117917</v>
      </c>
      <c r="BA48" s="7" t="n">
        <v>5.183992979635796</v>
      </c>
      <c r="BB48" s="7" t="n">
        <v>145.6380148833495</v>
      </c>
      <c r="BC48" s="31" t="n">
        <v>-13.90978102871682</v>
      </c>
      <c r="BD48" s="7" t="n">
        <v>-8.757056373560602</v>
      </c>
      <c r="BE48" s="7" t="n">
        <v>-15.07001378965415</v>
      </c>
      <c r="BF48" s="7" t="n">
        <v>-12.12970893460266</v>
      </c>
      <c r="BG48" s="7" t="n">
        <v>8.068024926489221</v>
      </c>
      <c r="BH48" s="31" t="n">
        <v>0.8518190453995622</v>
      </c>
      <c r="BI48" s="7" t="n">
        <v>0.5904819132668733</v>
      </c>
      <c r="BJ48" s="7" t="n">
        <v>0.7428568111154359</v>
      </c>
      <c r="BK48" s="7" t="n">
        <v>0.9403241865257792</v>
      </c>
      <c r="BL48" s="7" t="n">
        <v>4.123552836778111</v>
      </c>
      <c r="BM48" s="31" t="n">
        <v>-2.888057488719861</v>
      </c>
      <c r="BN48" s="7" t="n">
        <v>-2.852983375889027</v>
      </c>
      <c r="BO48" s="7" t="n">
        <v>-3.61388640881974</v>
      </c>
      <c r="BP48" s="7" t="n">
        <v>-2.684373145560423</v>
      </c>
      <c r="BQ48" s="7" t="n">
        <v>58.80707754825598</v>
      </c>
      <c r="BR48" s="31" t="n">
        <v>6.599137886657324</v>
      </c>
      <c r="BS48" s="7" t="n">
        <v>4.905287905343496</v>
      </c>
      <c r="BT48" s="7" t="n">
        <v>7.454577990960352</v>
      </c>
      <c r="BU48" s="8" t="n">
        <v>7.646575916709097</v>
      </c>
      <c r="BV48" s="9" t="n">
        <v>20.15214018697755</v>
      </c>
      <c r="BW48" s="31" t="n">
        <v>0.8179559957349198</v>
      </c>
      <c r="BX48" s="7" t="n">
        <v>8.935378072451304</v>
      </c>
      <c r="BY48" s="7" t="n">
        <v>8.117020381711164</v>
      </c>
      <c r="BZ48" s="7" t="n">
        <v>8.388910026648889</v>
      </c>
      <c r="CA48" s="7" t="n">
        <v>13.00848115914548</v>
      </c>
      <c r="CB48" s="31" t="n">
        <v>10.34096664082779</v>
      </c>
      <c r="CC48" s="7" t="n">
        <v>10.52789950559854</v>
      </c>
      <c r="CD48" s="7" t="n">
        <v>11.06520416894956</v>
      </c>
      <c r="CE48" s="8" t="n">
        <v>16.50520831789288</v>
      </c>
    </row>
    <row r="49">
      <c r="A49" s="251" t="n">
        <v>42278</v>
      </c>
      <c r="B49" s="3" t="n">
        <v>0</v>
      </c>
      <c r="C49" s="6" t="n">
        <v>26.55854762544358</v>
      </c>
      <c r="D49" s="31" t="n">
        <v>3.850506452281564</v>
      </c>
      <c r="E49" s="7" t="n">
        <v>3.248271247494557</v>
      </c>
      <c r="F49" s="7" t="n">
        <v>4.100074124930739</v>
      </c>
      <c r="G49" s="7" t="n">
        <v>4.630801331681774</v>
      </c>
      <c r="H49" s="9" t="n">
        <v>48.64341368633745</v>
      </c>
      <c r="I49" s="31" t="n">
        <v>9.23822263089189</v>
      </c>
      <c r="J49" s="7" t="n">
        <v>4.994832515531279</v>
      </c>
      <c r="K49" s="7" t="n">
        <v>7.159181786388842</v>
      </c>
      <c r="L49" s="7" t="n">
        <v>8.771947367234482</v>
      </c>
      <c r="M49" s="9" t="n">
        <v>19.50138106838676</v>
      </c>
      <c r="N49" s="7" t="n">
        <v>12.00582617254304</v>
      </c>
      <c r="O49" s="8" t="n">
        <v>10.94748802042576</v>
      </c>
      <c r="P49" s="7" t="n">
        <v>69.75</v>
      </c>
      <c r="Q49" s="31" t="n">
        <v>-6.5</v>
      </c>
      <c r="R49" s="7" t="n">
        <v>-2.375</v>
      </c>
      <c r="S49" s="7" t="n">
        <v>-8.09375</v>
      </c>
      <c r="T49" s="7" t="n">
        <v>-5.870833333333337</v>
      </c>
      <c r="U49" s="9" t="n">
        <v>3.550669127790488</v>
      </c>
      <c r="V49" s="31" t="n">
        <v>-0.02621121811827631</v>
      </c>
      <c r="W49" s="7" t="n">
        <v>0.1379694333020507</v>
      </c>
      <c r="X49" s="7" t="n">
        <v>-0.00878094260950979</v>
      </c>
      <c r="Y49" s="7" t="n">
        <v>0.1733651961977691</v>
      </c>
      <c r="Z49" s="9" t="n">
        <v>7.553730621830922</v>
      </c>
      <c r="AA49" s="31" t="n">
        <v>-0.0587917862276246</v>
      </c>
      <c r="AB49" s="7" t="n">
        <v>-0.1198895574026921</v>
      </c>
      <c r="AC49" s="7" t="n">
        <v>-0.08134065485905673</v>
      </c>
      <c r="AD49" s="7" t="n">
        <v>0.04910374646109883</v>
      </c>
      <c r="AE49" s="9" t="n">
        <v>-0.5489542035247723</v>
      </c>
      <c r="AF49" s="7" t="n">
        <v>-0.4780891256461359</v>
      </c>
      <c r="AG49" s="8" t="n">
        <v>5.004294144443861</v>
      </c>
      <c r="AH49" s="60" t="n">
        <v>4.74770749427843</v>
      </c>
      <c r="AI49" s="31" t="n">
        <v>-1.623655139131279</v>
      </c>
      <c r="AJ49" s="7" t="n">
        <v>0.7281036932405596</v>
      </c>
      <c r="AK49" s="7" t="n">
        <v>-0.3346461808776793</v>
      </c>
      <c r="AL49" s="7" t="n">
        <v>0.3402633721290096</v>
      </c>
      <c r="AM49" s="7" t="n">
        <v>-1.394409255430525</v>
      </c>
      <c r="AN49" s="31" t="n">
        <v>-0.3577647182065027</v>
      </c>
      <c r="AO49" s="7" t="n">
        <v>-0.7692560690699319</v>
      </c>
      <c r="AP49" s="7" t="n">
        <v>-0.705253807845752</v>
      </c>
      <c r="AQ49" s="7" t="n">
        <v>-0.7441085355153827</v>
      </c>
      <c r="AR49" s="7" t="n">
        <v>42.13074150514672</v>
      </c>
      <c r="AS49" s="31" t="n">
        <v>12.56692987941424</v>
      </c>
      <c r="AT49" s="7" t="n">
        <v>6.87254299884</v>
      </c>
      <c r="AU49" s="7" t="n">
        <v>10.86642460855725</v>
      </c>
      <c r="AV49" s="8" t="n">
        <v>11.72922736683368</v>
      </c>
      <c r="AW49" s="7" t="n">
        <v>46.04826286121566</v>
      </c>
      <c r="AX49" s="31" t="n">
        <v>5.72770857744073</v>
      </c>
      <c r="AY49" s="7" t="n">
        <v>2.585334744327312</v>
      </c>
      <c r="AZ49" s="7" t="n">
        <v>3.362967148203793</v>
      </c>
      <c r="BA49" s="7" t="n">
        <v>4.555050273267831</v>
      </c>
      <c r="BB49" s="7" t="n">
        <v>140.9801839264032</v>
      </c>
      <c r="BC49" s="31" t="n">
        <v>-14.4187655632374</v>
      </c>
      <c r="BD49" s="7" t="n">
        <v>-11.32495934590477</v>
      </c>
      <c r="BE49" s="7" t="n">
        <v>-17.53858065321032</v>
      </c>
      <c r="BF49" s="7" t="n">
        <v>-16.53932888182194</v>
      </c>
      <c r="BG49" s="7" t="n">
        <v>7.820490327913887</v>
      </c>
      <c r="BH49" s="31" t="n">
        <v>0.517320363294214</v>
      </c>
      <c r="BI49" s="7" t="n">
        <v>0.3896243395605623</v>
      </c>
      <c r="BJ49" s="7" t="n">
        <v>0.3477017342233841</v>
      </c>
      <c r="BK49" s="7" t="n">
        <v>0.5706067742304688</v>
      </c>
      <c r="BL49" s="7" t="n">
        <v>3.23853643003026</v>
      </c>
      <c r="BM49" s="31" t="n">
        <v>-3.317943253179904</v>
      </c>
      <c r="BN49" s="7" t="n">
        <v>-3.399423859483076</v>
      </c>
      <c r="BO49" s="7" t="n">
        <v>-3.785656971595333</v>
      </c>
      <c r="BP49" s="7" t="n">
        <v>-3.756137035733018</v>
      </c>
      <c r="BQ49" s="7" t="n">
        <v>67.6285676538871</v>
      </c>
      <c r="BR49" s="31" t="n">
        <v>17.10001606807704</v>
      </c>
      <c r="BS49" s="7" t="n">
        <v>8.373899475732237</v>
      </c>
      <c r="BT49" s="7" t="n">
        <v>15.04974612025561</v>
      </c>
      <c r="BU49" s="8" t="n">
        <v>16.05553609762332</v>
      </c>
      <c r="BV49" s="9" t="n">
        <v>19.94314863907507</v>
      </c>
      <c r="BW49" s="31" t="n">
        <v>-1.710853779084733</v>
      </c>
      <c r="BX49" s="7" t="n">
        <v>9.104231230277421</v>
      </c>
      <c r="BY49" s="7" t="n">
        <v>5.674184315695864</v>
      </c>
      <c r="BZ49" s="7" t="n">
        <v>7.335542238437002</v>
      </c>
      <c r="CA49" s="7" t="n">
        <v>16.02422713682593</v>
      </c>
      <c r="CB49" s="31" t="n">
        <v>14.7962712187871</v>
      </c>
      <c r="CC49" s="7" t="n">
        <v>9.088646865874177</v>
      </c>
      <c r="CD49" s="7" t="n">
        <v>11.44897527023037</v>
      </c>
      <c r="CE49" s="8" t="n">
        <v>17.47693503124764</v>
      </c>
    </row>
    <row r="50">
      <c r="A50" s="251" t="n">
        <v>42370</v>
      </c>
      <c r="B50" s="3" t="n">
        <v>0</v>
      </c>
      <c r="C50" s="6" t="n">
        <v>26.62627341152504</v>
      </c>
      <c r="D50" s="31" t="n">
        <v>2.36937867251665</v>
      </c>
      <c r="E50" s="7" t="n">
        <v>2.923234685411961</v>
      </c>
      <c r="F50" s="7" t="n">
        <v>3.355732099138557</v>
      </c>
      <c r="G50" s="7" t="n">
        <v>4.226267495471109</v>
      </c>
      <c r="H50" s="9" t="n">
        <v>51.35127015765051</v>
      </c>
      <c r="I50" s="31" t="n">
        <v>7.210991779805049</v>
      </c>
      <c r="J50" s="7" t="n">
        <v>6.003040176960496</v>
      </c>
      <c r="K50" s="7" t="n">
        <v>8.618330128819082</v>
      </c>
      <c r="L50" s="7" t="n">
        <v>10.45552360059446</v>
      </c>
      <c r="M50" s="9" t="n">
        <v>13.82058278267323</v>
      </c>
      <c r="N50" s="7" t="n">
        <v>12.00972535149481</v>
      </c>
      <c r="O50" s="8" t="n">
        <v>10.71592468301318</v>
      </c>
      <c r="P50" s="7" t="n">
        <v>69.15000000000001</v>
      </c>
      <c r="Q50" s="31" t="n">
        <v>-10.69999999999999</v>
      </c>
      <c r="R50" s="7" t="n">
        <v>-4.224999999999994</v>
      </c>
      <c r="S50" s="7" t="n">
        <v>-8.099999999999994</v>
      </c>
      <c r="T50" s="7" t="n">
        <v>-7.674999999999997</v>
      </c>
      <c r="U50" s="9" t="n">
        <v>3.524248142428263</v>
      </c>
      <c r="V50" s="31" t="n">
        <v>-0.1256487183492472</v>
      </c>
      <c r="W50" s="7" t="n">
        <v>0.006575508337290703</v>
      </c>
      <c r="X50" s="7" t="n">
        <v>-0.06969428629724739</v>
      </c>
      <c r="Y50" s="7" t="n">
        <v>0.1005023516200643</v>
      </c>
      <c r="Z50" s="9" t="n">
        <v>7.530982061216837</v>
      </c>
      <c r="AA50" s="31" t="n">
        <v>-0.02683180010970343</v>
      </c>
      <c r="AB50" s="7" t="n">
        <v>-0.1409131238683847</v>
      </c>
      <c r="AC50" s="7" t="n">
        <v>-0.07411682612246917</v>
      </c>
      <c r="AD50" s="7" t="n">
        <v>-0.01685499973473803</v>
      </c>
      <c r="AE50" s="9" t="n">
        <v>-3.497982100345439</v>
      </c>
      <c r="AF50" s="7" t="n">
        <v>-2.272126869825229</v>
      </c>
      <c r="AG50" s="8" t="n">
        <v>3.0252343882795</v>
      </c>
      <c r="AH50" s="60" t="n">
        <v>4.89211963897794</v>
      </c>
      <c r="AI50" s="31" t="n">
        <v>-1.612933934599207</v>
      </c>
      <c r="AJ50" s="7" t="n">
        <v>0.712122916421156</v>
      </c>
      <c r="AK50" s="7" t="n">
        <v>-0.3722599594883089</v>
      </c>
      <c r="AL50" s="7" t="n">
        <v>0.3013212168838733</v>
      </c>
      <c r="AM50" s="7" t="n">
        <v>-1.262231321760834</v>
      </c>
      <c r="AN50" s="31" t="n">
        <v>0.3863902191209225</v>
      </c>
      <c r="AO50" s="7" t="n">
        <v>-0.9097304322856773</v>
      </c>
      <c r="AP50" s="7" t="n">
        <v>-0.3807618569085781</v>
      </c>
      <c r="AQ50" s="7" t="n">
        <v>-0.5498544160238201</v>
      </c>
      <c r="AR50" s="7" t="n">
        <v>46.38774802398468</v>
      </c>
      <c r="AS50" s="31" t="n">
        <v>13.05743102046338</v>
      </c>
      <c r="AT50" s="7" t="n">
        <v>8.77114243074271</v>
      </c>
      <c r="AU50" s="7" t="n">
        <v>13.40529537768522</v>
      </c>
      <c r="AV50" s="8" t="n">
        <v>14.87175566967549</v>
      </c>
      <c r="AW50" s="7" t="n">
        <v>48.62013553582116</v>
      </c>
      <c r="AX50" s="31" t="n">
        <v>3.22702819914803</v>
      </c>
      <c r="AY50" s="7" t="n">
        <v>3.78554748217384</v>
      </c>
      <c r="AZ50" s="7" t="n">
        <v>5.28850613672747</v>
      </c>
      <c r="BA50" s="7" t="n">
        <v>6.431998045797364</v>
      </c>
      <c r="BB50" s="7" t="n">
        <v>148.4809900569084</v>
      </c>
      <c r="BC50" s="31" t="n">
        <v>-17.89402422377651</v>
      </c>
      <c r="BD50" s="7" t="n">
        <v>-7.081710246790607</v>
      </c>
      <c r="BE50" s="7" t="n">
        <v>-7.206534686228963</v>
      </c>
      <c r="BF50" s="7" t="n">
        <v>-8.379724375509966</v>
      </c>
      <c r="BG50" s="7" t="n">
        <v>7.969854709480413</v>
      </c>
      <c r="BH50" s="31" t="n">
        <v>0.231958559394295</v>
      </c>
      <c r="BI50" s="7" t="n">
        <v>0.4651818793403204</v>
      </c>
      <c r="BJ50" s="7" t="n">
        <v>0.3996600308997698</v>
      </c>
      <c r="BK50" s="7" t="n">
        <v>0.6334783119220475</v>
      </c>
      <c r="BL50" s="7" t="n">
        <v>3.801563924817526</v>
      </c>
      <c r="BM50" s="31" t="n">
        <v>-2.309112299052863</v>
      </c>
      <c r="BN50" s="7" t="n">
        <v>-2.568081884460303</v>
      </c>
      <c r="BO50" s="7" t="n">
        <v>-2.372773511937298</v>
      </c>
      <c r="BP50" s="7" t="n">
        <v>-3.226465680588682</v>
      </c>
      <c r="BQ50" s="7" t="n">
        <v>72.09906922325082</v>
      </c>
      <c r="BR50" s="31" t="n">
        <v>20.57679585035855</v>
      </c>
      <c r="BS50" s="7" t="n">
        <v>10.3352177463308</v>
      </c>
      <c r="BT50" s="7" t="n">
        <v>17.42677282068627</v>
      </c>
      <c r="BU50" s="8" t="n">
        <v>19.12820242114302</v>
      </c>
      <c r="BV50" s="9" t="n">
        <v>22.58218446634375</v>
      </c>
      <c r="BW50" s="31" t="n">
        <v>-0.7816853363425835</v>
      </c>
      <c r="BX50" s="7" t="n">
        <v>12.75095174730385</v>
      </c>
      <c r="BY50" s="7" t="n">
        <v>6.037162335395184</v>
      </c>
      <c r="BZ50" s="7" t="n">
        <v>9.066032952963139</v>
      </c>
      <c r="CA50" s="7" t="n">
        <v>14.08986530598576</v>
      </c>
      <c r="CB50" s="31" t="n">
        <v>7.367961134734333</v>
      </c>
      <c r="CC50" s="7" t="n">
        <v>5.924119214201149</v>
      </c>
      <c r="CD50" s="7" t="n">
        <v>7.242451722921658</v>
      </c>
      <c r="CE50" s="8" t="n">
        <v>12.94126301252816</v>
      </c>
    </row>
    <row r="51">
      <c r="A51" s="251" t="n">
        <v>42461</v>
      </c>
      <c r="B51" s="3" t="n">
        <v>0</v>
      </c>
      <c r="C51" s="6" t="n">
        <v>28.30557384646497</v>
      </c>
      <c r="D51" s="31" t="n">
        <v>4.795678233444871</v>
      </c>
      <c r="E51" s="7" t="n">
        <v>3.543040325416118</v>
      </c>
      <c r="F51" s="7" t="n">
        <v>4.304223862725493</v>
      </c>
      <c r="G51" s="7" t="n">
        <v>5.439567191685281</v>
      </c>
      <c r="H51" s="9" t="n">
        <v>50.02465884948498</v>
      </c>
      <c r="I51" s="31" t="n">
        <v>5.455568841192864</v>
      </c>
      <c r="J51" s="7" t="n">
        <v>5.212108559729</v>
      </c>
      <c r="K51" s="7" t="n">
        <v>5.790958776413426</v>
      </c>
      <c r="L51" s="7" t="n">
        <v>7.894371418758347</v>
      </c>
      <c r="M51" s="9" t="n">
        <v>10.83723939034508</v>
      </c>
      <c r="N51" s="7" t="n">
        <v>11.41893986823925</v>
      </c>
      <c r="O51" s="8" t="n">
        <v>11.60269811868064</v>
      </c>
      <c r="P51" s="7" t="n">
        <v>67.15000000000001</v>
      </c>
      <c r="Q51" s="31" t="n">
        <v>-13.34999999999999</v>
      </c>
      <c r="R51" s="7" t="n">
        <v>-6.950000000000003</v>
      </c>
      <c r="S51" s="7" t="n">
        <v>-9.043750000000003</v>
      </c>
      <c r="T51" s="7" t="n">
        <v>-9.662499999999994</v>
      </c>
      <c r="U51" s="9" t="n">
        <v>3.449032925201675</v>
      </c>
      <c r="V51" s="31" t="n">
        <v>-0.2029403443055933</v>
      </c>
      <c r="W51" s="7" t="n">
        <v>-0.08165803229075697</v>
      </c>
      <c r="X51" s="7" t="n">
        <v>-0.1465533806081574</v>
      </c>
      <c r="Y51" s="7" t="n">
        <v>-0.01691257420119907</v>
      </c>
      <c r="Z51" s="9" t="n">
        <v>7.405507477409783</v>
      </c>
      <c r="AA51" s="31" t="n">
        <v>-0.03967802116403529</v>
      </c>
      <c r="AB51" s="7" t="n">
        <v>-0.1749579262113388</v>
      </c>
      <c r="AC51" s="7" t="n">
        <v>-0.1643631289624263</v>
      </c>
      <c r="AD51" s="7" t="n">
        <v>-0.1751749541194405</v>
      </c>
      <c r="AE51" s="9" t="n">
        <v>-5.013751568383327</v>
      </c>
      <c r="AF51" s="7" t="n">
        <v>-2.743844490224944</v>
      </c>
      <c r="AG51" s="8" t="n">
        <v>0.6506283013623033</v>
      </c>
      <c r="AH51" s="60" t="n">
        <v>5.085489698990841</v>
      </c>
      <c r="AI51" s="31" t="n">
        <v>-0.6938331298242897</v>
      </c>
      <c r="AJ51" s="7" t="n">
        <v>0.4983733597560338</v>
      </c>
      <c r="AK51" s="7" t="n">
        <v>-0.3569206285806965</v>
      </c>
      <c r="AL51" s="7" t="n">
        <v>0.3272454792916042</v>
      </c>
      <c r="AM51" s="7" t="n">
        <v>-0.4248803736346994</v>
      </c>
      <c r="AN51" s="31" t="n">
        <v>2.307092438583252</v>
      </c>
      <c r="AO51" s="7" t="n">
        <v>-0.6183158478739214</v>
      </c>
      <c r="AP51" s="7" t="n">
        <v>0.6840216992889763</v>
      </c>
      <c r="AQ51" s="7" t="n">
        <v>0.3495656561173879</v>
      </c>
      <c r="AR51" s="7" t="n">
        <v>45.81819138610706</v>
      </c>
      <c r="AS51" s="31" t="n">
        <v>13.123607956255</v>
      </c>
      <c r="AT51" s="7" t="n">
        <v>8.474069431472651</v>
      </c>
      <c r="AU51" s="7" t="n">
        <v>10.64295313212192</v>
      </c>
      <c r="AV51" s="8" t="n">
        <v>12.8418133649912</v>
      </c>
      <c r="AW51" s="7" t="n">
        <v>47.05817404583694</v>
      </c>
      <c r="AX51" s="31" t="n">
        <v>2.372319555503751</v>
      </c>
      <c r="AY51" s="7" t="n">
        <v>2.579401112562188</v>
      </c>
      <c r="AZ51" s="7" t="n">
        <v>2.780157776199786</v>
      </c>
      <c r="BA51" s="7" t="n">
        <v>4.048992037810891</v>
      </c>
      <c r="BB51" s="7" t="n">
        <v>145.5925507737872</v>
      </c>
      <c r="BC51" s="31" t="n">
        <v>-6.367391632167823</v>
      </c>
      <c r="BD51" s="7" t="n">
        <v>-8.68166786136112</v>
      </c>
      <c r="BE51" s="7" t="n">
        <v>-8.324546407652491</v>
      </c>
      <c r="BF51" s="7" t="n">
        <v>-10.95402219821759</v>
      </c>
      <c r="BG51" s="7" t="n">
        <v>7.939020391498938</v>
      </c>
      <c r="BH51" s="31" t="n">
        <v>-0.3154937249504917</v>
      </c>
      <c r="BI51" s="7" t="n">
        <v>0.408627640150776</v>
      </c>
      <c r="BJ51" s="7" t="n">
        <v>0.252530243083215</v>
      </c>
      <c r="BK51" s="7" t="n">
        <v>0.5053594509160604</v>
      </c>
      <c r="BL51" s="7" t="n">
        <v>4.711910600430121</v>
      </c>
      <c r="BM51" s="31" t="n">
        <v>-0.2172324696002015</v>
      </c>
      <c r="BN51" s="7" t="n">
        <v>-1.887531315226562</v>
      </c>
      <c r="BO51" s="7" t="n">
        <v>-0.8204063652096272</v>
      </c>
      <c r="BP51" s="7" t="n">
        <v>-2.093556120016588</v>
      </c>
      <c r="BQ51" s="7" t="n">
        <v>76.41920513332366</v>
      </c>
      <c r="BR51" s="31" t="n">
        <v>23.22821902388743</v>
      </c>
      <c r="BS51" s="7" t="n">
        <v>12.17743178763835</v>
      </c>
      <c r="BT51" s="7" t="n">
        <v>19.16310429417639</v>
      </c>
      <c r="BU51" s="8" t="n">
        <v>21.55690409894846</v>
      </c>
      <c r="BV51" s="9" t="n">
        <v>21.94564946250462</v>
      </c>
      <c r="BW51" s="31" t="n">
        <v>-0.8165625154848222</v>
      </c>
      <c r="BX51" s="7" t="n">
        <v>6.937655301391497</v>
      </c>
      <c r="BY51" s="7" t="n">
        <v>2.212889394730094</v>
      </c>
      <c r="BZ51" s="7" t="n">
        <v>7.717181908611733</v>
      </c>
      <c r="CA51" s="7" t="n">
        <v>12.37853863178066</v>
      </c>
      <c r="CB51" s="31" t="n">
        <v>3.436877435454697</v>
      </c>
      <c r="CC51" s="7" t="n">
        <v>4.216300472378309</v>
      </c>
      <c r="CD51" s="7" t="n">
        <v>4.050095245166265</v>
      </c>
      <c r="CE51" s="8" t="n">
        <v>8.668335922210257</v>
      </c>
    </row>
    <row r="52">
      <c r="A52" s="251" t="n">
        <v>42552</v>
      </c>
      <c r="B52" s="3" t="n">
        <v>0</v>
      </c>
      <c r="C52" s="6" t="n">
        <v>27.44763339275065</v>
      </c>
      <c r="D52" s="31" t="n">
        <v>2.69855479451547</v>
      </c>
      <c r="E52" s="7" t="n">
        <v>2.532528939430954</v>
      </c>
      <c r="F52" s="7" t="n">
        <v>2.560523327657148</v>
      </c>
      <c r="G52" s="7" t="n">
        <v>3.978889340005257</v>
      </c>
      <c r="H52" s="9" t="n">
        <v>47.51564443492685</v>
      </c>
      <c r="I52" s="31" t="n">
        <v>0.3393570014474534</v>
      </c>
      <c r="J52" s="7" t="n">
        <v>4.266008149715933</v>
      </c>
      <c r="K52" s="7" t="n">
        <v>1.978917221923041</v>
      </c>
      <c r="L52" s="7" t="n">
        <v>4.267795400993478</v>
      </c>
      <c r="M52" s="9" t="n">
        <v>-1.208033223475923</v>
      </c>
      <c r="N52" s="7" t="n">
        <v>9.581280931456945</v>
      </c>
      <c r="O52" s="8" t="n">
        <v>8.085341024652811</v>
      </c>
      <c r="P52" s="7" t="n">
        <v>64.5</v>
      </c>
      <c r="Q52" s="31" t="n">
        <v>-9.449999999999989</v>
      </c>
      <c r="R52" s="7" t="n">
        <v>-7.275000000000006</v>
      </c>
      <c r="S52" s="7" t="n">
        <v>-9.956249999999997</v>
      </c>
      <c r="T52" s="7" t="n">
        <v>-11.07916666666667</v>
      </c>
      <c r="U52" s="9" t="n">
        <v>3.385366530589548</v>
      </c>
      <c r="V52" s="31" t="n">
        <v>-0.2205598689067756</v>
      </c>
      <c r="W52" s="7" t="n">
        <v>-0.1036903900986539</v>
      </c>
      <c r="X52" s="7" t="n">
        <v>-0.1898052671475949</v>
      </c>
      <c r="Y52" s="7" t="n">
        <v>-0.1181273412941826</v>
      </c>
      <c r="Z52" s="9" t="n">
        <v>7.33959438021847</v>
      </c>
      <c r="AA52" s="31" t="n">
        <v>-0.1397821472480283</v>
      </c>
      <c r="AB52" s="7" t="n">
        <v>-0.1421680812267914</v>
      </c>
      <c r="AC52" s="7" t="n">
        <v>-0.1865367446009047</v>
      </c>
      <c r="AD52" s="7" t="n">
        <v>-0.2501187822961688</v>
      </c>
      <c r="AE52" s="9" t="n">
        <v>-6.535759455982316</v>
      </c>
      <c r="AF52" s="7" t="n">
        <v>-3.133599559287291</v>
      </c>
      <c r="AG52" s="8" t="n">
        <v>-1.681734462565335</v>
      </c>
      <c r="AH52" s="60" t="n">
        <v>3.261919311894865</v>
      </c>
      <c r="AI52" s="31" t="n">
        <v>-1.173305483556529</v>
      </c>
      <c r="AJ52" s="7" t="n">
        <v>-1.728914682344456</v>
      </c>
      <c r="AK52" s="7" t="n">
        <v>-2.305084355615681</v>
      </c>
      <c r="AL52" s="7" t="n">
        <v>-1.650040028646254</v>
      </c>
      <c r="AM52" s="7" t="n">
        <v>-1.47620347256004</v>
      </c>
      <c r="AN52" s="31" t="n">
        <v>0.5435763830632212</v>
      </c>
      <c r="AO52" s="7" t="n">
        <v>-0.9434474450979216</v>
      </c>
      <c r="AP52" s="7" t="n">
        <v>-0.212722437667884</v>
      </c>
      <c r="AQ52" s="7" t="n">
        <v>-0.7254271603188406</v>
      </c>
      <c r="AR52" s="7" t="n">
        <v>46.94919679930757</v>
      </c>
      <c r="AS52" s="31" t="n">
        <v>8.505016826513838</v>
      </c>
      <c r="AT52" s="7" t="n">
        <v>8.484362425809593</v>
      </c>
      <c r="AU52" s="7" t="n">
        <v>9.655441187454272</v>
      </c>
      <c r="AV52" s="8" t="n">
        <v>12.54951788352808</v>
      </c>
      <c r="AW52" s="7" t="n">
        <v>45.81408291324961</v>
      </c>
      <c r="AX52" s="31" t="n">
        <v>-0.1471834793341742</v>
      </c>
      <c r="AY52" s="7" t="n">
        <v>2.259252738633403</v>
      </c>
      <c r="AZ52" s="7" t="n">
        <v>0.8912163654719123</v>
      </c>
      <c r="BA52" s="7" t="n">
        <v>2.194024901317576</v>
      </c>
      <c r="BB52" s="7" t="n">
        <v>146.5093159268881</v>
      </c>
      <c r="BC52" s="31" t="n">
        <v>0.8713010435386082</v>
      </c>
      <c r="BD52" s="7" t="n">
        <v>-6.519239992589107</v>
      </c>
      <c r="BE52" s="7" t="n">
        <v>-5.237364289211257</v>
      </c>
      <c r="BF52" s="7" t="n">
        <v>-9.020348158485007</v>
      </c>
      <c r="BG52" s="7" t="n">
        <v>7.639095419148402</v>
      </c>
      <c r="BH52" s="31" t="n">
        <v>-0.4289295073408192</v>
      </c>
      <c r="BI52" s="7" t="n">
        <v>0.2114447690293715</v>
      </c>
      <c r="BJ52" s="7" t="n">
        <v>-0.1495516393050149</v>
      </c>
      <c r="BK52" s="7" t="n">
        <v>0.105867479284008</v>
      </c>
      <c r="BL52" s="7" t="n">
        <v>4.154766102443943</v>
      </c>
      <c r="BM52" s="31" t="n">
        <v>0.03121326566583171</v>
      </c>
      <c r="BN52" s="7" t="n">
        <v>-1.428422111527015</v>
      </c>
      <c r="BO52" s="7" t="n">
        <v>-0.9056680343891657</v>
      </c>
      <c r="BP52" s="7" t="n">
        <v>-2.326490377292626</v>
      </c>
      <c r="BQ52" s="7" t="n">
        <v>78.75636365878064</v>
      </c>
      <c r="BR52" s="31" t="n">
        <v>19.94928611052466</v>
      </c>
      <c r="BS52" s="7" t="n">
        <v>13.27421199859099</v>
      </c>
      <c r="BT52" s="7" t="n">
        <v>18.45590487272379</v>
      </c>
      <c r="BU52" s="8" t="n">
        <v>21.60853732402376</v>
      </c>
      <c r="BV52" s="9" t="n">
        <v>20.58260813583891</v>
      </c>
      <c r="BW52" s="31" t="n">
        <v>0.4304679488613665</v>
      </c>
      <c r="BX52" s="7" t="n">
        <v>0.6242119722981432</v>
      </c>
      <c r="BY52" s="7" t="n">
        <v>-0.884565757283486</v>
      </c>
      <c r="BZ52" s="7" t="n">
        <v>5.507268036086243</v>
      </c>
      <c r="CA52" s="7" t="n">
        <v>9.168710473540195</v>
      </c>
      <c r="CB52" s="31" t="n">
        <v>-3.839770685605288</v>
      </c>
      <c r="CC52" s="7" t="n">
        <v>3.250597977611249</v>
      </c>
      <c r="CD52" s="7" t="n">
        <v>-0.2138080311687744</v>
      </c>
      <c r="CE52" s="8" t="n">
        <v>3.248099793931424</v>
      </c>
    </row>
    <row r="53">
      <c r="A53" s="251" t="n">
        <v>42644</v>
      </c>
      <c r="B53" s="3" t="n">
        <v>0</v>
      </c>
      <c r="C53" s="6" t="n">
        <v>27.70010348969462</v>
      </c>
      <c r="D53" s="31" t="n">
        <v>1.141555864251036</v>
      </c>
      <c r="E53" s="7" t="n">
        <v>2.4960311582663</v>
      </c>
      <c r="F53" s="7" t="n">
        <v>2.179861189743377</v>
      </c>
      <c r="G53" s="7" t="n">
        <v>3.649618799670701</v>
      </c>
      <c r="H53" s="9" t="n">
        <v>44.49691564945392</v>
      </c>
      <c r="I53" s="31" t="n">
        <v>-4.146498036883528</v>
      </c>
      <c r="J53" s="7" t="n">
        <v>2.545862297004181</v>
      </c>
      <c r="K53" s="7" t="n">
        <v>-2.106313600978865</v>
      </c>
      <c r="L53" s="7" t="n">
        <v>0.3795121221215325</v>
      </c>
      <c r="M53" s="9" t="n">
        <v>-9.678040393382389</v>
      </c>
      <c r="N53" s="7" t="n">
        <v>4.911670337502187</v>
      </c>
      <c r="O53" s="8" t="n">
        <v>4.777870650567896</v>
      </c>
      <c r="P53" s="7" t="n">
        <v>65.59999999999999</v>
      </c>
      <c r="Q53" s="31" t="n">
        <v>-4.150000000000006</v>
      </c>
      <c r="R53" s="7" t="n">
        <v>-5.325000000000003</v>
      </c>
      <c r="S53" s="7" t="n">
        <v>-7.037499999999994</v>
      </c>
      <c r="T53" s="7" t="n">
        <v>-8.841666666666669</v>
      </c>
      <c r="U53" s="9" t="n">
        <v>3.36509168952506</v>
      </c>
      <c r="V53" s="31" t="n">
        <v>-0.1855774382654278</v>
      </c>
      <c r="W53" s="7" t="n">
        <v>-0.1058943281918521</v>
      </c>
      <c r="X53" s="7" t="n">
        <v>-0.1841575106874203</v>
      </c>
      <c r="Y53" s="7" t="n">
        <v>-0.1669847512424361</v>
      </c>
      <c r="Z53" s="9" t="n">
        <v>7.408206510863727</v>
      </c>
      <c r="AA53" s="31" t="n">
        <v>-0.1455241109671945</v>
      </c>
      <c r="AB53" s="7" t="n">
        <v>-0.1021579485974096</v>
      </c>
      <c r="AC53" s="7" t="n">
        <v>-0.08238259364894951</v>
      </c>
      <c r="AD53" s="7" t="n">
        <v>-0.1676588853192591</v>
      </c>
      <c r="AE53" s="9" t="n">
        <v>-6.892057579000152</v>
      </c>
      <c r="AF53" s="7" t="n">
        <v>-3.720505891262462</v>
      </c>
      <c r="AG53" s="8" t="n">
        <v>-2.616078610097475</v>
      </c>
      <c r="AH53" s="60" t="n">
        <v>3.050949266085427</v>
      </c>
      <c r="AI53" s="31" t="n">
        <v>-1.696758228193003</v>
      </c>
      <c r="AJ53" s="7" t="n">
        <v>-1.660206683662141</v>
      </c>
      <c r="AK53" s="7" t="n">
        <v>-2.083825730839005</v>
      </c>
      <c r="AL53" s="7" t="n">
        <v>-1.836222862697152</v>
      </c>
      <c r="AM53" s="7" t="n">
        <v>-1.486393443648704</v>
      </c>
      <c r="AN53" s="31" t="n">
        <v>-0.09198418821817844</v>
      </c>
      <c r="AO53" s="7" t="n">
        <v>-0.2248744532123406</v>
      </c>
      <c r="AP53" s="7" t="n">
        <v>0.01294945251793256</v>
      </c>
      <c r="AQ53" s="7" t="n">
        <v>-0.6471461099766799</v>
      </c>
      <c r="AR53" s="7" t="n">
        <v>47.37759642918648</v>
      </c>
      <c r="AS53" s="31" t="n">
        <v>5.246854924039766</v>
      </c>
      <c r="AT53" s="7" t="n">
        <v>8.906892401727003</v>
      </c>
      <c r="AU53" s="7" t="n">
        <v>7.962750210880785</v>
      </c>
      <c r="AV53" s="8" t="n">
        <v>11.42756202191467</v>
      </c>
      <c r="AW53" s="7" t="n">
        <v>43.40506118739489</v>
      </c>
      <c r="AX53" s="31" t="n">
        <v>-2.643201673820776</v>
      </c>
      <c r="AY53" s="7" t="n">
        <v>1.542253451809977</v>
      </c>
      <c r="AZ53" s="7" t="n">
        <v>-2.082618545041164</v>
      </c>
      <c r="BA53" s="7" t="n">
        <v>-0.6801905676233062</v>
      </c>
      <c r="BB53" s="7" t="n">
        <v>139.8024775925829</v>
      </c>
      <c r="BC53" s="31" t="n">
        <v>-1.177706333820311</v>
      </c>
      <c r="BD53" s="7" t="n">
        <v>-7.798235948528855</v>
      </c>
      <c r="BE53" s="7" t="n">
        <v>-10.31439262536921</v>
      </c>
      <c r="BF53" s="7" t="n">
        <v>-14.34028551749168</v>
      </c>
      <c r="BG53" s="7" t="n">
        <v>7.467660884739198</v>
      </c>
      <c r="BH53" s="31" t="n">
        <v>-0.3528294431746888</v>
      </c>
      <c r="BI53" s="7" t="n">
        <v>0.08224546005976263</v>
      </c>
      <c r="BJ53" s="7" t="n">
        <v>-0.373847365971562</v>
      </c>
      <c r="BK53" s="7" t="n">
        <v>-0.1282365817246065</v>
      </c>
      <c r="BL53" s="7" t="n">
        <v>3.368856632922174</v>
      </c>
      <c r="BM53" s="31" t="n">
        <v>0.1303202028919141</v>
      </c>
      <c r="BN53" s="7" t="n">
        <v>-1.593811525143995</v>
      </c>
      <c r="BO53" s="7" t="n">
        <v>-1.334471976029181</v>
      </c>
      <c r="BP53" s="7" t="n">
        <v>-2.639503722971708</v>
      </c>
      <c r="BQ53" s="7" t="n">
        <v>78.89672869363321</v>
      </c>
      <c r="BR53" s="31" t="n">
        <v>11.2681610397461</v>
      </c>
      <c r="BS53" s="7" t="n">
        <v>14.18408855391157</v>
      </c>
      <c r="BT53" s="7" t="n">
        <v>15.27771690792861</v>
      </c>
      <c r="BU53" s="8" t="n">
        <v>19.26891386544202</v>
      </c>
      <c r="BV53" s="9" t="n">
        <v>18.62408191203494</v>
      </c>
      <c r="BW53" s="31" t="n">
        <v>-1.319066727040134</v>
      </c>
      <c r="BX53" s="7" t="n">
        <v>-1.514960253062434</v>
      </c>
      <c r="BY53" s="7" t="n">
        <v>-2.999144974161997</v>
      </c>
      <c r="BZ53" s="7" t="n">
        <v>2.023639804468605</v>
      </c>
      <c r="CA53" s="7" t="n">
        <v>5.999955098328935</v>
      </c>
      <c r="CB53" s="31" t="n">
        <v>-10.024272038497</v>
      </c>
      <c r="CC53" s="7" t="n">
        <v>2.385999590145052</v>
      </c>
      <c r="CD53" s="7" t="n">
        <v>-4.195212900782844</v>
      </c>
      <c r="CE53" s="8" t="n">
        <v>-1.355324608412484</v>
      </c>
    </row>
    <row r="54">
      <c r="A54" s="251" t="n">
        <v>42736</v>
      </c>
      <c r="B54" s="3" t="n">
        <v>0</v>
      </c>
      <c r="C54" s="6" t="n">
        <v>27.51993328177232</v>
      </c>
      <c r="D54" s="31" t="n">
        <v>0.8936598702472871</v>
      </c>
      <c r="E54" s="7" t="n">
        <v>1.631519271381968</v>
      </c>
      <c r="F54" s="7" t="n">
        <v>1.37568319225451</v>
      </c>
      <c r="G54" s="7" t="n">
        <v>2.832940395145069</v>
      </c>
      <c r="H54" s="9" t="n">
        <v>42.19711926964946</v>
      </c>
      <c r="I54" s="31" t="n">
        <v>-9.154150888001048</v>
      </c>
      <c r="J54" s="7" t="n">
        <v>-0.9715795540979997</v>
      </c>
      <c r="K54" s="7" t="n">
        <v>-5.042575555034375</v>
      </c>
      <c r="L54" s="7" t="n">
        <v>-2.407214840531182</v>
      </c>
      <c r="M54" s="9" t="n">
        <v>-20.50490557093485</v>
      </c>
      <c r="N54" s="7" t="n">
        <v>-3.342161394130812</v>
      </c>
      <c r="O54" s="8" t="n">
        <v>1.171515044018254</v>
      </c>
      <c r="P54" s="7" t="n">
        <v>67.25</v>
      </c>
      <c r="Q54" s="31" t="n">
        <v>-1.900000000000006</v>
      </c>
      <c r="R54" s="7" t="n">
        <v>-6.299999999999997</v>
      </c>
      <c r="S54" s="7" t="n">
        <v>-4.056250000000006</v>
      </c>
      <c r="T54" s="7" t="n">
        <v>-6.450000000000003</v>
      </c>
      <c r="U54" s="9" t="n">
        <v>3.359656163324354</v>
      </c>
      <c r="V54" s="31" t="n">
        <v>-0.1645919791039088</v>
      </c>
      <c r="W54" s="7" t="n">
        <v>-0.145120348726578</v>
      </c>
      <c r="X54" s="7" t="n">
        <v>-0.1631194548401629</v>
      </c>
      <c r="Y54" s="7" t="n">
        <v>-0.1799503964713649</v>
      </c>
      <c r="Z54" s="9" t="n">
        <v>7.481552077794603</v>
      </c>
      <c r="AA54" s="31" t="n">
        <v>-0.04942998342223426</v>
      </c>
      <c r="AB54" s="7" t="n">
        <v>-0.03813089176596884</v>
      </c>
      <c r="AC54" s="7" t="n">
        <v>0.01650246043127801</v>
      </c>
      <c r="AD54" s="7" t="n">
        <v>-0.06220471624066892</v>
      </c>
      <c r="AE54" s="9" t="n">
        <v>-2.413965763730175</v>
      </c>
      <c r="AF54" s="7" t="n">
        <v>-2.955973932037807</v>
      </c>
      <c r="AG54" s="8" t="n">
        <v>-2.319406501126878</v>
      </c>
      <c r="AH54" s="60" t="n">
        <v>3.15285749503489</v>
      </c>
      <c r="AI54" s="31" t="n">
        <v>-1.73926214394305</v>
      </c>
      <c r="AJ54" s="7" t="n">
        <v>-1.676098039271128</v>
      </c>
      <c r="AK54" s="7" t="n">
        <v>-1.566865830974006</v>
      </c>
      <c r="AL54" s="7" t="n">
        <v>-1.714268730271699</v>
      </c>
      <c r="AM54" s="7" t="n">
        <v>-1.13886298662756</v>
      </c>
      <c r="AN54" s="31" t="n">
        <v>0.1233683351332742</v>
      </c>
      <c r="AO54" s="7" t="n">
        <v>0.2548792771270983</v>
      </c>
      <c r="AP54" s="7" t="n">
        <v>0.4166985228421611</v>
      </c>
      <c r="AQ54" s="7" t="n">
        <v>-0.1637409590923662</v>
      </c>
      <c r="AR54" s="7" t="n">
        <v>45.30594377495957</v>
      </c>
      <c r="AS54" s="31" t="n">
        <v>-1.081804249025112</v>
      </c>
      <c r="AT54" s="7" t="n">
        <v>5.987813385719136</v>
      </c>
      <c r="AU54" s="7" t="n">
        <v>3.66437445622212</v>
      </c>
      <c r="AV54" s="8" t="n">
        <v>7.773247624211116</v>
      </c>
      <c r="AW54" s="7" t="n">
        <v>41.32776328508506</v>
      </c>
      <c r="AX54" s="31" t="n">
        <v>-7.292372250736094</v>
      </c>
      <c r="AY54" s="7" t="n">
        <v>-2.032672025794032</v>
      </c>
      <c r="AZ54" s="7" t="n">
        <v>-4.545479810303483</v>
      </c>
      <c r="BA54" s="7" t="n">
        <v>-2.968110787835947</v>
      </c>
      <c r="BB54" s="7" t="n">
        <v>134.8531158692056</v>
      </c>
      <c r="BC54" s="31" t="n">
        <v>-13.62787418770279</v>
      </c>
      <c r="BD54" s="7" t="n">
        <v>-15.76094920573965</v>
      </c>
      <c r="BE54" s="7" t="n">
        <v>-13.31419536161434</v>
      </c>
      <c r="BF54" s="7" t="n">
        <v>-17.30401182206651</v>
      </c>
      <c r="BG54" s="7" t="n">
        <v>7.201245387892745</v>
      </c>
      <c r="BH54" s="31" t="n">
        <v>-0.7686093215876681</v>
      </c>
      <c r="BI54" s="7" t="n">
        <v>-0.2683253810966866</v>
      </c>
      <c r="BJ54" s="7" t="n">
        <v>-0.6608242278329559</v>
      </c>
      <c r="BK54" s="7" t="n">
        <v>-0.4301870148999303</v>
      </c>
      <c r="BL54" s="7" t="n">
        <v>1.870828760267357</v>
      </c>
      <c r="BM54" s="31" t="n">
        <v>-1.930735164550169</v>
      </c>
      <c r="BN54" s="7" t="n">
        <v>-2.119923731801516</v>
      </c>
      <c r="BO54" s="7" t="n">
        <v>-2.434046967397999</v>
      </c>
      <c r="BP54" s="7" t="n">
        <v>-3.581820969287007</v>
      </c>
      <c r="BQ54" s="7" t="n">
        <v>75.24379550566547</v>
      </c>
      <c r="BR54" s="31" t="n">
        <v>3.144726282414652</v>
      </c>
      <c r="BS54" s="7" t="n">
        <v>11.8607610663866</v>
      </c>
      <c r="BT54" s="7" t="n">
        <v>8.078761581482979</v>
      </c>
      <c r="BU54" s="8" t="n">
        <v>13.28131734487341</v>
      </c>
      <c r="BV54" s="9" t="n">
        <v>13.77834267668086</v>
      </c>
      <c r="BW54" s="31" t="n">
        <v>-8.803841789662886</v>
      </c>
      <c r="BX54" s="7" t="n">
        <v>-4.792763563002735</v>
      </c>
      <c r="BY54" s="7" t="n">
        <v>-7.466144146250464</v>
      </c>
      <c r="BZ54" s="7" t="n">
        <v>-4.229549075345034</v>
      </c>
      <c r="CA54" s="7" t="n">
        <v>0.602793494025767</v>
      </c>
      <c r="CB54" s="31" t="n">
        <v>-13.48707181196</v>
      </c>
      <c r="CC54" s="7" t="n">
        <v>-3.059555338612831</v>
      </c>
      <c r="CD54" s="7" t="n">
        <v>-10.18887440262228</v>
      </c>
      <c r="CE54" s="8" t="n">
        <v>-7.431904687153266</v>
      </c>
    </row>
    <row r="55">
      <c r="A55" s="251" t="n">
        <v>42826</v>
      </c>
      <c r="B55" s="3" t="n">
        <v>0</v>
      </c>
      <c r="C55" s="6" t="n">
        <v>26.7547403706743</v>
      </c>
      <c r="D55" s="31" t="n">
        <v>-1.550833475790668</v>
      </c>
      <c r="E55" s="7" t="n">
        <v>1.622422378827101</v>
      </c>
      <c r="F55" s="7" t="n">
        <v>0.2026104633109895</v>
      </c>
      <c r="G55" s="7" t="n">
        <v>1.506070047291104</v>
      </c>
      <c r="H55" s="9" t="n">
        <v>41.25656552601844</v>
      </c>
      <c r="I55" s="31" t="n">
        <v>-8.768093323466537</v>
      </c>
      <c r="J55" s="7" t="n">
        <v>-1.656262241136837</v>
      </c>
      <c r="K55" s="7" t="n">
        <v>-5.740234410140893</v>
      </c>
      <c r="L55" s="7" t="n">
        <v>-3.58542937298887</v>
      </c>
      <c r="M55" s="9" t="n">
        <v>-20.57054996418105</v>
      </c>
      <c r="N55" s="7" t="n">
        <v>-4.86665528691799</v>
      </c>
      <c r="O55" s="8" t="n">
        <v>0.7557765907658146</v>
      </c>
      <c r="P55" s="7" t="n">
        <v>64.44999999999999</v>
      </c>
      <c r="Q55" s="31" t="n">
        <v>-2.700000000000017</v>
      </c>
      <c r="R55" s="7" t="n">
        <v>-8.025000000000006</v>
      </c>
      <c r="S55" s="7" t="n">
        <v>-5.28125</v>
      </c>
      <c r="T55" s="7" t="n">
        <v>-8.387500000000003</v>
      </c>
      <c r="U55" s="9" t="n">
        <v>3.311027986031629</v>
      </c>
      <c r="V55" s="31" t="n">
        <v>-0.1380049391700462</v>
      </c>
      <c r="W55" s="7" t="n">
        <v>-0.1704726417378197</v>
      </c>
      <c r="X55" s="7" t="n">
        <v>-0.1754675449512435</v>
      </c>
      <c r="Y55" s="7" t="n">
        <v>-0.2159584935616454</v>
      </c>
      <c r="Z55" s="9" t="n">
        <v>7.581117543667812</v>
      </c>
      <c r="AA55" s="31" t="n">
        <v>0.1756100662580291</v>
      </c>
      <c r="AB55" s="7" t="n">
        <v>0.06796602254699691</v>
      </c>
      <c r="AC55" s="7" t="n">
        <v>0.12560064924598</v>
      </c>
      <c r="AD55" s="7" t="n">
        <v>0.06496543556245715</v>
      </c>
      <c r="AE55" s="9" t="n">
        <v>2.576386087751757</v>
      </c>
      <c r="AF55" s="7" t="n">
        <v>-1.218682740315785</v>
      </c>
      <c r="AG55" s="8" t="n">
        <v>-0.9704342975660438</v>
      </c>
      <c r="AH55" s="60" t="n">
        <v>3.064677706449985</v>
      </c>
      <c r="AI55" s="31" t="n">
        <v>-2.020811992540856</v>
      </c>
      <c r="AJ55" s="7" t="n">
        <v>-1.357322561182573</v>
      </c>
      <c r="AK55" s="7" t="n">
        <v>-1.23602110974113</v>
      </c>
      <c r="AL55" s="7" t="n">
        <v>-1.776197159598209</v>
      </c>
      <c r="AM55" s="7" t="n">
        <v>-1.801659760520579</v>
      </c>
      <c r="AN55" s="31" t="n">
        <v>-1.37677938688588</v>
      </c>
      <c r="AO55" s="7" t="n">
        <v>0.4651565258486864</v>
      </c>
      <c r="AP55" s="7" t="n">
        <v>-0.3098180703326323</v>
      </c>
      <c r="AQ55" s="7" t="n">
        <v>-0.685196688865545</v>
      </c>
      <c r="AR55" s="7" t="n">
        <v>45.16959439473686</v>
      </c>
      <c r="AS55" s="31" t="n">
        <v>-0.6485969913701979</v>
      </c>
      <c r="AT55" s="7" t="n">
        <v>6.237505482442401</v>
      </c>
      <c r="AU55" s="7" t="n">
        <v>2.031071729569625</v>
      </c>
      <c r="AV55" s="8" t="n">
        <v>6.265191526283381</v>
      </c>
      <c r="AW55" s="7" t="n">
        <v>40.50020980586866</v>
      </c>
      <c r="AX55" s="31" t="n">
        <v>-6.557964239968278</v>
      </c>
      <c r="AY55" s="7" t="n">
        <v>-2.092822342232264</v>
      </c>
      <c r="AZ55" s="7" t="n">
        <v>-4.864865283071374</v>
      </c>
      <c r="BA55" s="7" t="n">
        <v>-3.818891159853322</v>
      </c>
      <c r="BB55" s="7" t="n">
        <v>130.9562358267158</v>
      </c>
      <c r="BC55" s="31" t="n">
        <v>-14.63631494707136</v>
      </c>
      <c r="BD55" s="7" t="n">
        <v>-10.50185328961959</v>
      </c>
      <c r="BE55" s="7" t="n">
        <v>-13.27083810266916</v>
      </c>
      <c r="BF55" s="7" t="n">
        <v>-18.88495064111595</v>
      </c>
      <c r="BG55" s="7" t="n">
        <v>6.865478191689294</v>
      </c>
      <c r="BH55" s="31" t="n">
        <v>-1.073542199809644</v>
      </c>
      <c r="BI55" s="7" t="n">
        <v>-0.6945179623800679</v>
      </c>
      <c r="BJ55" s="7" t="n">
        <v>-0.9295100787622346</v>
      </c>
      <c r="BK55" s="7" t="n">
        <v>-0.7794337475277944</v>
      </c>
      <c r="BL55" s="7" t="n">
        <v>1.258223165204525</v>
      </c>
      <c r="BM55" s="31" t="n">
        <v>-3.453687435225596</v>
      </c>
      <c r="BN55" s="7" t="n">
        <v>-1.835459952412898</v>
      </c>
      <c r="BO55" s="7" t="n">
        <v>-2.516671629510451</v>
      </c>
      <c r="BP55" s="7" t="n">
        <v>-3.60551831989394</v>
      </c>
      <c r="BQ55" s="7" t="n">
        <v>74.02146759888731</v>
      </c>
      <c r="BR55" s="31" t="n">
        <v>-2.397737534436345</v>
      </c>
      <c r="BS55" s="7" t="n">
        <v>10.41524074472554</v>
      </c>
      <c r="BT55" s="7" t="n">
        <v>3.891243408108181</v>
      </c>
      <c r="BU55" s="8" t="n">
        <v>10.07439262350556</v>
      </c>
      <c r="BV55" s="9" t="n">
        <v>6.709933473836463</v>
      </c>
      <c r="BW55" s="31" t="n">
        <v>-15.23571598866816</v>
      </c>
      <c r="BX55" s="7" t="n">
        <v>-8.02613925207649</v>
      </c>
      <c r="BY55" s="7" t="n">
        <v>-13.33636245834418</v>
      </c>
      <c r="BZ55" s="7" t="n">
        <v>-12.68946342026817</v>
      </c>
      <c r="CA55" s="7" t="n">
        <v>-2.680111217983596</v>
      </c>
      <c r="CB55" s="31" t="n">
        <v>-15.05864984976425</v>
      </c>
      <c r="CC55" s="7" t="n">
        <v>-5.810886207154778</v>
      </c>
      <c r="CD55" s="7" t="n">
        <v>-12.70689027997843</v>
      </c>
      <c r="CE55" s="8" t="n">
        <v>-10.57823995053282</v>
      </c>
    </row>
    <row r="56">
      <c r="A56" s="251" t="n">
        <v>42917</v>
      </c>
      <c r="B56" s="3" t="n">
        <v>0</v>
      </c>
      <c r="C56" s="6" t="n">
        <v>26.47491211237712</v>
      </c>
      <c r="D56" s="31" t="n">
        <v>-0.9727212803735306</v>
      </c>
      <c r="E56" s="7" t="n">
        <v>0.8629167570709697</v>
      </c>
      <c r="F56" s="7" t="n">
        <v>-0.4828233896929639</v>
      </c>
      <c r="G56" s="7" t="n">
        <v>0.7649711910737906</v>
      </c>
      <c r="H56" s="9" t="n">
        <v>41.43730218532989</v>
      </c>
      <c r="I56" s="31" t="n">
        <v>-6.078342249596957</v>
      </c>
      <c r="J56" s="7" t="n">
        <v>-2.869492624074752</v>
      </c>
      <c r="K56" s="7" t="n">
        <v>-5.145432190545236</v>
      </c>
      <c r="L56" s="7" t="n">
        <v>-3.542703030010038</v>
      </c>
      <c r="M56" s="9" t="n">
        <v>-13.28548826271799</v>
      </c>
      <c r="N56" s="7" t="n">
        <v>-7.246760743096957</v>
      </c>
      <c r="O56" s="8" t="n">
        <v>1.959024533398633</v>
      </c>
      <c r="P56" s="7" t="n">
        <v>60.34999999999999</v>
      </c>
      <c r="Q56" s="31" t="n">
        <v>-4.150000000000006</v>
      </c>
      <c r="R56" s="7" t="n">
        <v>-6.799999999999997</v>
      </c>
      <c r="S56" s="7" t="n">
        <v>-7.375</v>
      </c>
      <c r="T56" s="7" t="n">
        <v>-11.10416666666667</v>
      </c>
      <c r="U56" s="9" t="n">
        <v>3.252368614324107</v>
      </c>
      <c r="V56" s="31" t="n">
        <v>-0.1329979162654409</v>
      </c>
      <c r="W56" s="7" t="n">
        <v>-0.1767788925861082</v>
      </c>
      <c r="X56" s="7" t="n">
        <v>-0.1915087562243101</v>
      </c>
      <c r="Y56" s="7" t="n">
        <v>-0.2495077816232043</v>
      </c>
      <c r="Z56" s="9" t="n">
        <v>7.854755601917002</v>
      </c>
      <c r="AA56" s="31" t="n">
        <v>0.5151612216985315</v>
      </c>
      <c r="AB56" s="7" t="n">
        <v>0.1876895372252516</v>
      </c>
      <c r="AC56" s="7" t="n">
        <v>0.3822472018584202</v>
      </c>
      <c r="AD56" s="7" t="n">
        <v>0.3531289759920337</v>
      </c>
      <c r="AE56" s="9" t="n">
        <v>9.519271396151112</v>
      </c>
      <c r="AF56" s="7" t="n">
        <v>1.491755970084398</v>
      </c>
      <c r="AG56" s="8" t="n">
        <v>1.08402409252551</v>
      </c>
      <c r="AH56" s="60" t="n">
        <v>3.112241501697416</v>
      </c>
      <c r="AI56" s="31" t="n">
        <v>-0.1496778101974492</v>
      </c>
      <c r="AJ56" s="7" t="n">
        <v>-0.6614916468769891</v>
      </c>
      <c r="AK56" s="7" t="n">
        <v>-0.8491266741980557</v>
      </c>
      <c r="AL56" s="7" t="n">
        <v>-1.643294591598378</v>
      </c>
      <c r="AM56" s="7" t="n">
        <v>-2.928301680142113</v>
      </c>
      <c r="AN56" s="31" t="n">
        <v>-1.452098207582073</v>
      </c>
      <c r="AO56" s="7" t="n">
        <v>-0.4542609122594261</v>
      </c>
      <c r="AP56" s="7" t="n">
        <v>-1.552749121416338</v>
      </c>
      <c r="AQ56" s="7" t="n">
        <v>-1.594054351600936</v>
      </c>
      <c r="AR56" s="7" t="n">
        <v>46.87785570438508</v>
      </c>
      <c r="AS56" s="31" t="n">
        <v>-0.07134109492248797</v>
      </c>
      <c r="AT56" s="7" t="n">
        <v>4.216837865795675</v>
      </c>
      <c r="AU56" s="7" t="n">
        <v>2.179956668607247</v>
      </c>
      <c r="AV56" s="8" t="n">
        <v>6.615157679967005</v>
      </c>
      <c r="AW56" s="7" t="n">
        <v>40.44907446305307</v>
      </c>
      <c r="AX56" s="31" t="n">
        <v>-5.365008450196548</v>
      </c>
      <c r="AY56" s="7" t="n">
        <v>-2.756095964765361</v>
      </c>
      <c r="AZ56" s="7" t="n">
        <v>-4.392795040328906</v>
      </c>
      <c r="BA56" s="7" t="n">
        <v>-3.753429668098583</v>
      </c>
      <c r="BB56" s="7" t="n">
        <v>128.222211908413</v>
      </c>
      <c r="BC56" s="31" t="n">
        <v>-18.28710401847519</v>
      </c>
      <c r="BD56" s="7" t="n">
        <v>-8.707901487468291</v>
      </c>
      <c r="BE56" s="7" t="n">
        <v>-13.37939869856714</v>
      </c>
      <c r="BF56" s="7" t="n">
        <v>-18.95233700360268</v>
      </c>
      <c r="BG56" s="7" t="n">
        <v>6.80622730338172</v>
      </c>
      <c r="BH56" s="31" t="n">
        <v>-0.8328681157666811</v>
      </c>
      <c r="BI56" s="7" t="n">
        <v>-0.6308988115537502</v>
      </c>
      <c r="BJ56" s="7" t="n">
        <v>-0.8151314764747912</v>
      </c>
      <c r="BK56" s="7" t="n">
        <v>-0.817327392543028</v>
      </c>
      <c r="BL56" s="7" t="n">
        <v>1.703288174050259</v>
      </c>
      <c r="BM56" s="31" t="n">
        <v>-2.451477928393683</v>
      </c>
      <c r="BN56" s="7" t="n">
        <v>-1.210132331363926</v>
      </c>
      <c r="BO56" s="7" t="n">
        <v>-1.612741632561493</v>
      </c>
      <c r="BP56" s="7" t="n">
        <v>-2.558057472241646</v>
      </c>
      <c r="BQ56" s="7" t="n">
        <v>74.18107153936572</v>
      </c>
      <c r="BR56" s="31" t="n">
        <v>-4.575292119414925</v>
      </c>
      <c r="BS56" s="7" t="n">
        <v>7.686996995554868</v>
      </c>
      <c r="BT56" s="7" t="n">
        <v>1.447037162405195</v>
      </c>
      <c r="BU56" s="8" t="n">
        <v>8.404236060580601</v>
      </c>
      <c r="BV56" s="9" t="n">
        <v>3.059177463786253</v>
      </c>
      <c r="BW56" s="31" t="n">
        <v>-17.52343067205266</v>
      </c>
      <c r="BX56" s="7" t="n">
        <v>-8.546481361595648</v>
      </c>
      <c r="BY56" s="7" t="n">
        <v>-14.98058365537527</v>
      </c>
      <c r="BZ56" s="7" t="n">
        <v>-16.22685231482794</v>
      </c>
      <c r="CA56" s="7" t="n">
        <v>-5.483403572026229</v>
      </c>
      <c r="CB56" s="31" t="n">
        <v>-14.65211404556642</v>
      </c>
      <c r="CC56" s="7" t="n">
        <v>-9.245942365585856</v>
      </c>
      <c r="CD56" s="7" t="n">
        <v>-14.05746108223237</v>
      </c>
      <c r="CE56" s="8" t="n">
        <v>-12.82936156249148</v>
      </c>
    </row>
    <row r="57">
      <c r="A57" s="251" t="n">
        <v>43009</v>
      </c>
      <c r="B57" s="3" t="n">
        <v>0</v>
      </c>
      <c r="C57" s="6" t="n">
        <v>26.30855764871211</v>
      </c>
      <c r="D57" s="31" t="n">
        <v>-1.391545840982506</v>
      </c>
      <c r="E57" s="7" t="n">
        <v>-0.1249949883657351</v>
      </c>
      <c r="F57" s="7" t="n">
        <v>-0.8649070426257097</v>
      </c>
      <c r="G57" s="7" t="n">
        <v>0.2575886775347556</v>
      </c>
      <c r="H57" s="9" t="n">
        <v>41.11105523624358</v>
      </c>
      <c r="I57" s="31" t="n">
        <v>-3.385860413210345</v>
      </c>
      <c r="J57" s="7" t="n">
        <v>-3.766179225046937</v>
      </c>
      <c r="K57" s="7" t="n">
        <v>-4.754305983612859</v>
      </c>
      <c r="L57" s="7" t="n">
        <v>-4.073422816582585</v>
      </c>
      <c r="M57" s="9" t="n">
        <v>-7.985992297569283</v>
      </c>
      <c r="N57" s="7" t="n">
        <v>-8.832016345475836</v>
      </c>
      <c r="O57" s="8" t="n">
        <v>0.6124494591450306</v>
      </c>
      <c r="P57" s="7" t="n">
        <v>60.34999999999999</v>
      </c>
      <c r="Q57" s="31" t="n">
        <v>-5.25</v>
      </c>
      <c r="R57" s="7" t="n">
        <v>-4.700000000000003</v>
      </c>
      <c r="S57" s="7" t="n">
        <v>-5.675000000000011</v>
      </c>
      <c r="T57" s="7" t="n">
        <v>-9.545833333333334</v>
      </c>
      <c r="U57" s="9" t="n">
        <v>3.330679250000324</v>
      </c>
      <c r="V57" s="31" t="n">
        <v>-0.03441243952473583</v>
      </c>
      <c r="W57" s="7" t="n">
        <v>-0.1099949388950818</v>
      </c>
      <c r="X57" s="7" t="n">
        <v>-0.06900339740156625</v>
      </c>
      <c r="Y57" s="7" t="n">
        <v>-0.142832254575092</v>
      </c>
      <c r="Z57" s="9" t="n">
        <v>8.180234746312465</v>
      </c>
      <c r="AA57" s="31" t="n">
        <v>0.7720282354487376</v>
      </c>
      <c r="AB57" s="7" t="n">
        <v>0.3132520622407715</v>
      </c>
      <c r="AC57" s="7" t="n">
        <v>0.660803961947571</v>
      </c>
      <c r="AD57" s="7" t="n">
        <v>0.659372698783752</v>
      </c>
      <c r="AE57" s="9" t="n">
        <v>15.88413414138904</v>
      </c>
      <c r="AF57" s="7" t="n">
        <v>4.496038281194444</v>
      </c>
      <c r="AG57" s="8" t="n">
        <v>2.814374119621372</v>
      </c>
      <c r="AH57" s="60" t="n">
        <v>3.09013080634704</v>
      </c>
      <c r="AI57" s="31" t="n">
        <v>0.03918154026161247</v>
      </c>
      <c r="AJ57" s="7" t="n">
        <v>-0.8287883439656951</v>
      </c>
      <c r="AK57" s="7" t="n">
        <v>-0.7058644578291844</v>
      </c>
      <c r="AL57" s="7" t="n">
        <v>-1.364779689041559</v>
      </c>
      <c r="AM57" s="7" t="n">
        <v>-2.952659685923739</v>
      </c>
      <c r="AN57" s="31" t="n">
        <v>-1.466266242275035</v>
      </c>
      <c r="AO57" s="7" t="n">
        <v>-0.7791252152466068</v>
      </c>
      <c r="AP57" s="7" t="n">
        <v>-1.463541899133107</v>
      </c>
      <c r="AQ57" s="7" t="n">
        <v>-1.340162932567735</v>
      </c>
      <c r="AR57" s="7" t="n">
        <v>46.51396922028083</v>
      </c>
      <c r="AS57" s="31" t="n">
        <v>-0.8636272089056547</v>
      </c>
      <c r="AT57" s="7" t="n">
        <v>2.191613857567056</v>
      </c>
      <c r="AU57" s="7" t="n">
        <v>0.7618607180540735</v>
      </c>
      <c r="AV57" s="8" t="n">
        <v>4.843155882804687</v>
      </c>
      <c r="AW57" s="7" t="n">
        <v>39.95568630339451</v>
      </c>
      <c r="AX57" s="31" t="n">
        <v>-3.449374884000378</v>
      </c>
      <c r="AY57" s="7" t="n">
        <v>-3.046288278910577</v>
      </c>
      <c r="AZ57" s="7" t="n">
        <v>-4.197159208796123</v>
      </c>
      <c r="BA57" s="7" t="n">
        <v>-4.176275913346331</v>
      </c>
      <c r="BB57" s="7" t="n">
        <v>126.1155296681401</v>
      </c>
      <c r="BC57" s="31" t="n">
        <v>-13.68694792444288</v>
      </c>
      <c r="BD57" s="7" t="n">
        <v>-7.432327129131593</v>
      </c>
      <c r="BE57" s="7" t="n">
        <v>-13.30910556697299</v>
      </c>
      <c r="BF57" s="7" t="n">
        <v>-18.44855391023782</v>
      </c>
      <c r="BG57" s="7" t="n">
        <v>6.867391976692632</v>
      </c>
      <c r="BH57" s="31" t="n">
        <v>-0.6002689080465657</v>
      </c>
      <c r="BI57" s="7" t="n">
        <v>-0.4765491756106273</v>
      </c>
      <c r="BJ57" s="7" t="n">
        <v>-0.5962421002754423</v>
      </c>
      <c r="BK57" s="7" t="n">
        <v>-0.7219978377564535</v>
      </c>
      <c r="BL57" s="7" t="n">
        <v>1.742165737266873</v>
      </c>
      <c r="BM57" s="31" t="n">
        <v>-1.626690895655301</v>
      </c>
      <c r="BN57" s="7" t="n">
        <v>-0.7481853463816937</v>
      </c>
      <c r="BO57" s="7" t="n">
        <v>-1.271330986503898</v>
      </c>
      <c r="BP57" s="7" t="n">
        <v>-2.076819729737724</v>
      </c>
      <c r="BQ57" s="7" t="n">
        <v>72.61231185122141</v>
      </c>
      <c r="BR57" s="31" t="n">
        <v>-6.284416842411801</v>
      </c>
      <c r="BS57" s="7" t="n">
        <v>2.491872098667152</v>
      </c>
      <c r="BT57" s="7" t="n">
        <v>-2.043471774627832</v>
      </c>
      <c r="BU57" s="8" t="n">
        <v>5.004382049289035</v>
      </c>
      <c r="BV57" s="9" t="n">
        <v>-0.7794687426232347</v>
      </c>
      <c r="BW57" s="31" t="n">
        <v>-19.40355065465817</v>
      </c>
      <c r="BX57" s="7" t="n">
        <v>-10.36130869084915</v>
      </c>
      <c r="BY57" s="7" t="n">
        <v>-16.68260952138585</v>
      </c>
      <c r="BZ57" s="7" t="n">
        <v>-18.70924796061607</v>
      </c>
      <c r="CA57" s="7" t="n">
        <v>-6.340363011883289</v>
      </c>
      <c r="CB57" s="31" t="n">
        <v>-12.34031811021222</v>
      </c>
      <c r="CC57" s="7" t="n">
        <v>-11.18229507435461</v>
      </c>
      <c r="CD57" s="7" t="n">
        <v>-12.60293493069297</v>
      </c>
      <c r="CE57" s="8" t="n">
        <v>-13.00707782815322</v>
      </c>
    </row>
    <row r="58">
      <c r="A58" s="251" t="n">
        <v>43101</v>
      </c>
      <c r="B58" s="3" t="n">
        <v>0</v>
      </c>
      <c r="C58" s="6" t="n">
        <v>26.65692191451736</v>
      </c>
      <c r="D58" s="31" t="n">
        <v>-0.8630113672549626</v>
      </c>
      <c r="E58" s="7" t="n">
        <v>0.01532425149616223</v>
      </c>
      <c r="F58" s="7" t="n">
        <v>-0.4852940297290296</v>
      </c>
      <c r="G58" s="7" t="n">
        <v>0.3059099037108304</v>
      </c>
      <c r="H58" s="9" t="n">
        <v>40.32916401561111</v>
      </c>
      <c r="I58" s="31" t="n">
        <v>-1.867955254038357</v>
      </c>
      <c r="J58" s="7" t="n">
        <v>-5.511053071019703</v>
      </c>
      <c r="K58" s="7" t="n">
        <v>-4.594652397983602</v>
      </c>
      <c r="L58" s="7" t="n">
        <v>-4.997469385614906</v>
      </c>
      <c r="M58" s="9" t="n">
        <v>-3.046601353198866</v>
      </c>
      <c r="N58" s="7" t="n">
        <v>-11.77575346206686</v>
      </c>
      <c r="O58" s="8" t="n">
        <v>-3.24364138048683</v>
      </c>
      <c r="P58" s="7" t="n">
        <v>61.34999999999999</v>
      </c>
      <c r="Q58" s="31" t="n">
        <v>-5.900000000000006</v>
      </c>
      <c r="R58" s="7" t="n">
        <v>-3.900000000000006</v>
      </c>
      <c r="S58" s="7" t="n">
        <v>-3.5</v>
      </c>
      <c r="T58" s="7" t="n">
        <v>-7.220833333333346</v>
      </c>
      <c r="U58" s="9" t="n">
        <v>3.599269238499108</v>
      </c>
      <c r="V58" s="31" t="n">
        <v>0.2396130751747538</v>
      </c>
      <c r="W58" s="7" t="n">
        <v>0.03751054803542253</v>
      </c>
      <c r="X58" s="7" t="n">
        <v>0.2270853258209873</v>
      </c>
      <c r="Y58" s="7" t="n">
        <v>0.1462744919160617</v>
      </c>
      <c r="Z58" s="9" t="n">
        <v>8.441444668260788</v>
      </c>
      <c r="AA58" s="31" t="n">
        <v>0.9598925904661852</v>
      </c>
      <c r="AB58" s="7" t="n">
        <v>0.4552313035219755</v>
      </c>
      <c r="AC58" s="7" t="n">
        <v>0.8437008683357003</v>
      </c>
      <c r="AD58" s="7" t="n">
        <v>0.8732732592109143</v>
      </c>
      <c r="AE58" s="9" t="n">
        <v>20.25486229261617</v>
      </c>
      <c r="AF58" s="7" t="n">
        <v>8.920448264442996</v>
      </c>
      <c r="AG58" s="8" t="n">
        <v>4.780971476180184</v>
      </c>
      <c r="AH58" s="60" t="n">
        <v>4.637433962118888</v>
      </c>
      <c r="AI58" s="31" t="n">
        <v>1.484576467083998</v>
      </c>
      <c r="AJ58" s="7" t="n">
        <v>-0.1273428384295259</v>
      </c>
      <c r="AK58" s="7" t="n">
        <v>1.048635783934087</v>
      </c>
      <c r="AL58" s="7" t="n">
        <v>0.4559594523188455</v>
      </c>
      <c r="AM58" s="7" t="n">
        <v>-4.084724621784264</v>
      </c>
      <c r="AN58" s="31" t="n">
        <v>-2.945861635156704</v>
      </c>
      <c r="AO58" s="7" t="n">
        <v>-1.411246650011715</v>
      </c>
      <c r="AP58" s="7" t="n">
        <v>-2.40082553118198</v>
      </c>
      <c r="AQ58" s="7" t="n">
        <v>-2.31255993936995</v>
      </c>
      <c r="AR58" s="7" t="n">
        <v>44.00899791983861</v>
      </c>
      <c r="AS58" s="31" t="n">
        <v>-1.29694585512096</v>
      </c>
      <c r="AT58" s="7" t="n">
        <v>-1.189375052073036</v>
      </c>
      <c r="AU58" s="7" t="n">
        <v>-2.291014046779907</v>
      </c>
      <c r="AV58" s="8" t="n">
        <v>0.9256714494834526</v>
      </c>
      <c r="AW58" s="7" t="n">
        <v>39.65714788368568</v>
      </c>
      <c r="AX58" s="31" t="n">
        <v>-1.670615401399381</v>
      </c>
      <c r="AY58" s="7" t="n">
        <v>-4.481493826067737</v>
      </c>
      <c r="AZ58" s="7" t="n">
        <v>-3.734125558777308</v>
      </c>
      <c r="BA58" s="7" t="n">
        <v>-4.444408668023456</v>
      </c>
      <c r="BB58" s="7" t="n">
        <v>127.0669382586991</v>
      </c>
      <c r="BC58" s="31" t="n">
        <v>-7.786177610506499</v>
      </c>
      <c r="BD58" s="7" t="n">
        <v>-10.70702589910464</v>
      </c>
      <c r="BE58" s="7" t="n">
        <v>-10.49961519413104</v>
      </c>
      <c r="BF58" s="7" t="n">
        <v>-15.05686033455372</v>
      </c>
      <c r="BG58" s="7" t="n">
        <v>6.851980532186064</v>
      </c>
      <c r="BH58" s="31" t="n">
        <v>-0.3492648557066804</v>
      </c>
      <c r="BI58" s="7" t="n">
        <v>-0.5589370886471743</v>
      </c>
      <c r="BJ58" s="7" t="n">
        <v>-0.4925162508793539</v>
      </c>
      <c r="BK58" s="7" t="n">
        <v>-0.7010944499357681</v>
      </c>
      <c r="BL58" s="7" t="n">
        <v>2.430711303866365</v>
      </c>
      <c r="BM58" s="31" t="n">
        <v>0.5598825435990078</v>
      </c>
      <c r="BN58" s="7" t="n">
        <v>-0.6854263104755807</v>
      </c>
      <c r="BO58" s="7" t="n">
        <v>-0.3957390833089822</v>
      </c>
      <c r="BP58" s="7" t="n">
        <v>-0.9870813343096239</v>
      </c>
      <c r="BQ58" s="7" t="n">
        <v>70.50446084011965</v>
      </c>
      <c r="BR58" s="31" t="n">
        <v>-4.739334665545826</v>
      </c>
      <c r="BS58" s="7" t="n">
        <v>-0.797304191565587</v>
      </c>
      <c r="BT58" s="7" t="n">
        <v>-4.77429081039638</v>
      </c>
      <c r="BU58" s="8" t="n">
        <v>1.056217682736332</v>
      </c>
      <c r="BV58" s="9" t="n">
        <v>-4.185374626574985</v>
      </c>
      <c r="BW58" s="31" t="n">
        <v>-17.96371730325585</v>
      </c>
      <c r="BX58" s="7" t="n">
        <v>-13.38377954645937</v>
      </c>
      <c r="BY58" s="7" t="n">
        <v>-17.49818823262531</v>
      </c>
      <c r="BZ58" s="7" t="n">
        <v>-20.24569791450256</v>
      </c>
      <c r="CA58" s="7" t="n">
        <v>-5.274152349772392</v>
      </c>
      <c r="CB58" s="31" t="n">
        <v>-5.876945843798159</v>
      </c>
      <c r="CC58" s="7" t="n">
        <v>-9.682008827879077</v>
      </c>
      <c r="CD58" s="7" t="n">
        <v>-8.741150499993417</v>
      </c>
      <c r="CE58" s="8" t="n">
        <v>-11.31017392188214</v>
      </c>
    </row>
    <row r="59">
      <c r="A59" s="251" t="n">
        <v>43191</v>
      </c>
      <c r="B59" s="3" t="n">
        <v>0</v>
      </c>
      <c r="C59" s="6" t="n">
        <v>27.45040304710767</v>
      </c>
      <c r="D59" s="31" t="n">
        <v>0.6956626764333755</v>
      </c>
      <c r="E59" s="7" t="n">
        <v>-0.4275853996786463</v>
      </c>
      <c r="F59" s="7" t="n">
        <v>0.3043560399872405</v>
      </c>
      <c r="G59" s="7" t="n">
        <v>0.8993887716753939</v>
      </c>
      <c r="H59" s="9" t="n">
        <v>39.38826883302229</v>
      </c>
      <c r="I59" s="31" t="n">
        <v>-1.868296692996154</v>
      </c>
      <c r="J59" s="7" t="n">
        <v>-5.318195008231346</v>
      </c>
      <c r="K59" s="7" t="n">
        <v>-4.157784312817491</v>
      </c>
      <c r="L59" s="7" t="n">
        <v>-5.620771704684195</v>
      </c>
      <c r="M59" s="9" t="n">
        <v>-1.163554133396929</v>
      </c>
      <c r="N59" s="7" t="n">
        <v>-10.86705204878899</v>
      </c>
      <c r="O59" s="8" t="n">
        <v>-3.632288235744303</v>
      </c>
      <c r="P59" s="7" t="n">
        <v>60.55</v>
      </c>
      <c r="Q59" s="31" t="n">
        <v>-3.899999999999991</v>
      </c>
      <c r="R59" s="7" t="n">
        <v>-3.300000000000004</v>
      </c>
      <c r="S59" s="7" t="n">
        <v>-3.325000000000003</v>
      </c>
      <c r="T59" s="7" t="n">
        <v>-6.479166666666671</v>
      </c>
      <c r="U59" s="9" t="n">
        <v>3.972716887035027</v>
      </c>
      <c r="V59" s="31" t="n">
        <v>0.6616889010033984</v>
      </c>
      <c r="W59" s="7" t="n">
        <v>0.2618419809166761</v>
      </c>
      <c r="X59" s="7" t="n">
        <v>0.5911553373480518</v>
      </c>
      <c r="Y59" s="7" t="n">
        <v>0.5239411089751815</v>
      </c>
      <c r="Z59" s="9" t="n">
        <v>8.64130859589417</v>
      </c>
      <c r="AA59" s="31" t="n">
        <v>1.060191052226358</v>
      </c>
      <c r="AB59" s="7" t="n">
        <v>0.6179005592421936</v>
      </c>
      <c r="AC59" s="7" t="n">
        <v>0.9297569700885884</v>
      </c>
      <c r="AD59" s="7" t="n">
        <v>0.9995012862664439</v>
      </c>
      <c r="AE59" s="9" t="n">
        <v>22.90618545210555</v>
      </c>
      <c r="AF59" s="7" t="n">
        <v>12.74128576992865</v>
      </c>
      <c r="AG59" s="8" t="n">
        <v>6.822939990491325</v>
      </c>
      <c r="AH59" s="60" t="n">
        <v>4.681633398575905</v>
      </c>
      <c r="AI59" s="31" t="n">
        <v>1.61695569212592</v>
      </c>
      <c r="AJ59" s="7" t="n">
        <v>-0.2019281502074679</v>
      </c>
      <c r="AK59" s="7" t="n">
        <v>1.124670929998486</v>
      </c>
      <c r="AL59" s="7" t="n">
        <v>0.6557938563973851</v>
      </c>
      <c r="AM59" s="7" t="n">
        <v>-4.772609567803275</v>
      </c>
      <c r="AN59" s="31" t="n">
        <v>-2.970949807282696</v>
      </c>
      <c r="AO59" s="7" t="n">
        <v>-2.173864597084288</v>
      </c>
      <c r="AP59" s="7" t="n">
        <v>-2.735898814698063</v>
      </c>
      <c r="AQ59" s="7" t="n">
        <v>-2.797436295313752</v>
      </c>
      <c r="AR59" s="7" t="n">
        <v>43.5925040515647</v>
      </c>
      <c r="AS59" s="31" t="n">
        <v>-1.577090343172166</v>
      </c>
      <c r="AT59" s="7" t="n">
        <v>-1.112843667271182</v>
      </c>
      <c r="AU59" s="7" t="n">
        <v>-2.410164152035563</v>
      </c>
      <c r="AV59" s="8" t="n">
        <v>-0.3807124951502487</v>
      </c>
      <c r="AW59" s="7" t="n">
        <v>39.70129874210818</v>
      </c>
      <c r="AX59" s="31" t="n">
        <v>-0.7989110637604782</v>
      </c>
      <c r="AY59" s="7" t="n">
        <v>-3.678437651864378</v>
      </c>
      <c r="AZ59" s="7" t="n">
        <v>-2.569601243837873</v>
      </c>
      <c r="BA59" s="7" t="n">
        <v>-3.922261188518668</v>
      </c>
      <c r="BB59" s="7" t="n">
        <v>133.9212093466325</v>
      </c>
      <c r="BC59" s="31" t="n">
        <v>2.964973519916612</v>
      </c>
      <c r="BD59" s="7" t="n">
        <v>-5.835670713577372</v>
      </c>
      <c r="BE59" s="7" t="n">
        <v>-0.9685876314215136</v>
      </c>
      <c r="BF59" s="7" t="n">
        <v>-4.926916244788231</v>
      </c>
      <c r="BG59" s="7" t="n">
        <v>6.744146601747449</v>
      </c>
      <c r="BH59" s="31" t="n">
        <v>-0.1213315899418452</v>
      </c>
      <c r="BI59" s="7" t="n">
        <v>-0.5974368948757447</v>
      </c>
      <c r="BJ59" s="7" t="n">
        <v>-0.460615909156175</v>
      </c>
      <c r="BK59" s="7" t="n">
        <v>-0.7351020788827141</v>
      </c>
      <c r="BL59" s="7" t="n">
        <v>2.203387321336733</v>
      </c>
      <c r="BM59" s="31" t="n">
        <v>0.9451641561322079</v>
      </c>
      <c r="BN59" s="7" t="n">
        <v>-1.254261639546694</v>
      </c>
      <c r="BO59" s="7" t="n">
        <v>-0.4517064882197186</v>
      </c>
      <c r="BP59" s="7" t="n">
        <v>-0.9077415735055867</v>
      </c>
      <c r="BQ59" s="7" t="n">
        <v>68.39856665805917</v>
      </c>
      <c r="BR59" s="31" t="n">
        <v>-5.622900940828146</v>
      </c>
      <c r="BS59" s="7" t="n">
        <v>-4.010319237632245</v>
      </c>
      <c r="BT59" s="7" t="n">
        <v>-6.680858944565472</v>
      </c>
      <c r="BU59" s="8" t="n">
        <v>-2.631525454926432</v>
      </c>
      <c r="BV59" s="9" t="n">
        <v>-1.03617360505243</v>
      </c>
      <c r="BW59" s="31" t="n">
        <v>-7.746107078888892</v>
      </c>
      <c r="BX59" s="7" t="n">
        <v>-11.49091153377853</v>
      </c>
      <c r="BY59" s="7" t="n">
        <v>-11.00304232448791</v>
      </c>
      <c r="BZ59" s="7" t="n">
        <v>-14.8007265238749</v>
      </c>
      <c r="CA59" s="7" t="n">
        <v>-1.633065727391492</v>
      </c>
      <c r="CB59" s="31" t="n">
        <v>1.047045490592104</v>
      </c>
      <c r="CC59" s="7" t="n">
        <v>-7.005802179586075</v>
      </c>
      <c r="CD59" s="7" t="n">
        <v>-2.679561670642748</v>
      </c>
      <c r="CE59" s="8" t="n">
        <v>-6.669415922749257</v>
      </c>
    </row>
    <row r="60">
      <c r="A60" s="251" t="n">
        <v>43282</v>
      </c>
      <c r="B60" s="3" t="n">
        <v>0</v>
      </c>
      <c r="C60" s="6" t="n">
        <v>27.96619186985399</v>
      </c>
      <c r="D60" s="31" t="n">
        <v>1.491279757476875</v>
      </c>
      <c r="E60" s="7" t="n">
        <v>0.259279238551672</v>
      </c>
      <c r="F60" s="7" t="n">
        <v>0.9270412126532221</v>
      </c>
      <c r="G60" s="7" t="n">
        <v>1.086801974914415</v>
      </c>
      <c r="H60" s="9" t="n">
        <v>38.62670180131948</v>
      </c>
      <c r="I60" s="31" t="n">
        <v>-2.810600384010414</v>
      </c>
      <c r="J60" s="7" t="n">
        <v>-4.444471316803686</v>
      </c>
      <c r="K60" s="7" t="n">
        <v>-3.589802592462469</v>
      </c>
      <c r="L60" s="7" t="n">
        <v>-5.950603638447845</v>
      </c>
      <c r="M60" s="9" t="n">
        <v>-4.391843306945702</v>
      </c>
      <c r="N60" s="7" t="n">
        <v>-8.838665784831846</v>
      </c>
      <c r="O60" s="8" t="n">
        <v>-6.295121597713205</v>
      </c>
      <c r="P60" s="7" t="n">
        <v>59.15000000000001</v>
      </c>
      <c r="Q60" s="31" t="n">
        <v>-1.199999999999989</v>
      </c>
      <c r="R60" s="7" t="n">
        <v>-2.674999999999997</v>
      </c>
      <c r="S60" s="7" t="n">
        <v>-3.899999999999991</v>
      </c>
      <c r="T60" s="7" t="n">
        <v>-6.216666666666654</v>
      </c>
      <c r="U60" s="9" t="n">
        <v>4.314370963798305</v>
      </c>
      <c r="V60" s="31" t="n">
        <v>1.062002349474198</v>
      </c>
      <c r="W60" s="7" t="n">
        <v>0.4645022166043786</v>
      </c>
      <c r="X60" s="7" t="n">
        <v>0.8673489188821613</v>
      </c>
      <c r="Y60" s="7" t="n">
        <v>0.8388665509444801</v>
      </c>
      <c r="Z60" s="9" t="n">
        <v>8.887116768535204</v>
      </c>
      <c r="AA60" s="31" t="n">
        <v>1.032361166618203</v>
      </c>
      <c r="AB60" s="7" t="n">
        <v>0.7737611941583671</v>
      </c>
      <c r="AC60" s="7" t="n">
        <v>1.021090002919075</v>
      </c>
      <c r="AD60" s="7" t="n">
        <v>1.14563253413078</v>
      </c>
      <c r="AE60" s="9" t="n">
        <v>22.89938728142488</v>
      </c>
      <c r="AF60" s="7" t="n">
        <v>16.209329338788</v>
      </c>
      <c r="AG60" s="8" t="n">
        <v>8.627633073864558</v>
      </c>
      <c r="AH60" s="60" t="n">
        <v>4.642767434616675</v>
      </c>
      <c r="AI60" s="31" t="n">
        <v>1.530525932919259</v>
      </c>
      <c r="AJ60" s="7" t="n">
        <v>0.690424061360905</v>
      </c>
      <c r="AK60" s="7" t="n">
        <v>1.136287003591123</v>
      </c>
      <c r="AL60" s="7" t="n">
        <v>0.7084020116247567</v>
      </c>
      <c r="AM60" s="7" t="n">
        <v>-3.686479672399063</v>
      </c>
      <c r="AN60" s="31" t="n">
        <v>-0.7581779922569498</v>
      </c>
      <c r="AO60" s="7" t="n">
        <v>-1.105138099919512</v>
      </c>
      <c r="AP60" s="7" t="n">
        <v>-1.106302770022779</v>
      </c>
      <c r="AQ60" s="7" t="n">
        <v>-1.541253336944097</v>
      </c>
      <c r="AR60" s="7" t="n">
        <v>42.64564388130105</v>
      </c>
      <c r="AS60" s="31" t="n">
        <v>-4.232211823084029</v>
      </c>
      <c r="AT60" s="7" t="n">
        <v>-2.151776459003258</v>
      </c>
      <c r="AU60" s="7" t="n">
        <v>-3.078813405481412</v>
      </c>
      <c r="AV60" s="8" t="n">
        <v>-2.235732717223271</v>
      </c>
      <c r="AW60" s="7" t="n">
        <v>39.14102679808578</v>
      </c>
      <c r="AX60" s="31" t="n">
        <v>-1.30804766496729</v>
      </c>
      <c r="AY60" s="7" t="n">
        <v>-3.336528057581919</v>
      </c>
      <c r="AZ60" s="7" t="n">
        <v>-2.21026377489418</v>
      </c>
      <c r="BA60" s="7" t="n">
        <v>-4.067153486855652</v>
      </c>
      <c r="BB60" s="7" t="n">
        <v>133.4680676395075</v>
      </c>
      <c r="BC60" s="31" t="n">
        <v>5.245855731094508</v>
      </c>
      <c r="BD60" s="7" t="n">
        <v>-6.520624143690341</v>
      </c>
      <c r="BE60" s="7" t="n">
        <v>0.03718833984783032</v>
      </c>
      <c r="BF60" s="7" t="n">
        <v>-3.876830196969649</v>
      </c>
      <c r="BG60" s="7" t="n">
        <v>6.810335443960819</v>
      </c>
      <c r="BH60" s="31" t="n">
        <v>0.004108140579098141</v>
      </c>
      <c r="BI60" s="7" t="n">
        <v>-0.4143799875937915</v>
      </c>
      <c r="BJ60" s="7" t="n">
        <v>-0.24506784322387</v>
      </c>
      <c r="BK60" s="7" t="n">
        <v>-0.5430492771108453</v>
      </c>
      <c r="BL60" s="7" t="n">
        <v>1.515020797925282</v>
      </c>
      <c r="BM60" s="31" t="n">
        <v>-0.1882673761249769</v>
      </c>
      <c r="BN60" s="7" t="n">
        <v>-1.31987265225933</v>
      </c>
      <c r="BO60" s="7" t="n">
        <v>-0.8265076017444968</v>
      </c>
      <c r="BP60" s="7" t="n">
        <v>-1.368961784525906</v>
      </c>
      <c r="BQ60" s="7" t="n">
        <v>66.22818507081169</v>
      </c>
      <c r="BR60" s="31" t="n">
        <v>-7.952886468554027</v>
      </c>
      <c r="BS60" s="7" t="n">
        <v>-6.264089293984476</v>
      </c>
      <c r="BT60" s="7" t="n">
        <v>-7.848660722404887</v>
      </c>
      <c r="BU60" s="8" t="n">
        <v>-6.069205421225817</v>
      </c>
      <c r="BV60" s="9" t="n">
        <v>2.369861871229619</v>
      </c>
      <c r="BW60" s="31" t="n">
        <v>-0.6893155925566332</v>
      </c>
      <c r="BX60" s="7" t="n">
        <v>-9.106373132304647</v>
      </c>
      <c r="BY60" s="7" t="n">
        <v>-4.724278964761228</v>
      </c>
      <c r="BZ60" s="7" t="n">
        <v>-9.411492249006027</v>
      </c>
      <c r="CA60" s="7" t="n">
        <v>1.800639292660157</v>
      </c>
      <c r="CB60" s="31" t="n">
        <v>7.284042864686386</v>
      </c>
      <c r="CC60" s="7" t="n">
        <v>-3.684035590440019</v>
      </c>
      <c r="CD60" s="7" t="n">
        <v>2.50559389430542</v>
      </c>
      <c r="CE60" s="8" t="n">
        <v>-2.354483659054488</v>
      </c>
    </row>
    <row r="61">
      <c r="A61" s="251" t="n">
        <v>43374</v>
      </c>
      <c r="B61" s="3" t="n">
        <v>0</v>
      </c>
      <c r="C61" s="6" t="n">
        <v>28.01547970897081</v>
      </c>
      <c r="D61" s="31" t="n">
        <v>1.706922060258698</v>
      </c>
      <c r="E61" s="7" t="n">
        <v>0.1576881096380962</v>
      </c>
      <c r="F61" s="7" t="n">
        <v>0.9115092421321265</v>
      </c>
      <c r="G61" s="7" t="n">
        <v>0.8679970413963325</v>
      </c>
      <c r="H61" s="9" t="n">
        <v>38.06573038793697</v>
      </c>
      <c r="I61" s="31" t="n">
        <v>-3.045324848306613</v>
      </c>
      <c r="J61" s="7" t="n">
        <v>-3.215592630758479</v>
      </c>
      <c r="K61" s="7" t="n">
        <v>-3.039656176644058</v>
      </c>
      <c r="L61" s="7" t="n">
        <v>-5.799109582483695</v>
      </c>
      <c r="M61" s="9" t="n">
        <v>-4.16534400315345</v>
      </c>
      <c r="N61" s="7" t="n">
        <v>-6.075668150361366</v>
      </c>
      <c r="O61" s="8" t="n">
        <v>-7.276458898035041</v>
      </c>
      <c r="P61" s="7" t="n">
        <v>59.75</v>
      </c>
      <c r="Q61" s="31" t="n">
        <v>-0.5999999999999943</v>
      </c>
      <c r="R61" s="7" t="n">
        <v>-2.924999999999997</v>
      </c>
      <c r="S61" s="7" t="n">
        <v>-2.631250000000001</v>
      </c>
      <c r="T61" s="7" t="n">
        <v>-4.383333333333326</v>
      </c>
      <c r="U61" s="9" t="n">
        <v>4.667427044759028</v>
      </c>
      <c r="V61" s="31" t="n">
        <v>1.336747794758705</v>
      </c>
      <c r="W61" s="7" t="n">
        <v>0.6511676776169844</v>
      </c>
      <c r="X61" s="7" t="n">
        <v>1.104279445691789</v>
      </c>
      <c r="Y61" s="7" t="n">
        <v>1.132885584880038</v>
      </c>
      <c r="Z61" s="9" t="n">
        <v>9.189982480336363</v>
      </c>
      <c r="AA61" s="31" t="n">
        <v>1.009747734023899</v>
      </c>
      <c r="AB61" s="7" t="n">
        <v>0.890887984736318</v>
      </c>
      <c r="AC61" s="7" t="n">
        <v>1.130515416180643</v>
      </c>
      <c r="AD61" s="7" t="n">
        <v>1.331186559176214</v>
      </c>
      <c r="AE61" s="9" t="n">
        <v>21.1413107179286</v>
      </c>
      <c r="AF61" s="7" t="n">
        <v>18.51272242965882</v>
      </c>
      <c r="AG61" s="8" t="n">
        <v>10.0444624267725</v>
      </c>
      <c r="AH61" s="60" t="n">
        <v>4.637710314451406</v>
      </c>
      <c r="AI61" s="31" t="n">
        <v>1.547579508104367</v>
      </c>
      <c r="AJ61" s="7" t="n">
        <v>0.7933805241829897</v>
      </c>
      <c r="AK61" s="7" t="n">
        <v>0.9586238680856281</v>
      </c>
      <c r="AL61" s="7" t="n">
        <v>0.6860496715290476</v>
      </c>
      <c r="AM61" s="7" t="n">
        <v>-4.013009838889402</v>
      </c>
      <c r="AN61" s="31" t="n">
        <v>-1.060350152965663</v>
      </c>
      <c r="AO61" s="7" t="n">
        <v>-1.263308197620349</v>
      </c>
      <c r="AP61" s="7" t="n">
        <v>-1.15654841153324</v>
      </c>
      <c r="AQ61" s="7" t="n">
        <v>-1.728891852036452</v>
      </c>
      <c r="AR61" s="7" t="n">
        <v>41.91175769904784</v>
      </c>
      <c r="AS61" s="31" t="n">
        <v>-4.602211521232988</v>
      </c>
      <c r="AT61" s="7" t="n">
        <v>-2.732919365069321</v>
      </c>
      <c r="AU61" s="7" t="n">
        <v>-3.274755472983813</v>
      </c>
      <c r="AV61" s="8" t="n">
        <v>-3.319740891852099</v>
      </c>
      <c r="AW61" s="7" t="n">
        <v>39.47822953306205</v>
      </c>
      <c r="AX61" s="31" t="n">
        <v>-0.4774567703324593</v>
      </c>
      <c r="AY61" s="7" t="n">
        <v>-1.963415827166418</v>
      </c>
      <c r="AZ61" s="7" t="n">
        <v>-1.038929025522428</v>
      </c>
      <c r="BA61" s="7" t="n">
        <v>-3.16159745233788</v>
      </c>
      <c r="BB61" s="7" t="n">
        <v>131.9099735671511</v>
      </c>
      <c r="BC61" s="31" t="n">
        <v>5.794443899011071</v>
      </c>
      <c r="BD61" s="7" t="n">
        <v>-3.946252012715902</v>
      </c>
      <c r="BE61" s="7" t="n">
        <v>0.1092503034140861</v>
      </c>
      <c r="BF61" s="7" t="n">
        <v>-4.420761999005805</v>
      </c>
      <c r="BG61" s="7" t="n">
        <v>6.930098251528016</v>
      </c>
      <c r="BH61" s="31" t="n">
        <v>0.06270627483538416</v>
      </c>
      <c r="BI61" s="7" t="n">
        <v>-0.2687813166055908</v>
      </c>
      <c r="BJ61" s="7" t="n">
        <v>-0.02171003875822386</v>
      </c>
      <c r="BK61" s="7" t="n">
        <v>-0.3184790126662795</v>
      </c>
      <c r="BL61" s="7" t="n">
        <v>-0.03819447824244948</v>
      </c>
      <c r="BM61" s="31" t="n">
        <v>-1.780360215509322</v>
      </c>
      <c r="BN61" s="7" t="n">
        <v>-1.703525555582312</v>
      </c>
      <c r="BO61" s="7" t="n">
        <v>-2.049754714847396</v>
      </c>
      <c r="BP61" s="7" t="n">
        <v>-2.704799390789234</v>
      </c>
      <c r="BQ61" s="7" t="n">
        <v>65.42413904324225</v>
      </c>
      <c r="BR61" s="31" t="n">
        <v>-7.188172807979157</v>
      </c>
      <c r="BS61" s="7" t="n">
        <v>-6.736294825195479</v>
      </c>
      <c r="BT61" s="7" t="n">
        <v>-7.0866844264782</v>
      </c>
      <c r="BU61" s="8" t="n">
        <v>-7.491677075674914</v>
      </c>
      <c r="BV61" s="9" t="n">
        <v>2.695010800820613</v>
      </c>
      <c r="BW61" s="31" t="n">
        <v>3.474479543443848</v>
      </c>
      <c r="BX61" s="7" t="n">
        <v>-7.964535555607163</v>
      </c>
      <c r="BY61" s="7" t="n">
        <v>-2.122536752094073</v>
      </c>
      <c r="BZ61" s="7" t="n">
        <v>-7.604486793102707</v>
      </c>
      <c r="CA61" s="7" t="n">
        <v>4.822178499843152</v>
      </c>
      <c r="CB61" s="31" t="n">
        <v>11.16254151172644</v>
      </c>
      <c r="CC61" s="7" t="n">
        <v>-0.5888882992428917</v>
      </c>
      <c r="CD61" s="7" t="n">
        <v>6.44814199909842</v>
      </c>
      <c r="CE61" s="8" t="n">
        <v>1.601042370335617</v>
      </c>
    </row>
    <row r="62">
      <c r="A62" s="251" t="n">
        <v>43466</v>
      </c>
      <c r="B62" s="3" t="n">
        <v>0</v>
      </c>
      <c r="C62" s="6" t="n">
        <v>28.67014631066517</v>
      </c>
      <c r="D62" s="31" t="n">
        <v>2.013224396147805</v>
      </c>
      <c r="E62" s="7" t="n">
        <v>0.5751065144464214</v>
      </c>
      <c r="F62" s="7" t="n">
        <v>1.526753816416957</v>
      </c>
      <c r="G62" s="7" t="n">
        <v>1.401252636130085</v>
      </c>
      <c r="H62" s="9" t="n">
        <v>36.8709229440454</v>
      </c>
      <c r="I62" s="31" t="n">
        <v>-3.458241071565709</v>
      </c>
      <c r="J62" s="7" t="n">
        <v>-2.663098162802033</v>
      </c>
      <c r="K62" s="7" t="n">
        <v>-3.430565462845998</v>
      </c>
      <c r="L62" s="7" t="n">
        <v>-6.112443418175218</v>
      </c>
      <c r="M62" s="9" t="n">
        <v>-4.470658154218881</v>
      </c>
      <c r="N62" s="7" t="n">
        <v>-3.758629753708874</v>
      </c>
      <c r="O62" s="8" t="n">
        <v>-9.3407216927842</v>
      </c>
      <c r="P62" s="7" t="n">
        <v>63.2</v>
      </c>
      <c r="Q62" s="31" t="n">
        <v>1.850000000000009</v>
      </c>
      <c r="R62" s="7" t="n">
        <v>-2.024999999999999</v>
      </c>
      <c r="S62" s="7" t="n">
        <v>1.550000000000004</v>
      </c>
      <c r="T62" s="7" t="n">
        <v>-0.09999999999998721</v>
      </c>
      <c r="U62" s="9" t="n">
        <v>5.081734977160588</v>
      </c>
      <c r="V62" s="31" t="n">
        <v>1.48246573866148</v>
      </c>
      <c r="W62" s="7" t="n">
        <v>0.8610394069181171</v>
      </c>
      <c r="X62" s="7" t="n">
        <v>1.355795458689102</v>
      </c>
      <c r="Y62" s="7" t="n">
        <v>1.454130357534219</v>
      </c>
      <c r="Z62" s="9" t="n">
        <v>9.418604074971286</v>
      </c>
      <c r="AA62" s="31" t="n">
        <v>0.9771594067104985</v>
      </c>
      <c r="AB62" s="7" t="n">
        <v>0.9685259985883419</v>
      </c>
      <c r="AC62" s="7" t="n">
        <v>1.136415014631487</v>
      </c>
      <c r="AD62" s="7" t="n">
        <v>1.423453832269018</v>
      </c>
      <c r="AE62" s="9" t="n">
        <v>18.14998685026569</v>
      </c>
      <c r="AF62" s="7" t="n">
        <v>19.20242457144093</v>
      </c>
      <c r="AG62" s="8" t="n">
        <v>11.99696112638389</v>
      </c>
      <c r="AH62" s="60" t="n">
        <v>3.568536450458974</v>
      </c>
      <c r="AI62" s="31" t="n">
        <v>-1.068897511659914</v>
      </c>
      <c r="AJ62" s="7" t="n">
        <v>0.207839477712042</v>
      </c>
      <c r="AK62" s="7" t="n">
        <v>-0.3088951269525517</v>
      </c>
      <c r="AL62" s="7" t="n">
        <v>-0.3739577608111326</v>
      </c>
      <c r="AM62" s="7" t="n">
        <v>-3.549420423665619</v>
      </c>
      <c r="AN62" s="31" t="n">
        <v>0.5353041981186442</v>
      </c>
      <c r="AO62" s="7" t="n">
        <v>-1.20527871851903</v>
      </c>
      <c r="AP62" s="7" t="n">
        <v>-0.3771319469043704</v>
      </c>
      <c r="AQ62" s="7" t="n">
        <v>-1.04708572152443</v>
      </c>
      <c r="AR62" s="7" t="n">
        <v>39.96821430410511</v>
      </c>
      <c r="AS62" s="31" t="n">
        <v>-4.040783615733503</v>
      </c>
      <c r="AT62" s="7" t="n">
        <v>-2.668864735427231</v>
      </c>
      <c r="AU62" s="7" t="n">
        <v>-4.535069026659208</v>
      </c>
      <c r="AV62" s="8" t="n">
        <v>-5.245035636286588</v>
      </c>
      <c r="AW62" s="7" t="n">
        <v>39.58348678014198</v>
      </c>
      <c r="AX62" s="31" t="n">
        <v>-0.07366110354369937</v>
      </c>
      <c r="AY62" s="7" t="n">
        <v>-0.8721382524715402</v>
      </c>
      <c r="AZ62" s="7" t="n">
        <v>-0.4428178216508911</v>
      </c>
      <c r="BA62" s="7" t="n">
        <v>-2.508837427911821</v>
      </c>
      <c r="BB62" s="7" t="n">
        <v>131.5679962883033</v>
      </c>
      <c r="BC62" s="31" t="n">
        <v>4.501058029604209</v>
      </c>
      <c r="BD62" s="7" t="n">
        <v>-1.642559790451145</v>
      </c>
      <c r="BE62" s="7" t="n">
        <v>0.7538360277452227</v>
      </c>
      <c r="BF62" s="7" t="n">
        <v>-4.006888414582619</v>
      </c>
      <c r="BG62" s="7" t="n">
        <v>6.926000756708063</v>
      </c>
      <c r="BH62" s="31" t="n">
        <v>0.0740202245219983</v>
      </c>
      <c r="BI62" s="7" t="n">
        <v>-0.1376223155923411</v>
      </c>
      <c r="BJ62" s="7" t="n">
        <v>0.04138779557322003</v>
      </c>
      <c r="BK62" s="7" t="n">
        <v>-0.2483771677874111</v>
      </c>
      <c r="BL62" s="7" t="n">
        <v>-0.2914786688136894</v>
      </c>
      <c r="BM62" s="31" t="n">
        <v>-2.722189972680054</v>
      </c>
      <c r="BN62" s="7" t="n">
        <v>-1.081153714540523</v>
      </c>
      <c r="BO62" s="7" t="n">
        <v>-1.877157516523058</v>
      </c>
      <c r="BP62" s="7" t="n">
        <v>-2.685022672337749</v>
      </c>
      <c r="BQ62" s="7" t="n">
        <v>64.985950255194</v>
      </c>
      <c r="BR62" s="31" t="n">
        <v>-5.51851058492565</v>
      </c>
      <c r="BS62" s="7" t="n">
        <v>-5.128922625235738</v>
      </c>
      <c r="BT62" s="7" t="n">
        <v>-5.84079950822759</v>
      </c>
      <c r="BU62" s="8" t="n">
        <v>-7.746163479502755</v>
      </c>
      <c r="BV62" s="9" t="n">
        <v>8.297127436880057</v>
      </c>
      <c r="BW62" s="31" t="n">
        <v>12.48250206345504</v>
      </c>
      <c r="BX62" s="7" t="n">
        <v>-2.740607619900402</v>
      </c>
      <c r="BY62" s="7" t="n">
        <v>5.470713772867162</v>
      </c>
      <c r="BZ62" s="7" t="n">
        <v>-0.5650253371887235</v>
      </c>
      <c r="CA62" s="7" t="n">
        <v>6.998764006433272</v>
      </c>
      <c r="CB62" s="31" t="n">
        <v>12.27291635620566</v>
      </c>
      <c r="CC62" s="7" t="n">
        <v>3.197985256203753</v>
      </c>
      <c r="CD62" s="7" t="n">
        <v>8.771949580499262</v>
      </c>
      <c r="CE62" s="8" t="n">
        <v>4.711131930007637</v>
      </c>
    </row>
    <row r="63">
      <c r="A63" s="251" t="n">
        <v>43556</v>
      </c>
      <c r="B63" s="3" t="n">
        <v>0</v>
      </c>
      <c r="C63" s="6" t="n">
        <v>27.57196673522928</v>
      </c>
      <c r="D63" s="31" t="n">
        <v>0.1215636881216078</v>
      </c>
      <c r="E63" s="7" t="n">
        <v>0.4086131822774917</v>
      </c>
      <c r="F63" s="7" t="n">
        <v>0.2847976123694664</v>
      </c>
      <c r="G63" s="7" t="n">
        <v>0.1327503190991912</v>
      </c>
      <c r="H63" s="9" t="n">
        <v>36.00124638082159</v>
      </c>
      <c r="I63" s="31" t="n">
        <v>-3.387022452200696</v>
      </c>
      <c r="J63" s="7" t="n">
        <v>-2.627659572598425</v>
      </c>
      <c r="K63" s="7" t="n">
        <v>-3.634467485369306</v>
      </c>
      <c r="L63" s="7" t="n">
        <v>-5.775424380265271</v>
      </c>
      <c r="M63" s="9" t="n">
        <v>-5.999716180223913</v>
      </c>
      <c r="N63" s="7" t="n">
        <v>-3.581635156810421</v>
      </c>
      <c r="O63" s="8" t="n">
        <v>-9.244606759267299</v>
      </c>
      <c r="P63" s="7" t="n">
        <v>64.45</v>
      </c>
      <c r="Q63" s="31" t="n">
        <v>3.900000000000006</v>
      </c>
      <c r="R63" s="7" t="n">
        <v>7.105427357601002e-15</v>
      </c>
      <c r="S63" s="7" t="n">
        <v>3.306250000000006</v>
      </c>
      <c r="T63" s="7" t="n">
        <v>1.645833333333336</v>
      </c>
      <c r="U63" s="9" t="n">
        <v>5.439854787686599</v>
      </c>
      <c r="V63" s="31" t="n">
        <v>1.467137900651572</v>
      </c>
      <c r="W63" s="7" t="n">
        <v>1.064413400827485</v>
      </c>
      <c r="X63" s="7" t="n">
        <v>1.498655417485584</v>
      </c>
      <c r="Y63" s="7" t="n">
        <v>1.682459598499203</v>
      </c>
      <c r="Z63" s="9" t="n">
        <v>9.592172882678044</v>
      </c>
      <c r="AA63" s="31" t="n">
        <v>0.9508642867838741</v>
      </c>
      <c r="AB63" s="7" t="n">
        <v>1.005527669505116</v>
      </c>
      <c r="AC63" s="7" t="n">
        <v>1.067852322691158</v>
      </c>
      <c r="AD63" s="7" t="n">
        <v>1.439720805496238</v>
      </c>
      <c r="AE63" s="9" t="n">
        <v>16.46974423228608</v>
      </c>
      <c r="AF63" s="7" t="n">
        <v>19.68796484219581</v>
      </c>
      <c r="AG63" s="8" t="n">
        <v>13.98410525738113</v>
      </c>
      <c r="AH63" s="60" t="n">
        <v>3.534338160301242</v>
      </c>
      <c r="AI63" s="31" t="n">
        <v>-1.147295238274663</v>
      </c>
      <c r="AJ63" s="7" t="n">
        <v>0.2348302269256288</v>
      </c>
      <c r="AK63" s="7" t="n">
        <v>-0.3950532865382934</v>
      </c>
      <c r="AL63" s="7" t="n">
        <v>-0.297857451925617</v>
      </c>
      <c r="AM63" s="7" t="n">
        <v>-3.117567644165951</v>
      </c>
      <c r="AN63" s="31" t="n">
        <v>1.655041923637324</v>
      </c>
      <c r="AO63" s="7" t="n">
        <v>-0.6579539418226857</v>
      </c>
      <c r="AP63" s="7" t="n">
        <v>0.3560405122250558</v>
      </c>
      <c r="AQ63" s="7" t="n">
        <v>-0.4246338501993625</v>
      </c>
      <c r="AR63" s="7" t="n">
        <v>38.68847561577935</v>
      </c>
      <c r="AS63" s="31" t="n">
        <v>-4.904028435785342</v>
      </c>
      <c r="AT63" s="7" t="n">
        <v>-3.240559389478754</v>
      </c>
      <c r="AU63" s="7" t="n">
        <v>-5.147591531128157</v>
      </c>
      <c r="AV63" s="8" t="n">
        <v>-5.989813181289044</v>
      </c>
      <c r="AW63" s="7" t="n">
        <v>39.48318205687324</v>
      </c>
      <c r="AX63" s="31" t="n">
        <v>-0.2181166852349392</v>
      </c>
      <c r="AY63" s="7" t="n">
        <v>-0.5085138744977087</v>
      </c>
      <c r="AZ63" s="7" t="n">
        <v>-0.3250879818017509</v>
      </c>
      <c r="BA63" s="7" t="n">
        <v>-1.856088088207294</v>
      </c>
      <c r="BB63" s="7" t="n">
        <v>133.5201561798917</v>
      </c>
      <c r="BC63" s="31" t="n">
        <v>-0.4010531667407804</v>
      </c>
      <c r="BD63" s="7" t="n">
        <v>1.281960176587916</v>
      </c>
      <c r="BE63" s="7" t="n">
        <v>3.116635866946382</v>
      </c>
      <c r="BF63" s="7" t="n">
        <v>-0.6453123756105299</v>
      </c>
      <c r="BG63" s="7" t="n">
        <v>6.833489812550788</v>
      </c>
      <c r="BH63" s="31" t="n">
        <v>0.08934321080333874</v>
      </c>
      <c r="BI63" s="7" t="n">
        <v>-0.01599418956925325</v>
      </c>
      <c r="BJ63" s="7" t="n">
        <v>-0.01671756968596938</v>
      </c>
      <c r="BK63" s="7" t="n">
        <v>-0.25390028254699</v>
      </c>
      <c r="BL63" s="7" t="n">
        <v>0.07979598373624287</v>
      </c>
      <c r="BM63" s="31" t="n">
        <v>-2.12359133760049</v>
      </c>
      <c r="BN63" s="7" t="n">
        <v>-0.5892135907341413</v>
      </c>
      <c r="BO63" s="7" t="n">
        <v>-1.235594435337994</v>
      </c>
      <c r="BP63" s="7" t="n">
        <v>-1.972661136985215</v>
      </c>
      <c r="BQ63" s="7" t="n">
        <v>64.85016314459267</v>
      </c>
      <c r="BR63" s="31" t="n">
        <v>-3.548403513466496</v>
      </c>
      <c r="BS63" s="7" t="n">
        <v>-4.585652227147321</v>
      </c>
      <c r="BT63" s="7" t="n">
        <v>-4.694355962519978</v>
      </c>
      <c r="BU63" s="8" t="n">
        <v>-7.289190676099352</v>
      </c>
      <c r="BV63" s="9" t="n">
        <v>10.13800247004031</v>
      </c>
      <c r="BW63" s="31" t="n">
        <v>11.17417607509274</v>
      </c>
      <c r="BX63" s="7" t="n">
        <v>1.714034498101926</v>
      </c>
      <c r="BY63" s="7" t="n">
        <v>7.99674071100252</v>
      </c>
      <c r="BZ63" s="7" t="n">
        <v>2.466271115093507</v>
      </c>
      <c r="CA63" s="7" t="n">
        <v>7.529548421163574</v>
      </c>
      <c r="CB63" s="31" t="n">
        <v>9.162614148555067</v>
      </c>
      <c r="CC63" s="7" t="n">
        <v>5.104829819573586</v>
      </c>
      <c r="CD63" s="7" t="n">
        <v>8.503237681178627</v>
      </c>
      <c r="CE63" s="8" t="n">
        <v>5.832841453033979</v>
      </c>
    </row>
    <row r="64">
      <c r="A64" s="251" t="n">
        <v>43647</v>
      </c>
      <c r="B64" s="3" t="n">
        <v>0</v>
      </c>
      <c r="C64" s="6" t="n">
        <v>27.06151640990355</v>
      </c>
      <c r="D64" s="31" t="n">
        <v>-0.9046754599504467</v>
      </c>
      <c r="E64" s="7" t="n">
        <v>0.2933021487632139</v>
      </c>
      <c r="F64" s="7" t="n">
        <v>-0.3278060085256449</v>
      </c>
      <c r="G64" s="7" t="n">
        <v>-0.3165660802902401</v>
      </c>
      <c r="H64" s="9" t="n">
        <v>35.14335755894528</v>
      </c>
      <c r="I64" s="31" t="n">
        <v>-3.483344242374201</v>
      </c>
      <c r="J64" s="7" t="n">
        <v>-3.146972313192308</v>
      </c>
      <c r="K64" s="7" t="n">
        <v>-3.83544141409601</v>
      </c>
      <c r="L64" s="7" t="n">
        <v>-5.464695496419637</v>
      </c>
      <c r="M64" s="9" t="n">
        <v>-7.938039509427426</v>
      </c>
      <c r="N64" s="7" t="n">
        <v>-6.164941408186564</v>
      </c>
      <c r="O64" s="8" t="n">
        <v>-8.538457026363707</v>
      </c>
      <c r="P64" s="7" t="n">
        <v>63.25</v>
      </c>
      <c r="Q64" s="31" t="n">
        <v>4.099999999999994</v>
      </c>
      <c r="R64" s="7" t="n">
        <v>1.450000000000003</v>
      </c>
      <c r="S64" s="7" t="n">
        <v>2.106250000000003</v>
      </c>
      <c r="T64" s="7" t="n">
        <v>0.6708333333333272</v>
      </c>
      <c r="U64" s="9" t="n">
        <v>5.679808884300323</v>
      </c>
      <c r="V64" s="31" t="n">
        <v>1.365437920502018</v>
      </c>
      <c r="W64" s="7" t="n">
        <v>1.213720134988108</v>
      </c>
      <c r="X64" s="7" t="n">
        <v>1.472506163892437</v>
      </c>
      <c r="Y64" s="7" t="n">
        <v>1.756511873239183</v>
      </c>
      <c r="Z64" s="9" t="n">
        <v>9.839856947261547</v>
      </c>
      <c r="AA64" s="31" t="n">
        <v>0.9527401787263425</v>
      </c>
      <c r="AB64" s="7" t="n">
        <v>0.9925506726722726</v>
      </c>
      <c r="AC64" s="7" t="n">
        <v>1.064154469898382</v>
      </c>
      <c r="AD64" s="7" t="n">
        <v>1.505182752974051</v>
      </c>
      <c r="AE64" s="9" t="n">
        <v>15.36291439064007</v>
      </c>
      <c r="AF64" s="7" t="n">
        <v>19.13115083603248</v>
      </c>
      <c r="AG64" s="8" t="n">
        <v>15.92719102273869</v>
      </c>
      <c r="AH64" s="60" t="n">
        <v>3.720474946716933</v>
      </c>
      <c r="AI64" s="31" t="n">
        <v>-0.9222924878997421</v>
      </c>
      <c r="AJ64" s="7" t="n">
        <v>0.3041167225097585</v>
      </c>
      <c r="AK64" s="7" t="n">
        <v>-0.2676240568540105</v>
      </c>
      <c r="AL64" s="7" t="n">
        <v>0.0175419627142066</v>
      </c>
      <c r="AM64" s="7" t="n">
        <v>-3.140998244370499</v>
      </c>
      <c r="AN64" s="31" t="n">
        <v>0.5454814280285638</v>
      </c>
      <c r="AO64" s="7" t="n">
        <v>-0.106348282114193</v>
      </c>
      <c r="AP64" s="7" t="n">
        <v>0.4970983974761789</v>
      </c>
      <c r="AQ64" s="7" t="n">
        <v>-0.2236738445263069</v>
      </c>
      <c r="AR64" s="7" t="n">
        <v>37.54393679297957</v>
      </c>
      <c r="AS64" s="31" t="n">
        <v>-5.101707088321483</v>
      </c>
      <c r="AT64" s="7" t="n">
        <v>-4.666959455702756</v>
      </c>
      <c r="AU64" s="7" t="n">
        <v>-5.481990506558247</v>
      </c>
      <c r="AV64" s="8" t="n">
        <v>-6.540209023228179</v>
      </c>
      <c r="AW64" s="7" t="n">
        <v>39.20406633404687</v>
      </c>
      <c r="AX64" s="31" t="n">
        <v>0.06303953596109579</v>
      </c>
      <c r="AY64" s="7" t="n">
        <v>-0.6225040645030973</v>
      </c>
      <c r="AZ64" s="7" t="n">
        <v>-0.4770752360036852</v>
      </c>
      <c r="BA64" s="7" t="n">
        <v>-1.503954478620017</v>
      </c>
      <c r="BB64" s="7" t="n">
        <v>133.9650370076605</v>
      </c>
      <c r="BC64" s="31" t="n">
        <v>0.4969693681530316</v>
      </c>
      <c r="BD64" s="7" t="n">
        <v>2.87141254962377</v>
      </c>
      <c r="BE64" s="7" t="n">
        <v>3.241026650568244</v>
      </c>
      <c r="BF64" s="7" t="n">
        <v>0.8056013349829527</v>
      </c>
      <c r="BG64" s="7" t="n">
        <v>6.731428425666398</v>
      </c>
      <c r="BH64" s="31" t="n">
        <v>-0.07890701829442026</v>
      </c>
      <c r="BI64" s="7" t="n">
        <v>-0.03739943885766106</v>
      </c>
      <c r="BJ64" s="7" t="n">
        <v>-0.1147804091780458</v>
      </c>
      <c r="BK64" s="7" t="n">
        <v>-0.2638341211857007</v>
      </c>
      <c r="BL64" s="7" t="n">
        <v>0.1851459003943269</v>
      </c>
      <c r="BM64" s="31" t="n">
        <v>-1.329874897530955</v>
      </c>
      <c r="BN64" s="7" t="n">
        <v>-0.759071136827966</v>
      </c>
      <c r="BO64" s="7" t="n">
        <v>-0.982941120996375</v>
      </c>
      <c r="BP64" s="7" t="n">
        <v>-1.481301668935975</v>
      </c>
      <c r="BQ64" s="7" t="n">
        <v>63.63927461303827</v>
      </c>
      <c r="BR64" s="31" t="n">
        <v>-2.588910457773423</v>
      </c>
      <c r="BS64" s="7" t="n">
        <v>-5.270898463163725</v>
      </c>
      <c r="BT64" s="7" t="n">
        <v>-4.758831437287554</v>
      </c>
      <c r="BU64" s="8" t="n">
        <v>-7.535992375259497</v>
      </c>
      <c r="BV64" s="9" t="n">
        <v>5.066458946017264</v>
      </c>
      <c r="BW64" s="31" t="n">
        <v>2.696597074787644</v>
      </c>
      <c r="BX64" s="7" t="n">
        <v>1.003640741115505</v>
      </c>
      <c r="BY64" s="7" t="n">
        <v>2.496688562453988</v>
      </c>
      <c r="BZ64" s="7" t="n">
        <v>-1.621301826224186</v>
      </c>
      <c r="CA64" s="7" t="n">
        <v>7.256989377646718</v>
      </c>
      <c r="CB64" s="31" t="n">
        <v>5.456350084986561</v>
      </c>
      <c r="CC64" s="7" t="n">
        <v>6.370196474836474</v>
      </c>
      <c r="CD64" s="7" t="n">
        <v>6.954471182768375</v>
      </c>
      <c r="CE64" s="8" t="n">
        <v>5.964364927068547</v>
      </c>
    </row>
    <row r="65">
      <c r="A65" s="251" t="n">
        <v>43739</v>
      </c>
      <c r="B65" s="3" t="n">
        <v>0</v>
      </c>
      <c r="C65" s="6" t="n">
        <v>25.72305952376319</v>
      </c>
      <c r="D65" s="31" t="n">
        <v>-2.292420185207622</v>
      </c>
      <c r="E65" s="7" t="n">
        <v>-0.2927490624744618</v>
      </c>
      <c r="F65" s="7" t="n">
        <v>-1.739588431856802</v>
      </c>
      <c r="G65" s="7" t="n">
        <v>-1.622846551193337</v>
      </c>
      <c r="H65" s="9" t="n">
        <v>35.32053556650568</v>
      </c>
      <c r="I65" s="31" t="n">
        <v>-2.745194821431291</v>
      </c>
      <c r="J65" s="7" t="n">
        <v>-2.895259834868952</v>
      </c>
      <c r="K65" s="7" t="n">
        <v>-2.871520328237537</v>
      </c>
      <c r="L65" s="7" t="n">
        <v>-4.25649358252744</v>
      </c>
      <c r="M65" s="9" t="n">
        <v>-4.51601410723606</v>
      </c>
      <c r="N65" s="7" t="n">
        <v>-4.340679055194755</v>
      </c>
      <c r="O65" s="8" t="n">
        <v>-5.555783469319597</v>
      </c>
      <c r="P65" s="7" t="n">
        <v>64.7</v>
      </c>
      <c r="Q65" s="31" t="n">
        <v>4.950000000000003</v>
      </c>
      <c r="R65" s="7" t="n">
        <v>2.175000000000004</v>
      </c>
      <c r="S65" s="7" t="n">
        <v>3.193750000000009</v>
      </c>
      <c r="T65" s="7" t="n">
        <v>2.225000000000001</v>
      </c>
      <c r="U65" s="9" t="n">
        <v>5.88019745528244</v>
      </c>
      <c r="V65" s="31" t="n">
        <v>1.212770410523412</v>
      </c>
      <c r="W65" s="7" t="n">
        <v>1.274759102641058</v>
      </c>
      <c r="X65" s="7" t="n">
        <v>1.369464701127527</v>
      </c>
      <c r="Y65" s="7" t="n">
        <v>1.765696914745402</v>
      </c>
      <c r="Z65" s="9" t="n">
        <v>10.16542531438313</v>
      </c>
      <c r="AA65" s="31" t="n">
        <v>0.9754428340467705</v>
      </c>
      <c r="AB65" s="7" t="n">
        <v>0.9925952840353345</v>
      </c>
      <c r="AC65" s="7" t="n">
        <v>1.141585168851901</v>
      </c>
      <c r="AD65" s="7" t="n">
        <v>1.622395906175383</v>
      </c>
      <c r="AE65" s="9" t="n">
        <v>15.25762217799297</v>
      </c>
      <c r="AF65" s="7" t="n">
        <v>18.19946644796079</v>
      </c>
      <c r="AG65" s="8" t="n">
        <v>17.42768901243687</v>
      </c>
      <c r="AH65" s="60" t="n">
        <v>3.608555704854141</v>
      </c>
      <c r="AI65" s="31" t="n">
        <v>-1.029154609597265</v>
      </c>
      <c r="AJ65" s="7" t="n">
        <v>0.2592124492535508</v>
      </c>
      <c r="AK65" s="7" t="n">
        <v>-0.4555724793442417</v>
      </c>
      <c r="AL65" s="7" t="n">
        <v>-0.1325902487170909</v>
      </c>
      <c r="AM65" s="7" t="n">
        <v>-2.40677453436116</v>
      </c>
      <c r="AN65" s="31" t="n">
        <v>1.606235304528242</v>
      </c>
      <c r="AO65" s="7" t="n">
        <v>0.2729425757812896</v>
      </c>
      <c r="AP65" s="7" t="n">
        <v>1.257909178014067</v>
      </c>
      <c r="AQ65" s="7" t="n">
        <v>0.6492827631339044</v>
      </c>
      <c r="AR65" s="7" t="n">
        <v>36.69375630134097</v>
      </c>
      <c r="AS65" s="31" t="n">
        <v>-5.218001397706871</v>
      </c>
      <c r="AT65" s="7" t="n">
        <v>-4.91010645946993</v>
      </c>
      <c r="AU65" s="7" t="n">
        <v>-5.165431134271167</v>
      </c>
      <c r="AV65" s="8" t="n">
        <v>-6.606617847672787</v>
      </c>
      <c r="AW65" s="7" t="n">
        <v>39.10521036200943</v>
      </c>
      <c r="AX65" s="31" t="n">
        <v>-0.3730191710526185</v>
      </c>
      <c r="AY65" s="7" t="n">
        <v>-0.4252379706925389</v>
      </c>
      <c r="AZ65" s="7" t="n">
        <v>-0.4203051919153538</v>
      </c>
      <c r="BA65" s="7" t="n">
        <v>-1.0519757357239</v>
      </c>
      <c r="BB65" s="7" t="n">
        <v>129.2823322350708</v>
      </c>
      <c r="BC65" s="31" t="n">
        <v>-2.627641332080344</v>
      </c>
      <c r="BD65" s="7" t="n">
        <v>1.583401283465363</v>
      </c>
      <c r="BE65" s="7" t="n">
        <v>-2.159531259427411</v>
      </c>
      <c r="BF65" s="7" t="n">
        <v>-2.831746861004461</v>
      </c>
      <c r="BG65" s="7" t="n">
        <v>6.725498893153908</v>
      </c>
      <c r="BH65" s="31" t="n">
        <v>-0.2045993583741081</v>
      </c>
      <c r="BI65" s="7" t="n">
        <v>-0.07094654176936199</v>
      </c>
      <c r="BJ65" s="7" t="n">
        <v>-0.1113600819761205</v>
      </c>
      <c r="BK65" s="7" t="n">
        <v>-0.1941247375746906</v>
      </c>
      <c r="BL65" s="7" t="n">
        <v>1.930990377177657</v>
      </c>
      <c r="BM65" s="31" t="n">
        <v>1.969184855420107</v>
      </c>
      <c r="BN65" s="7" t="n">
        <v>0.09441231995539223</v>
      </c>
      <c r="BO65" s="7" t="n">
        <v>0.9526711399939468</v>
      </c>
      <c r="BP65" s="7" t="n">
        <v>0.5953444913514907</v>
      </c>
      <c r="BQ65" s="7" t="n">
        <v>62.36860218237189</v>
      </c>
      <c r="BR65" s="31" t="n">
        <v>-3.055536860870362</v>
      </c>
      <c r="BS65" s="7" t="n">
        <v>-5.121854834424759</v>
      </c>
      <c r="BT65" s="7" t="n">
        <v>-4.711779252162998</v>
      </c>
      <c r="BU65" s="8" t="n">
        <v>-7.546907385447341</v>
      </c>
      <c r="BV65" s="9" t="n">
        <v>8.155835121781285</v>
      </c>
      <c r="BW65" s="31" t="n">
        <v>5.460824320960672</v>
      </c>
      <c r="BX65" s="7" t="n">
        <v>4.46765193220226</v>
      </c>
      <c r="BY65" s="7" t="n">
        <v>5.335154552939133</v>
      </c>
      <c r="BZ65" s="7" t="n">
        <v>2.761086782024974</v>
      </c>
      <c r="CA65" s="7" t="n">
        <v>6.588096745436534</v>
      </c>
      <c r="CB65" s="31" t="n">
        <v>1.765918245593382</v>
      </c>
      <c r="CC65" s="7" t="n">
        <v>6.464229878659911</v>
      </c>
      <c r="CD65" s="7" t="n">
        <v>4.693029431849071</v>
      </c>
      <c r="CE65" s="8" t="n">
        <v>5.454782386182819</v>
      </c>
    </row>
    <row r="66">
      <c r="A66" s="251" t="n">
        <v>43831</v>
      </c>
      <c r="B66" s="3" t="n">
        <v>0</v>
      </c>
      <c r="C66" s="6" t="n">
        <v>25.90447100010514</v>
      </c>
      <c r="D66" s="31" t="n">
        <v>-2.765675310560027</v>
      </c>
      <c r="E66" s="7" t="n">
        <v>-0.376225457206111</v>
      </c>
      <c r="F66" s="7" t="n">
        <v>-1.484989689896238</v>
      </c>
      <c r="G66" s="7" t="n">
        <v>-1.27668141102377</v>
      </c>
      <c r="H66" s="9" t="n">
        <v>38.40032315661407</v>
      </c>
      <c r="I66" s="31" t="n">
        <v>1.529400212568675</v>
      </c>
      <c r="J66" s="7" t="n">
        <v>-0.9644204294985173</v>
      </c>
      <c r="K66" s="7" t="n">
        <v>0.9320822205881001</v>
      </c>
      <c r="L66" s="7" t="n">
        <v>-0.412007652173358</v>
      </c>
      <c r="M66" s="9" t="n">
        <v>3.214217246532144</v>
      </c>
      <c r="N66" s="7" t="n">
        <v>-0.6282204538433689</v>
      </c>
      <c r="O66" s="8" t="n">
        <v>-1.434347420295201</v>
      </c>
      <c r="P66" s="7" t="n">
        <v>71.34999999999999</v>
      </c>
      <c r="Q66" s="31" t="n">
        <v>8.149999999999991</v>
      </c>
      <c r="R66" s="7" t="n">
        <v>5</v>
      </c>
      <c r="S66" s="7" t="n">
        <v>9.299999999999997</v>
      </c>
      <c r="T66" s="7" t="n">
        <v>8.949999999999996</v>
      </c>
      <c r="U66" s="9" t="n">
        <v>6.203182160926342</v>
      </c>
      <c r="V66" s="31" t="n">
        <v>1.121447183765754</v>
      </c>
      <c r="W66" s="7" t="n">
        <v>1.301956461213617</v>
      </c>
      <c r="X66" s="7" t="n">
        <v>1.373759631111165</v>
      </c>
      <c r="Y66" s="7" t="n">
        <v>1.879089473242856</v>
      </c>
      <c r="Z66" s="9" t="n">
        <v>10.4297809265946</v>
      </c>
      <c r="AA66" s="31" t="n">
        <v>1.01117685162331</v>
      </c>
      <c r="AB66" s="7" t="n">
        <v>0.994168129166904</v>
      </c>
      <c r="AC66" s="7" t="n">
        <v>1.157791960054528</v>
      </c>
      <c r="AD66" s="7" t="n">
        <v>1.656983284760228</v>
      </c>
      <c r="AE66" s="9" t="n">
        <v>16.24381732651807</v>
      </c>
      <c r="AF66" s="7" t="n">
        <v>17.19690208839188</v>
      </c>
      <c r="AG66" s="8" t="n">
        <v>18.21622215646664</v>
      </c>
      <c r="AH66" s="60" t="n">
        <v>3.488163968478025</v>
      </c>
      <c r="AI66" s="31" t="n">
        <v>-0.08037248198094948</v>
      </c>
      <c r="AJ66" s="7" t="n">
        <v>-0.5746349968204318</v>
      </c>
      <c r="AK66" s="7" t="n">
        <v>-0.6407673280337458</v>
      </c>
      <c r="AL66" s="7" t="n">
        <v>-0.2994491883239334</v>
      </c>
      <c r="AM66" s="7" t="n">
        <v>-1.794081982734106</v>
      </c>
      <c r="AN66" s="31" t="n">
        <v>1.755338440931513</v>
      </c>
      <c r="AO66" s="7" t="n">
        <v>1.145321319525079</v>
      </c>
      <c r="AP66" s="7" t="n">
        <v>1.802366085695798</v>
      </c>
      <c r="AQ66" s="7" t="n">
        <v>1.338673738986996</v>
      </c>
      <c r="AR66" s="7" t="n">
        <v>38.06853761612945</v>
      </c>
      <c r="AS66" s="31" t="n">
        <v>-1.899676687975663</v>
      </c>
      <c r="AT66" s="7" t="n">
        <v>-2.970230151854583</v>
      </c>
      <c r="AU66" s="7" t="n">
        <v>-2.563123204615202</v>
      </c>
      <c r="AV66" s="8" t="n">
        <v>-4.341516522230513</v>
      </c>
      <c r="AW66" s="7" t="n">
        <v>41.41246348414233</v>
      </c>
      <c r="AX66" s="31" t="n">
        <v>1.828976704000347</v>
      </c>
      <c r="AY66" s="7" t="n">
        <v>0.8776578002283237</v>
      </c>
      <c r="AZ66" s="7" t="n">
        <v>1.993257422890679</v>
      </c>
      <c r="BA66" s="7" t="n">
        <v>1.613598288524457</v>
      </c>
      <c r="BB66" s="7" t="n">
        <v>128.7776062816601</v>
      </c>
      <c r="BC66" s="31" t="n">
        <v>-2.790390006643207</v>
      </c>
      <c r="BD66" s="7" t="n">
        <v>0.855334011480501</v>
      </c>
      <c r="BE66" s="7" t="n">
        <v>-3.060107533704468</v>
      </c>
      <c r="BF66" s="7" t="n">
        <v>-2.459794034622462</v>
      </c>
      <c r="BG66" s="7" t="n">
        <v>7.194016101744481</v>
      </c>
      <c r="BH66" s="31" t="n">
        <v>0.2680153450364182</v>
      </c>
      <c r="BI66" s="7" t="n">
        <v>0.1710177847792083</v>
      </c>
      <c r="BJ66" s="7" t="n">
        <v>0.3748937620567929</v>
      </c>
      <c r="BK66" s="7" t="n">
        <v>0.3362393036479894</v>
      </c>
      <c r="BL66" s="7" t="n">
        <v>2.347221408285266</v>
      </c>
      <c r="BM66" s="31" t="n">
        <v>2.638700077098955</v>
      </c>
      <c r="BN66" s="7" t="n">
        <v>-0.0417449477905496</v>
      </c>
      <c r="BO66" s="7" t="n">
        <v>1.345299091112707</v>
      </c>
      <c r="BP66" s="7" t="n">
        <v>1.131397710437809</v>
      </c>
      <c r="BQ66" s="7" t="n">
        <v>61.26910397796212</v>
      </c>
      <c r="BR66" s="31" t="n">
        <v>-3.716846277231873</v>
      </c>
      <c r="BS66" s="7" t="n">
        <v>-4.617678431078762</v>
      </c>
      <c r="BT66" s="7" t="n">
        <v>-4.530813747966569</v>
      </c>
      <c r="BU66" s="8" t="n">
        <v>-7.269061713918667</v>
      </c>
      <c r="BV66" s="9" t="n">
        <v>4.504463087329634</v>
      </c>
      <c r="BW66" s="31" t="n">
        <v>-3.792664349550424</v>
      </c>
      <c r="BX66" s="7" t="n">
        <v>4.34491885695231</v>
      </c>
      <c r="BY66" s="7" t="n">
        <v>0.5668695354369166</v>
      </c>
      <c r="BZ66" s="7" t="n">
        <v>-0.01793135323887363</v>
      </c>
      <c r="CA66" s="7" t="n">
        <v>8.834348013839232</v>
      </c>
      <c r="CB66" s="31" t="n">
        <v>1.83558400740596</v>
      </c>
      <c r="CC66" s="7" t="n">
        <v>7.054250181805813</v>
      </c>
      <c r="CD66" s="7" t="n">
        <v>5.323223230586793</v>
      </c>
      <c r="CE66" s="8" t="n">
        <v>7.652021850659884</v>
      </c>
    </row>
    <row r="67">
      <c r="A67" s="251" t="n">
        <v>43922</v>
      </c>
      <c r="B67" s="3" t="n">
        <v>0</v>
      </c>
      <c r="C67" s="6" t="n">
        <v>26.37067918359554</v>
      </c>
      <c r="D67" s="31" t="n">
        <v>-1.20128755163374</v>
      </c>
      <c r="E67" s="7" t="n">
        <v>-0.5398619317560662</v>
      </c>
      <c r="F67" s="7" t="n">
        <v>-0.9247251421043075</v>
      </c>
      <c r="G67" s="7" t="n">
        <v>-0.6758513707277665</v>
      </c>
      <c r="H67" s="9" t="n">
        <v>40.24408661334883</v>
      </c>
      <c r="I67" s="31" t="n">
        <v>4.242840232527243</v>
      </c>
      <c r="J67" s="7" t="n">
        <v>0.4279088901632733</v>
      </c>
      <c r="K67" s="7" t="n">
        <v>3.016950784697485</v>
      </c>
      <c r="L67" s="7" t="n">
        <v>1.748155480647689</v>
      </c>
      <c r="M67" s="9" t="n">
        <v>10.59850165560852</v>
      </c>
      <c r="N67" s="7" t="n">
        <v>2.299392737692301</v>
      </c>
      <c r="O67" s="8" t="n">
        <v>1.145077113995891</v>
      </c>
      <c r="P67" s="7" t="n">
        <v>77.25</v>
      </c>
      <c r="Q67" s="31" t="n">
        <v>12.8</v>
      </c>
      <c r="R67" s="7" t="n">
        <v>8.350000000000001</v>
      </c>
      <c r="S67" s="7" t="n">
        <v>13.95</v>
      </c>
      <c r="T67" s="7" t="n">
        <v>14.50833333333333</v>
      </c>
      <c r="U67" s="9" t="n">
        <v>6.408760318612688</v>
      </c>
      <c r="V67" s="31" t="n">
        <v>0.9689055309260892</v>
      </c>
      <c r="W67" s="7" t="n">
        <v>1.21802171578883</v>
      </c>
      <c r="X67" s="7" t="n">
        <v>1.253848673494107</v>
      </c>
      <c r="Y67" s="7" t="n">
        <v>1.847707131129036</v>
      </c>
      <c r="Z67" s="9" t="n">
        <v>10.59966468024612</v>
      </c>
      <c r="AA67" s="31" t="n">
        <v>1.007491797568075</v>
      </c>
      <c r="AB67" s="7" t="n">
        <v>0.9791780421759748</v>
      </c>
      <c r="AC67" s="7" t="n">
        <v>1.079133681414326</v>
      </c>
      <c r="AD67" s="7" t="n">
        <v>1.581181301011753</v>
      </c>
      <c r="AE67" s="9" t="n">
        <v>14.92217279766669</v>
      </c>
      <c r="AF67" s="7" t="n">
        <v>15.69595851497638</v>
      </c>
      <c r="AG67" s="8" t="n">
        <v>18.09936749401944</v>
      </c>
      <c r="AH67" s="60" t="n">
        <v>3.769104493909096</v>
      </c>
      <c r="AI67" s="31" t="n">
        <v>0.2347663336078538</v>
      </c>
      <c r="AJ67" s="7" t="n">
        <v>-0.4562644523334045</v>
      </c>
      <c r="AK67" s="7" t="n">
        <v>-0.2161680533975665</v>
      </c>
      <c r="AL67" s="7" t="n">
        <v>-0.04645086901312334</v>
      </c>
      <c r="AM67" s="7" t="n">
        <v>0.9723413100261868</v>
      </c>
      <c r="AN67" s="31" t="n">
        <v>4.089908954192137</v>
      </c>
      <c r="AO67" s="7" t="n">
        <v>2.872475438914731</v>
      </c>
      <c r="AP67" s="7" t="n">
        <v>4.282459048574821</v>
      </c>
      <c r="AQ67" s="7" t="n">
        <v>4.159698614756167</v>
      </c>
      <c r="AR67" s="7" t="n">
        <v>38.44345031506738</v>
      </c>
      <c r="AS67" s="31" t="n">
        <v>-0.2450253007119727</v>
      </c>
      <c r="AT67" s="7" t="n">
        <v>-2.574526868248658</v>
      </c>
      <c r="AU67" s="7" t="n">
        <v>-1.445652967713627</v>
      </c>
      <c r="AV67" s="8" t="n">
        <v>-3.363486643390068</v>
      </c>
      <c r="AW67" s="7" t="n">
        <v>43.67082676373437</v>
      </c>
      <c r="AX67" s="31" t="n">
        <v>4.187644706861128</v>
      </c>
      <c r="AY67" s="7" t="n">
        <v>1.984764010813095</v>
      </c>
      <c r="AZ67" s="7" t="n">
        <v>4.032206252425638</v>
      </c>
      <c r="BA67" s="7" t="n">
        <v>3.864903218195053</v>
      </c>
      <c r="BB67" s="7" t="n">
        <v>134.8718647037097</v>
      </c>
      <c r="BC67" s="31" t="n">
        <v>1.351708523818047</v>
      </c>
      <c r="BD67" s="7" t="n">
        <v>0.4753276785386333</v>
      </c>
      <c r="BE67" s="7" t="n">
        <v>2.82031738547505</v>
      </c>
      <c r="BF67" s="7" t="n">
        <v>4.140756853055933</v>
      </c>
      <c r="BG67" s="7" t="n">
        <v>7.421013745150397</v>
      </c>
      <c r="BH67" s="31" t="n">
        <v>0.5875239325996091</v>
      </c>
      <c r="BI67" s="7" t="n">
        <v>0.3384335717014739</v>
      </c>
      <c r="BJ67" s="7" t="n">
        <v>0.5591369592679065</v>
      </c>
      <c r="BK67" s="7" t="n">
        <v>0.5638393875662606</v>
      </c>
      <c r="BL67" s="7" t="n">
        <v>2.359971259196353</v>
      </c>
      <c r="BM67" s="31" t="n">
        <v>2.28017527546011</v>
      </c>
      <c r="BN67" s="7" t="n">
        <v>0.07829196892980961</v>
      </c>
      <c r="BO67" s="7" t="n">
        <v>1.368485178971431</v>
      </c>
      <c r="BP67" s="7" t="n">
        <v>1.10444817401407</v>
      </c>
      <c r="BQ67" s="7" t="n">
        <v>62.72308573394794</v>
      </c>
      <c r="BR67" s="31" t="n">
        <v>-2.127077410644731</v>
      </c>
      <c r="BS67" s="7" t="n">
        <v>-2.837740462055613</v>
      </c>
      <c r="BT67" s="7" t="n">
        <v>-1.922412384211071</v>
      </c>
      <c r="BU67" s="8" t="n">
        <v>-4.650522330624241</v>
      </c>
      <c r="BV67" s="9" t="n">
        <v>-1.503555843047688</v>
      </c>
      <c r="BW67" s="31" t="n">
        <v>-11.641558313088</v>
      </c>
      <c r="BX67" s="7" t="n">
        <v>-0.233691118997629</v>
      </c>
      <c r="BY67" s="7" t="n">
        <v>-6.527379109178481</v>
      </c>
      <c r="BZ67" s="7" t="n">
        <v>-5.253126984503592</v>
      </c>
      <c r="CA67" s="7" t="n">
        <v>12.955218843438</v>
      </c>
      <c r="CB67" s="31" t="n">
        <v>5.425670422274428</v>
      </c>
      <c r="CC67" s="7" t="n">
        <v>7.294142285414747</v>
      </c>
      <c r="CD67" s="7" t="n">
        <v>7.680531514734109</v>
      </c>
      <c r="CE67" s="8" t="n">
        <v>11.08692980360753</v>
      </c>
    </row>
    <row r="68">
      <c r="A68" s="251" t="n">
        <v>44013</v>
      </c>
      <c r="B68" s="3" t="n">
        <v>0</v>
      </c>
      <c r="C68" s="6" t="n">
        <v>25.11112061394784</v>
      </c>
      <c r="D68" s="31" t="n">
        <v>-1.950395795955707</v>
      </c>
      <c r="E68" s="7" t="n">
        <v>-1.427535627953077</v>
      </c>
      <c r="F68" s="7" t="n">
        <v>-2.049318228812993</v>
      </c>
      <c r="G68" s="7" t="n">
        <v>-1.903404841452236</v>
      </c>
      <c r="H68" s="9" t="n">
        <v>40.05391655483804</v>
      </c>
      <c r="I68" s="31" t="n">
        <v>4.910558995892764</v>
      </c>
      <c r="J68" s="7" t="n">
        <v>0.7136073767592812</v>
      </c>
      <c r="K68" s="7" t="n">
        <v>2.719803503645878</v>
      </c>
      <c r="L68" s="7" t="n">
        <v>1.642358664859366</v>
      </c>
      <c r="M68" s="9" t="n">
        <v>12.08285585647536</v>
      </c>
      <c r="N68" s="7" t="n">
        <v>2.072408173523968</v>
      </c>
      <c r="O68" s="8" t="n">
        <v>-0.08234231996592219</v>
      </c>
      <c r="P68" s="7" t="n">
        <v>73.29999999999998</v>
      </c>
      <c r="Q68" s="31" t="n">
        <v>10.04999999999998</v>
      </c>
      <c r="R68" s="7" t="n">
        <v>7.074999999999989</v>
      </c>
      <c r="S68" s="7" t="n">
        <v>7.91249999999998</v>
      </c>
      <c r="T68" s="7" t="n">
        <v>9.491666666666646</v>
      </c>
      <c r="U68" s="9" t="n">
        <v>6.368883548024565</v>
      </c>
      <c r="V68" s="31" t="n">
        <v>0.6890746637242415</v>
      </c>
      <c r="W68" s="7" t="n">
        <v>1.02725629211313</v>
      </c>
      <c r="X68" s="7" t="n">
        <v>0.9094664739587754</v>
      </c>
      <c r="Y68" s="7" t="n">
        <v>1.549685999492492</v>
      </c>
      <c r="Z68" s="9" t="n">
        <v>10.56120765226351</v>
      </c>
      <c r="AA68" s="31" t="n">
        <v>0.7213507050019619</v>
      </c>
      <c r="AB68" s="7" t="n">
        <v>0.8370454418641522</v>
      </c>
      <c r="AC68" s="7" t="n">
        <v>0.7958821428877219</v>
      </c>
      <c r="AD68" s="7" t="n">
        <v>1.291178678314283</v>
      </c>
      <c r="AE68" s="9" t="n">
        <v>11.45602654173683</v>
      </c>
      <c r="AF68" s="7" t="n">
        <v>13.40947046618845</v>
      </c>
      <c r="AG68" s="8" t="n">
        <v>16.57277607126726</v>
      </c>
      <c r="AH68" s="60" t="n">
        <v>3.86155454376183</v>
      </c>
      <c r="AI68" s="31" t="n">
        <v>0.141079597044897</v>
      </c>
      <c r="AJ68" s="7" t="n">
        <v>-0.3906064454274225</v>
      </c>
      <c r="AK68" s="7" t="n">
        <v>-0.009651890461481738</v>
      </c>
      <c r="AL68" s="7" t="n">
        <v>-0.01270305144864858</v>
      </c>
      <c r="AM68" s="7" t="n">
        <v>1.546462999624696</v>
      </c>
      <c r="AN68" s="31" t="n">
        <v>4.687461243995195</v>
      </c>
      <c r="AO68" s="7" t="n">
        <v>2.616471336011879</v>
      </c>
      <c r="AP68" s="7" t="n">
        <v>4.138461878444647</v>
      </c>
      <c r="AQ68" s="7" t="n">
        <v>4.502653548475779</v>
      </c>
      <c r="AR68" s="7" t="n">
        <v>41.51880544408394</v>
      </c>
      <c r="AS68" s="31" t="n">
        <v>3.974868651104366</v>
      </c>
      <c r="AT68" s="7" t="n">
        <v>-0.5634192186085585</v>
      </c>
      <c r="AU68" s="7" t="n">
        <v>2.273333878365101</v>
      </c>
      <c r="AV68" s="8" t="n">
        <v>0.2723804922656043</v>
      </c>
      <c r="AW68" s="7" t="n">
        <v>44.03362158146269</v>
      </c>
      <c r="AX68" s="31" t="n">
        <v>4.829555247415819</v>
      </c>
      <c r="AY68" s="7" t="n">
        <v>2.446297391688457</v>
      </c>
      <c r="AZ68" s="7" t="n">
        <v>3.89881006745069</v>
      </c>
      <c r="BA68" s="7" t="n">
        <v>3.963479956101231</v>
      </c>
      <c r="BB68" s="7" t="n">
        <v>143.6290450602837</v>
      </c>
      <c r="BC68" s="31" t="n">
        <v>9.66400805262316</v>
      </c>
      <c r="BD68" s="7" t="n">
        <v>5.080488710388096</v>
      </c>
      <c r="BE68" s="7" t="n">
        <v>11.45866582241433</v>
      </c>
      <c r="BF68" s="7" t="n">
        <v>12.57163480321373</v>
      </c>
      <c r="BG68" s="7" t="n">
        <v>7.287402764067826</v>
      </c>
      <c r="BH68" s="31" t="n">
        <v>0.5559743384014277</v>
      </c>
      <c r="BI68" s="7" t="n">
        <v>0.2385336600535037</v>
      </c>
      <c r="BJ68" s="7" t="n">
        <v>0.3409175852599677</v>
      </c>
      <c r="BK68" s="7" t="n">
        <v>0.3839337770285978</v>
      </c>
      <c r="BL68" s="7" t="n">
        <v>2.02716042119066</v>
      </c>
      <c r="BM68" s="31" t="n">
        <v>1.842014520796333</v>
      </c>
      <c r="BN68" s="7" t="n">
        <v>0.2560698116326889</v>
      </c>
      <c r="BO68" s="7" t="n">
        <v>1.016101348733286</v>
      </c>
      <c r="BP68" s="7" t="n">
        <v>0.6798249948423918</v>
      </c>
      <c r="BQ68" s="7" t="n">
        <v>65.22168658845941</v>
      </c>
      <c r="BR68" s="31" t="n">
        <v>1.582411975421138</v>
      </c>
      <c r="BS68" s="7" t="n">
        <v>-0.5032492411761424</v>
      </c>
      <c r="BT68" s="7" t="n">
        <v>1.285623585814299</v>
      </c>
      <c r="BU68" s="8" t="n">
        <v>-1.210389654034486</v>
      </c>
      <c r="BV68" s="9" t="n">
        <v>-7.066202063120102</v>
      </c>
      <c r="BW68" s="31" t="n">
        <v>-12.13266100913737</v>
      </c>
      <c r="BX68" s="7" t="n">
        <v>-4.718031967174861</v>
      </c>
      <c r="BY68" s="7" t="n">
        <v>-12.03160254950149</v>
      </c>
      <c r="BZ68" s="7" t="n">
        <v>-10.13131576150233</v>
      </c>
      <c r="CA68" s="7" t="n">
        <v>17.22783691600754</v>
      </c>
      <c r="CB68" s="31" t="n">
        <v>9.970847538360822</v>
      </c>
      <c r="CC68" s="7" t="n">
        <v>7.713598811673691</v>
      </c>
      <c r="CD68" s="7" t="n">
        <v>10.12961401594996</v>
      </c>
      <c r="CE68" s="8" t="n">
        <v>14.05660370439194</v>
      </c>
    </row>
    <row r="69">
      <c r="A69" s="251" t="n">
        <v>44105</v>
      </c>
      <c r="B69" s="3" t="n">
        <v>0</v>
      </c>
      <c r="C69" s="6" t="n">
        <v>24.30057443719438</v>
      </c>
      <c r="D69" s="31" t="n">
        <v>-1.422485086568805</v>
      </c>
      <c r="E69" s="7" t="n">
        <v>-1.857452635888214</v>
      </c>
      <c r="F69" s="7" t="n">
        <v>-2.502980498578182</v>
      </c>
      <c r="G69" s="7" t="n">
        <v>-2.600301726669915</v>
      </c>
      <c r="H69" s="9" t="n">
        <v>40.48675079593796</v>
      </c>
      <c r="I69" s="31" t="n">
        <v>5.166215229432282</v>
      </c>
      <c r="J69" s="7" t="n">
        <v>1.210510204000496</v>
      </c>
      <c r="K69" s="7" t="n">
        <v>2.974235900555975</v>
      </c>
      <c r="L69" s="7" t="n">
        <v>2.190475041833601</v>
      </c>
      <c r="M69" s="9" t="n">
        <v>10.43589782518052</v>
      </c>
      <c r="N69" s="7" t="n">
        <v>2.959941858972229</v>
      </c>
      <c r="O69" s="8" t="n">
        <v>0.5848465715970027</v>
      </c>
      <c r="P69" s="7" t="n">
        <v>66.89999999999999</v>
      </c>
      <c r="Q69" s="31" t="n">
        <v>2.199999999999989</v>
      </c>
      <c r="R69" s="7" t="n">
        <v>3.574999999999996</v>
      </c>
      <c r="S69" s="7" t="n">
        <v>-0.2562500000000085</v>
      </c>
      <c r="T69" s="7" t="n">
        <v>2.012499999999989</v>
      </c>
      <c r="U69" s="9" t="n">
        <v>6.20750283492904</v>
      </c>
      <c r="V69" s="31" t="n">
        <v>0.3273053796465994</v>
      </c>
      <c r="W69" s="7" t="n">
        <v>0.7700378950850055</v>
      </c>
      <c r="X69" s="7" t="n">
        <v>0.4912716878349679</v>
      </c>
      <c r="Y69" s="7" t="n">
        <v>1.128595708588595</v>
      </c>
      <c r="Z69" s="9" t="n">
        <v>10.39444352421307</v>
      </c>
      <c r="AA69" s="31" t="n">
        <v>0.2290182098299329</v>
      </c>
      <c r="AB69" s="7" t="n">
        <v>0.6022305219383517</v>
      </c>
      <c r="AC69" s="7" t="n">
        <v>0.4198566543712428</v>
      </c>
      <c r="AD69" s="7" t="n">
        <v>0.898876879401632</v>
      </c>
      <c r="AE69" s="9" t="n">
        <v>6.448799089517365</v>
      </c>
      <c r="AF69" s="7" t="n">
        <v>10.85321063375517</v>
      </c>
      <c r="AG69" s="8" t="n">
        <v>14.28257732847965</v>
      </c>
      <c r="AH69" s="60" t="n">
        <v>4.261012793583005</v>
      </c>
      <c r="AI69" s="31" t="n">
        <v>0.6524570887288634</v>
      </c>
      <c r="AJ69" s="7" t="n">
        <v>-0.1883487604342009</v>
      </c>
      <c r="AK69" s="7" t="n">
        <v>0.4874579707165485</v>
      </c>
      <c r="AL69" s="7" t="n">
        <v>0.3243124448671586</v>
      </c>
      <c r="AM69" s="7" t="n">
        <v>1.653455155903526</v>
      </c>
      <c r="AN69" s="31" t="n">
        <v>4.060229690264686</v>
      </c>
      <c r="AO69" s="7" t="n">
        <v>2.833232497396464</v>
      </c>
      <c r="AP69" s="7" t="n">
        <v>3.591336200720507</v>
      </c>
      <c r="AQ69" s="7" t="n">
        <v>4.236748648107375</v>
      </c>
      <c r="AR69" s="7" t="n">
        <v>41.53234336114836</v>
      </c>
      <c r="AS69" s="31" t="n">
        <v>4.838587059807388</v>
      </c>
      <c r="AT69" s="7" t="n">
        <v>-0.1897071689497416</v>
      </c>
      <c r="AU69" s="7" t="n">
        <v>2.427726600081655</v>
      </c>
      <c r="AV69" s="8" t="n">
        <v>0.732505931021791</v>
      </c>
      <c r="AW69" s="7" t="n">
        <v>44.10614145695604</v>
      </c>
      <c r="AX69" s="31" t="n">
        <v>5.000931094946608</v>
      </c>
      <c r="AY69" s="7" t="n">
        <v>2.313955961946995</v>
      </c>
      <c r="AZ69" s="7" t="n">
        <v>3.359755595021916</v>
      </c>
      <c r="BA69" s="7" t="n">
        <v>3.737287571727116</v>
      </c>
      <c r="BB69" s="7" t="n">
        <v>149.2450653923088</v>
      </c>
      <c r="BC69" s="31" t="n">
        <v>19.96273315723798</v>
      </c>
      <c r="BD69" s="7" t="n">
        <v>8.667545912578817</v>
      </c>
      <c r="BE69" s="7" t="n">
        <v>15.80456397684239</v>
      </c>
      <c r="BF69" s="7" t="n">
        <v>16.90375237258291</v>
      </c>
      <c r="BG69" s="7" t="n">
        <v>7.230315641561161</v>
      </c>
      <c r="BH69" s="31" t="n">
        <v>0.5048167484072525</v>
      </c>
      <c r="BI69" s="7" t="n">
        <v>0.1501086950165722</v>
      </c>
      <c r="BJ69" s="7" t="n">
        <v>0.224197047739926</v>
      </c>
      <c r="BK69" s="7" t="n">
        <v>0.2867486994647575</v>
      </c>
      <c r="BL69" s="7" t="n">
        <v>0.2910946934116542</v>
      </c>
      <c r="BM69" s="31" t="n">
        <v>-1.639895683766003</v>
      </c>
      <c r="BN69" s="7" t="n">
        <v>0.1646445858270518</v>
      </c>
      <c r="BO69" s="7" t="n">
        <v>-0.7839818319538917</v>
      </c>
      <c r="BP69" s="7" t="n">
        <v>-1.083230086864981</v>
      </c>
      <c r="BQ69" s="7" t="n">
        <v>67.39746103296365</v>
      </c>
      <c r="BR69" s="31" t="n">
        <v>5.02885885059176</v>
      </c>
      <c r="BS69" s="7" t="n">
        <v>0.9866609948606992</v>
      </c>
      <c r="BT69" s="7" t="n">
        <v>3.587210340612572</v>
      </c>
      <c r="BU69" s="8" t="n">
        <v>1.712000203045278</v>
      </c>
      <c r="BV69" s="9" t="n">
        <v>-21.3801772779414</v>
      </c>
      <c r="BW69" s="31" t="n">
        <v>-29.53601239972269</v>
      </c>
      <c r="BX69" s="7" t="n">
        <v>-12.03759403938101</v>
      </c>
      <c r="BY69" s="7" t="n">
        <v>-25.16606977252908</v>
      </c>
      <c r="BZ69" s="7" t="n">
        <v>-23.60150934908143</v>
      </c>
      <c r="CA69" s="7" t="n">
        <v>20.17990158682524</v>
      </c>
      <c r="CB69" s="31" t="n">
        <v>13.5918048413887</v>
      </c>
      <c r="CC69" s="7" t="n">
        <v>7.678861543491044</v>
      </c>
      <c r="CD69" s="7" t="n">
        <v>11.15327898384924</v>
      </c>
      <c r="CE69" s="8" t="n">
        <v>15.11606500120682</v>
      </c>
    </row>
    <row r="70">
      <c r="A70" s="251" t="n">
        <v>44197</v>
      </c>
      <c r="B70" s="3" t="n">
        <v>0</v>
      </c>
      <c r="C70" s="6" t="n">
        <v>23.67377750092061</v>
      </c>
      <c r="D70" s="31" t="n">
        <v>-2.230693499184529</v>
      </c>
      <c r="E70" s="7" t="n">
        <v>-2.498184404872278</v>
      </c>
      <c r="F70" s="7" t="n">
        <v>-2.6654142758799</v>
      </c>
      <c r="G70" s="7" t="n">
        <v>-3.059766728650551</v>
      </c>
      <c r="H70" s="9" t="n">
        <v>39.04966097847084</v>
      </c>
      <c r="I70" s="31" t="n">
        <v>0.6493378218567685</v>
      </c>
      <c r="J70" s="7" t="n">
        <v>1.089369017212722</v>
      </c>
      <c r="K70" s="7" t="n">
        <v>1.234518532088728</v>
      </c>
      <c r="L70" s="7" t="n">
        <v>0.805410594391951</v>
      </c>
      <c r="M70" s="9" t="n">
        <v>1.364043959400078</v>
      </c>
      <c r="N70" s="7" t="n">
        <v>2.289130602966111</v>
      </c>
      <c r="O70" s="8" t="n">
        <v>0.0358676839044468</v>
      </c>
      <c r="P70" s="7" t="n">
        <v>63.24999999999999</v>
      </c>
      <c r="Q70" s="31" t="n">
        <v>-8.100000000000001</v>
      </c>
      <c r="R70" s="7" t="n">
        <v>0.02499999999999503</v>
      </c>
      <c r="S70" s="7" t="n">
        <v>-4.800000000000004</v>
      </c>
      <c r="T70" s="7" t="n">
        <v>-2.18333333333333</v>
      </c>
      <c r="U70" s="9" t="n">
        <v>5.897768176373551</v>
      </c>
      <c r="V70" s="31" t="n">
        <v>-0.305413984552791</v>
      </c>
      <c r="W70" s="7" t="n">
        <v>0.4080165996064817</v>
      </c>
      <c r="X70" s="7" t="n">
        <v>-0.01097244449177115</v>
      </c>
      <c r="Y70" s="7" t="n">
        <v>0.5791257512890473</v>
      </c>
      <c r="Z70" s="9" t="n">
        <v>10.09557982643306</v>
      </c>
      <c r="AA70" s="31" t="n">
        <v>-0.3342011001615326</v>
      </c>
      <c r="AB70" s="7" t="n">
        <v>0.3384878757308885</v>
      </c>
      <c r="AC70" s="7" t="n">
        <v>-0.0295646738933506</v>
      </c>
      <c r="AD70" s="7" t="n">
        <v>0.4154957834632445</v>
      </c>
      <c r="AE70" s="9" t="n">
        <v>-0.3676620162425479</v>
      </c>
      <c r="AF70" s="7" t="n">
        <v>7.938077655137761</v>
      </c>
      <c r="AG70" s="8" t="n">
        <v>11.34204738684707</v>
      </c>
      <c r="AH70" s="60" t="n">
        <v>4.365928923769577</v>
      </c>
      <c r="AI70" s="31" t="n">
        <v>0.8777649552915521</v>
      </c>
      <c r="AJ70" s="7" t="n">
        <v>0.3986962366553013</v>
      </c>
      <c r="AK70" s="7" t="n">
        <v>0.639461291011671</v>
      </c>
      <c r="AL70" s="7" t="n">
        <v>0.3316550761174</v>
      </c>
      <c r="AM70" s="7" t="n">
        <v>2.842074928627924</v>
      </c>
      <c r="AN70" s="31" t="n">
        <v>4.63615691136203</v>
      </c>
      <c r="AO70" s="7" t="n">
        <v>3.195747676146772</v>
      </c>
      <c r="AP70" s="7" t="n">
        <v>4.07164784909579</v>
      </c>
      <c r="AQ70" s="7" t="n">
        <v>5.041525517346168</v>
      </c>
      <c r="AR70" s="7" t="n">
        <v>42.9092433895802</v>
      </c>
      <c r="AS70" s="31" t="n">
        <v>4.84070577345075</v>
      </c>
      <c r="AT70" s="7" t="n">
        <v>1.470514542737543</v>
      </c>
      <c r="AU70" s="7" t="n">
        <v>3.852053420750934</v>
      </c>
      <c r="AV70" s="8" t="n">
        <v>2.524541447714668</v>
      </c>
      <c r="AW70" s="7" t="n">
        <v>42.9128413015578</v>
      </c>
      <c r="AX70" s="31" t="n">
        <v>1.500377817415476</v>
      </c>
      <c r="AY70" s="7" t="n">
        <v>1.664677260707911</v>
      </c>
      <c r="AZ70" s="7" t="n">
        <v>1.587966449136935</v>
      </c>
      <c r="BA70" s="7" t="n">
        <v>2.198116153532084</v>
      </c>
      <c r="BB70" s="7" t="n">
        <v>149.1330147732687</v>
      </c>
      <c r="BC70" s="31" t="n">
        <v>20.35540849160864</v>
      </c>
      <c r="BD70" s="7" t="n">
        <v>8.782509242482718</v>
      </c>
      <c r="BE70" s="7" t="n">
        <v>13.52562687965769</v>
      </c>
      <c r="BF70" s="7" t="n">
        <v>14.86424044319551</v>
      </c>
      <c r="BG70" s="7" t="n">
        <v>6.901670856218457</v>
      </c>
      <c r="BH70" s="31" t="n">
        <v>-0.2923452455260236</v>
      </c>
      <c r="BI70" s="7" t="n">
        <v>-0.01216495024480269</v>
      </c>
      <c r="BJ70" s="7" t="n">
        <v>-0.1419749113569209</v>
      </c>
      <c r="BK70" s="7" t="n">
        <v>-0.07213972461699036</v>
      </c>
      <c r="BL70" s="7" t="n">
        <v>-0.5613201254056699</v>
      </c>
      <c r="BM70" s="31" t="n">
        <v>-2.908541533690935</v>
      </c>
      <c r="BN70" s="7" t="n">
        <v>-0.1349207282959902</v>
      </c>
      <c r="BO70" s="7" t="n">
        <v>-1.677557797227979</v>
      </c>
      <c r="BP70" s="7" t="n">
        <v>-1.81472231869437</v>
      </c>
      <c r="BQ70" s="7" t="n">
        <v>68.12873362984084</v>
      </c>
      <c r="BR70" s="31" t="n">
        <v>6.859629651878713</v>
      </c>
      <c r="BS70" s="7" t="n">
        <v>1.57139168732342</v>
      </c>
      <c r="BT70" s="7" t="n">
        <v>4.071817688774601</v>
      </c>
      <c r="BU70" s="8" t="n">
        <v>2.87784370144395</v>
      </c>
      <c r="BV70" s="9" t="n">
        <v>-16.8497166900028</v>
      </c>
      <c r="BW70" s="31" t="n">
        <v>-21.35417977733243</v>
      </c>
      <c r="BX70" s="7" t="n">
        <v>-12.57342206344143</v>
      </c>
      <c r="BY70" s="7" t="n">
        <v>-17.62621067474522</v>
      </c>
      <c r="BZ70" s="7" t="n">
        <v>-17.35432304986632</v>
      </c>
      <c r="CA70" s="7" t="n">
        <v>19.16955104827661</v>
      </c>
      <c r="CB70" s="31" t="n">
        <v>10.33520303443738</v>
      </c>
      <c r="CC70" s="7" t="n">
        <v>6.08539352092167</v>
      </c>
      <c r="CD70" s="7" t="n">
        <v>8.223213059427849</v>
      </c>
      <c r="CE70" s="8" t="n">
        <v>11.89569241276582</v>
      </c>
    </row>
    <row r="71">
      <c r="A71" s="251" t="n">
        <v>44287</v>
      </c>
      <c r="B71" s="3" t="n">
        <v>0</v>
      </c>
      <c r="C71" s="6" t="n">
        <v>22.39356805949997</v>
      </c>
      <c r="D71" s="31" t="n">
        <v>-3.977111124095572</v>
      </c>
      <c r="E71" s="7" t="n">
        <v>-2.589199337864656</v>
      </c>
      <c r="F71" s="7" t="n">
        <v>-3.321077616082469</v>
      </c>
      <c r="G71" s="7" t="n">
        <v>-4.091380802271463</v>
      </c>
      <c r="H71" s="9" t="n">
        <v>36.56228497757398</v>
      </c>
      <c r="I71" s="31" t="n">
        <v>-3.681801635774853</v>
      </c>
      <c r="J71" s="7" t="n">
        <v>0.2805192983761948</v>
      </c>
      <c r="K71" s="7" t="n">
        <v>-1.525199723111299</v>
      </c>
      <c r="L71" s="7" t="n">
        <v>-1.57534015340989</v>
      </c>
      <c r="M71" s="9" t="n">
        <v>-9.133332602441442</v>
      </c>
      <c r="N71" s="7" t="n">
        <v>0.7325845265835369</v>
      </c>
      <c r="O71" s="8" t="n">
        <v>-1.511515709018947</v>
      </c>
      <c r="P71" s="7" t="n">
        <v>58.99999999999999</v>
      </c>
      <c r="Q71" s="31" t="n">
        <v>-18.25000000000001</v>
      </c>
      <c r="R71" s="7" t="n">
        <v>-2.725000000000005</v>
      </c>
      <c r="S71" s="7" t="n">
        <v>-9.056249999999999</v>
      </c>
      <c r="T71" s="7" t="n">
        <v>-6.591666666666661</v>
      </c>
      <c r="U71" s="9" t="n">
        <v>5.752688261472453</v>
      </c>
      <c r="V71" s="31" t="n">
        <v>-0.6560720571402348</v>
      </c>
      <c r="W71" s="7" t="n">
        <v>0.1564167368929272</v>
      </c>
      <c r="X71" s="7" t="n">
        <v>-0.25805650929449</v>
      </c>
      <c r="Y71" s="7" t="n">
        <v>0.2425042582317447</v>
      </c>
      <c r="Z71" s="9" t="n">
        <v>9.659270769491544</v>
      </c>
      <c r="AA71" s="31" t="n">
        <v>-0.940393910754576</v>
      </c>
      <c r="AB71" s="7" t="n">
        <v>0.03354894340674974</v>
      </c>
      <c r="AC71" s="7" t="n">
        <v>-0.5504956997675912</v>
      </c>
      <c r="AD71" s="7" t="n">
        <v>-0.1586578699926324</v>
      </c>
      <c r="AE71" s="9" t="n">
        <v>-4.16305905490799</v>
      </c>
      <c r="AF71" s="7" t="n">
        <v>5.37955687137935</v>
      </c>
      <c r="AG71" s="8" t="n">
        <v>9.076285991681592</v>
      </c>
      <c r="AH71" s="60" t="n">
        <v>4.119114847005685</v>
      </c>
      <c r="AI71" s="31" t="n">
        <v>0.3500103530965886</v>
      </c>
      <c r="AJ71" s="7" t="n">
        <v>0.2923883433522212</v>
      </c>
      <c r="AK71" s="7" t="n">
        <v>0.2929731550839541</v>
      </c>
      <c r="AL71" s="7" t="n">
        <v>0.1074664192159505</v>
      </c>
      <c r="AM71" s="7" t="n">
        <v>0.7740853649888255</v>
      </c>
      <c r="AN71" s="31" t="n">
        <v>-0.1982559450373613</v>
      </c>
      <c r="AO71" s="7" t="n">
        <v>1.945826504577388</v>
      </c>
      <c r="AP71" s="7" t="n">
        <v>1.204721366419998</v>
      </c>
      <c r="AQ71" s="7" t="n">
        <v>2.396302657839387</v>
      </c>
      <c r="AR71" s="7" t="n">
        <v>40.57320393735455</v>
      </c>
      <c r="AS71" s="31" t="n">
        <v>2.129753622287168</v>
      </c>
      <c r="AT71" s="7" t="n">
        <v>0.9423641607875979</v>
      </c>
      <c r="AU71" s="7" t="n">
        <v>1.148385332840896</v>
      </c>
      <c r="AV71" s="8" t="n">
        <v>0.2801482063438883</v>
      </c>
      <c r="AW71" s="7" t="n">
        <v>40.62547622595646</v>
      </c>
      <c r="AX71" s="31" t="n">
        <v>-3.045350537777907</v>
      </c>
      <c r="AY71" s="7" t="n">
        <v>0.5711470845416109</v>
      </c>
      <c r="AZ71" s="7" t="n">
        <v>-1.11556794164138</v>
      </c>
      <c r="BA71" s="7" t="n">
        <v>-0.3605567068919342</v>
      </c>
      <c r="BB71" s="7" t="n">
        <v>150.6299853889982</v>
      </c>
      <c r="BC71" s="31" t="n">
        <v>15.7581206852885</v>
      </c>
      <c r="BD71" s="7" t="n">
        <v>8.554914604553275</v>
      </c>
      <c r="BE71" s="7" t="n">
        <v>12.82697018476648</v>
      </c>
      <c r="BF71" s="7" t="n">
        <v>14.52237134937752</v>
      </c>
      <c r="BG71" s="7" t="n">
        <v>6.586500968941981</v>
      </c>
      <c r="BH71" s="31" t="n">
        <v>-0.8345127762084159</v>
      </c>
      <c r="BI71" s="7" t="n">
        <v>-0.1234944218044034</v>
      </c>
      <c r="BJ71" s="7" t="n">
        <v>-0.4541035610721957</v>
      </c>
      <c r="BK71" s="7" t="n">
        <v>-0.3914504722294989</v>
      </c>
      <c r="BL71" s="7" t="n">
        <v>-1.979648428898399</v>
      </c>
      <c r="BM71" s="31" t="n">
        <v>-4.339619688094752</v>
      </c>
      <c r="BN71" s="7" t="n">
        <v>-1.029722206317321</v>
      </c>
      <c r="BO71" s="7" t="n">
        <v>-3.06215591864671</v>
      </c>
      <c r="BP71" s="7" t="n">
        <v>-2.983714669747763</v>
      </c>
      <c r="BQ71" s="7" t="n">
        <v>65.84408689753927</v>
      </c>
      <c r="BR71" s="31" t="n">
        <v>3.12100116359133</v>
      </c>
      <c r="BS71" s="7" t="n">
        <v>0.4969618764732999</v>
      </c>
      <c r="BT71" s="7" t="n">
        <v>1.39432303464217</v>
      </c>
      <c r="BU71" s="8" t="n">
        <v>0.7911742366656114</v>
      </c>
      <c r="BV71" s="9" t="n">
        <v>-14.59866254529381</v>
      </c>
      <c r="BW71" s="31" t="n">
        <v>-13.09510670224612</v>
      </c>
      <c r="BX71" s="7" t="n">
        <v>-12.36833250766706</v>
      </c>
      <c r="BY71" s="7" t="n">
        <v>-12.23180101417587</v>
      </c>
      <c r="BZ71" s="7" t="n">
        <v>-14.04790706653834</v>
      </c>
      <c r="CA71" s="7" t="n">
        <v>14.77565506106623</v>
      </c>
      <c r="CB71" s="31" t="n">
        <v>1.820436217628226</v>
      </c>
      <c r="CC71" s="7" t="n">
        <v>3.623053319951327</v>
      </c>
      <c r="CD71" s="7" t="n">
        <v>2.307968691987046</v>
      </c>
      <c r="CE71" s="8" t="n">
        <v>5.464821142384682</v>
      </c>
    </row>
    <row r="72">
      <c r="A72" s="251" t="n">
        <v>44378</v>
      </c>
      <c r="B72" s="3" t="n">
        <v>0</v>
      </c>
      <c r="C72" s="6" t="n">
        <v>22.72811586443807</v>
      </c>
      <c r="D72" s="31" t="n">
        <v>-2.383004749509773</v>
      </c>
      <c r="E72" s="7" t="n">
        <v>-2.16670027273274</v>
      </c>
      <c r="F72" s="7" t="n">
        <v>-2.339229976678212</v>
      </c>
      <c r="G72" s="7" t="n">
        <v>-3.335430081699389</v>
      </c>
      <c r="H72" s="9" t="n">
        <v>34.96123482613098</v>
      </c>
      <c r="I72" s="31" t="n">
        <v>-5.092681728707063</v>
      </c>
      <c r="J72" s="7" t="n">
        <v>-0.09106136640714979</v>
      </c>
      <c r="K72" s="7" t="n">
        <v>-3.196379699148359</v>
      </c>
      <c r="L72" s="7" t="n">
        <v>-2.940891650232203</v>
      </c>
      <c r="M72" s="9" t="n">
        <v>-12.67983328724608</v>
      </c>
      <c r="N72" s="7" t="n">
        <v>-0.2984887153853606</v>
      </c>
      <c r="O72" s="8" t="n">
        <v>-2.845005646732716</v>
      </c>
      <c r="P72" s="7" t="n">
        <v>54.34999999999999</v>
      </c>
      <c r="Q72" s="31" t="n">
        <v>-18.94999999999999</v>
      </c>
      <c r="R72" s="7" t="n">
        <v>-4.450000000000003</v>
      </c>
      <c r="S72" s="7" t="n">
        <v>-13.02500000000001</v>
      </c>
      <c r="T72" s="7" t="n">
        <v>-11.1125</v>
      </c>
      <c r="U72" s="9" t="n">
        <v>5.59667246093401</v>
      </c>
      <c r="V72" s="31" t="n">
        <v>-0.7722110870905547</v>
      </c>
      <c r="W72" s="7" t="n">
        <v>-0.04156821168315661</v>
      </c>
      <c r="X72" s="7" t="n">
        <v>-0.4531764940561658</v>
      </c>
      <c r="Y72" s="7" t="n">
        <v>-0.0618424901764838</v>
      </c>
      <c r="Z72" s="9" t="n">
        <v>9.413772484724134</v>
      </c>
      <c r="AA72" s="31" t="n">
        <v>-1.147435167539374</v>
      </c>
      <c r="AB72" s="7" t="n">
        <v>-0.2130422312687061</v>
      </c>
      <c r="AC72" s="7" t="n">
        <v>-0.8043812203866878</v>
      </c>
      <c r="AD72" s="7" t="n">
        <v>-0.4889863358931557</v>
      </c>
      <c r="AE72" s="9" t="n">
        <v>-5.452651321880808</v>
      </c>
      <c r="AF72" s="7" t="n">
        <v>3.001687609928013</v>
      </c>
      <c r="AG72" s="8" t="n">
        <v>7.122096536832032</v>
      </c>
      <c r="AH72" s="60" t="n">
        <v>3.902811123696173</v>
      </c>
      <c r="AI72" s="31" t="n">
        <v>0.04125657993434251</v>
      </c>
      <c r="AJ72" s="7" t="n">
        <v>0.09116808848961977</v>
      </c>
      <c r="AK72" s="7" t="n">
        <v>0.003572345936386334</v>
      </c>
      <c r="AL72" s="7" t="n">
        <v>-0.06196075812937707</v>
      </c>
      <c r="AM72" s="7" t="n">
        <v>0.1869056113395305</v>
      </c>
      <c r="AN72" s="31" t="n">
        <v>-1.359557388285165</v>
      </c>
      <c r="AO72" s="7" t="n">
        <v>1.663951927855015</v>
      </c>
      <c r="AP72" s="7" t="n">
        <v>0.1310849866263563</v>
      </c>
      <c r="AQ72" s="7" t="n">
        <v>1.346898326457417</v>
      </c>
      <c r="AR72" s="7" t="n">
        <v>39.02279576027376</v>
      </c>
      <c r="AS72" s="31" t="n">
        <v>-2.496009683810179</v>
      </c>
      <c r="AT72" s="7" t="n">
        <v>0.7394294836470934</v>
      </c>
      <c r="AU72" s="7" t="n">
        <v>-0.6376138844367958</v>
      </c>
      <c r="AV72" s="8" t="n">
        <v>-1.018651627886058</v>
      </c>
      <c r="AW72" s="7" t="n">
        <v>39.34742143698692</v>
      </c>
      <c r="AX72" s="31" t="n">
        <v>-4.686200144475769</v>
      </c>
      <c r="AY72" s="7" t="n">
        <v>0.07167755147002453</v>
      </c>
      <c r="AZ72" s="7" t="n">
        <v>-2.536409501746334</v>
      </c>
      <c r="BA72" s="7" t="n">
        <v>-1.715626286182165</v>
      </c>
      <c r="BB72" s="7" t="n">
        <v>153.6509572699618</v>
      </c>
      <c r="BC72" s="31" t="n">
        <v>10.02191220967813</v>
      </c>
      <c r="BD72" s="7" t="n">
        <v>9.842960131150647</v>
      </c>
      <c r="BE72" s="7" t="n">
        <v>13.70921341459174</v>
      </c>
      <c r="BF72" s="7" t="n">
        <v>16.15094522681062</v>
      </c>
      <c r="BG72" s="7" t="n">
        <v>6.47872827212041</v>
      </c>
      <c r="BH72" s="31" t="n">
        <v>-0.808674491947416</v>
      </c>
      <c r="BI72" s="7" t="n">
        <v>-0.1263500767729941</v>
      </c>
      <c r="BJ72" s="7" t="n">
        <v>-0.5310026524426661</v>
      </c>
      <c r="BK72" s="7" t="n">
        <v>-0.4860860329839474</v>
      </c>
      <c r="BL72" s="7" t="n">
        <v>-2.274603715302569</v>
      </c>
      <c r="BM72" s="31" t="n">
        <v>-4.301764136493229</v>
      </c>
      <c r="BN72" s="7" t="n">
        <v>-1.229874807848448</v>
      </c>
      <c r="BO72" s="7" t="n">
        <v>-3.09968065347155</v>
      </c>
      <c r="BP72" s="7" t="n">
        <v>-2.930083643632338</v>
      </c>
      <c r="BQ72" s="7" t="n">
        <v>64.09274487122825</v>
      </c>
      <c r="BR72" s="31" t="n">
        <v>-1.128941717231157</v>
      </c>
      <c r="BS72" s="7" t="n">
        <v>0.2267351290949904</v>
      </c>
      <c r="BT72" s="7" t="n">
        <v>-0.4812594607871716</v>
      </c>
      <c r="BU72" s="8" t="n">
        <v>-0.747294476268749</v>
      </c>
      <c r="BV72" s="9" t="n">
        <v>-11.46276610077189</v>
      </c>
      <c r="BW72" s="31" t="n">
        <v>-4.396564037651784</v>
      </c>
      <c r="BX72" s="7" t="n">
        <v>-8.264612523394575</v>
      </c>
      <c r="BY72" s="7" t="n">
        <v>-6.003821442737182</v>
      </c>
      <c r="BZ72" s="7" t="n">
        <v>-9.781803210329635</v>
      </c>
      <c r="CA72" s="7" t="n">
        <v>9.245625667675601</v>
      </c>
      <c r="CB72" s="31" t="n">
        <v>-7.982211248331939</v>
      </c>
      <c r="CC72" s="7" t="n">
        <v>0.9943181450144412</v>
      </c>
      <c r="CD72" s="7" t="n">
        <v>-4.127824031391413</v>
      </c>
      <c r="CE72" s="8" t="n">
        <v>-1.432601650044088</v>
      </c>
    </row>
    <row r="73">
      <c r="A73" s="251" t="n">
        <v>44470</v>
      </c>
      <c r="B73" s="3" t="n">
        <v>0</v>
      </c>
      <c r="C73" s="6" t="n">
        <v>23.38136642671352</v>
      </c>
      <c r="D73" s="31" t="n">
        <v>-0.9192080104808618</v>
      </c>
      <c r="E73" s="7" t="n">
        <v>-1.170846548524834</v>
      </c>
      <c r="F73" s="7" t="n">
        <v>-1.144304346219567</v>
      </c>
      <c r="G73" s="7" t="n">
        <v>-2.245673185639269</v>
      </c>
      <c r="H73" s="9" t="n">
        <v>33.00392963821576</v>
      </c>
      <c r="I73" s="31" t="n">
        <v>-7.482821157722199</v>
      </c>
      <c r="J73" s="7" t="n">
        <v>-1.158302964144958</v>
      </c>
      <c r="K73" s="7" t="n">
        <v>-5.130919545461786</v>
      </c>
      <c r="L73" s="7" t="n">
        <v>-4.592741256881709</v>
      </c>
      <c r="M73" s="9" t="n">
        <v>-20.56986283553465</v>
      </c>
      <c r="N73" s="7" t="n">
        <v>-5.066982505177066</v>
      </c>
      <c r="O73" s="8" t="n">
        <v>-4.883326372530064</v>
      </c>
      <c r="P73" s="7" t="n">
        <v>52.3</v>
      </c>
      <c r="Q73" s="31" t="n">
        <v>-14.59999999999999</v>
      </c>
      <c r="R73" s="7" t="n">
        <v>-6.200000000000003</v>
      </c>
      <c r="S73" s="7" t="n">
        <v>-13.96249999999999</v>
      </c>
      <c r="T73" s="7" t="n">
        <v>-12.7625</v>
      </c>
      <c r="U73" s="9" t="n">
        <v>5.420076294618642</v>
      </c>
      <c r="V73" s="31" t="n">
        <v>-0.7874265403103973</v>
      </c>
      <c r="W73" s="7" t="n">
        <v>-0.2300605803318989</v>
      </c>
      <c r="X73" s="7" t="n">
        <v>-0.6193806074507444</v>
      </c>
      <c r="Y73" s="7" t="n">
        <v>-0.3452971145864936</v>
      </c>
      <c r="Z73" s="9" t="n">
        <v>9.171627725070646</v>
      </c>
      <c r="AA73" s="31" t="n">
        <v>-1.22281579914242</v>
      </c>
      <c r="AB73" s="7" t="n">
        <v>-0.4968987946562438</v>
      </c>
      <c r="AC73" s="7" t="n">
        <v>-0.9932654222230006</v>
      </c>
      <c r="AD73" s="7" t="n">
        <v>-0.7750190718957217</v>
      </c>
      <c r="AE73" s="9" t="n">
        <v>-5.735449505433735</v>
      </c>
      <c r="AF73" s="7" t="n">
        <v>0.3566747920418152</v>
      </c>
      <c r="AG73" s="8" t="n">
        <v>5.323657254025534</v>
      </c>
      <c r="AH73" s="60" t="n">
        <v>3.92608624493621</v>
      </c>
      <c r="AI73" s="31" t="n">
        <v>-0.3349265486467949</v>
      </c>
      <c r="AJ73" s="7" t="n">
        <v>0.1587652700410342</v>
      </c>
      <c r="AK73" s="7" t="n">
        <v>0.004055445054018225</v>
      </c>
      <c r="AL73" s="7" t="n">
        <v>0.02297738902070279</v>
      </c>
      <c r="AM73" s="7" t="n">
        <v>-0.1763562271044013</v>
      </c>
      <c r="AN73" s="31" t="n">
        <v>-1.829811383007927</v>
      </c>
      <c r="AO73" s="7" t="n">
        <v>1.115209153628379</v>
      </c>
      <c r="AP73" s="7" t="n">
        <v>-0.6481648337813293</v>
      </c>
      <c r="AQ73" s="7" t="n">
        <v>0.6608543810352696</v>
      </c>
      <c r="AR73" s="7" t="n">
        <v>37.43423103879347</v>
      </c>
      <c r="AS73" s="31" t="n">
        <v>-4.098112322354886</v>
      </c>
      <c r="AT73" s="7" t="n">
        <v>0.3702373687262508</v>
      </c>
      <c r="AU73" s="7" t="n">
        <v>-2.411035976828856</v>
      </c>
      <c r="AV73" s="8" t="n">
        <v>-2.305312339280739</v>
      </c>
      <c r="AW73" s="7" t="n">
        <v>37.91461996439349</v>
      </c>
      <c r="AX73" s="31" t="n">
        <v>-6.191521492562543</v>
      </c>
      <c r="AY73" s="7" t="n">
        <v>-0.5952951988079676</v>
      </c>
      <c r="AZ73" s="7" t="n">
        <v>-3.98713036220726</v>
      </c>
      <c r="BA73" s="7" t="n">
        <v>-3.165627312017357</v>
      </c>
      <c r="BB73" s="7" t="n">
        <v>147.6428049094949</v>
      </c>
      <c r="BC73" s="31" t="n">
        <v>-1.602260482813904</v>
      </c>
      <c r="BD73" s="7" t="n">
        <v>9.180236337212037</v>
      </c>
      <c r="BE73" s="7" t="n">
        <v>5.240321021337138</v>
      </c>
      <c r="BF73" s="7" t="n">
        <v>8.460885397139151</v>
      </c>
      <c r="BG73" s="7" t="n">
        <v>6.6374067249586</v>
      </c>
      <c r="BH73" s="31" t="n">
        <v>-0.5929089166025605</v>
      </c>
      <c r="BI73" s="7" t="n">
        <v>-0.04404608409765398</v>
      </c>
      <c r="BJ73" s="7" t="n">
        <v>-0.3407366804112275</v>
      </c>
      <c r="BK73" s="7" t="n">
        <v>-0.2997736491590581</v>
      </c>
      <c r="BL73" s="7" t="n">
        <v>-3.328601144554796</v>
      </c>
      <c r="BM73" s="31" t="n">
        <v>-3.619695837966451</v>
      </c>
      <c r="BN73" s="7" t="n">
        <v>-2.629795760866227</v>
      </c>
      <c r="BO73" s="7" t="n">
        <v>-3.846209380761666</v>
      </c>
      <c r="BP73" s="7" t="n">
        <v>-3.668279030115579</v>
      </c>
      <c r="BQ73" s="7" t="n">
        <v>60.38841360801756</v>
      </c>
      <c r="BR73" s="31" t="n">
        <v>-7.00904742494609</v>
      </c>
      <c r="BS73" s="7" t="n">
        <v>-0.9900942871771647</v>
      </c>
      <c r="BT73" s="7" t="n">
        <v>-4.242274506271613</v>
      </c>
      <c r="BU73" s="8" t="n">
        <v>-4.273672389514161</v>
      </c>
      <c r="BV73" s="9" t="n">
        <v>-10.90648958689911</v>
      </c>
      <c r="BW73" s="31" t="n">
        <v>10.47368769104229</v>
      </c>
      <c r="BX73" s="7" t="n">
        <v>-9.5311623543402</v>
      </c>
      <c r="BY73" s="7" t="n">
        <v>-3.381391798015768</v>
      </c>
      <c r="BZ73" s="7" t="n">
        <v>-8.072807698790072</v>
      </c>
      <c r="CA73" s="7" t="n">
        <v>3.381241795109864</v>
      </c>
      <c r="CB73" s="31" t="n">
        <v>-16.79865979171537</v>
      </c>
      <c r="CC73" s="7" t="n">
        <v>-1.603427475163335</v>
      </c>
      <c r="CD73" s="7" t="n">
        <v>-10.24078744021076</v>
      </c>
      <c r="CE73" s="8" t="n">
        <v>-7.917401053861112</v>
      </c>
    </row>
    <row r="74">
      <c r="A74" s="251" t="n">
        <v>44562</v>
      </c>
      <c r="B74" s="3" t="n">
        <v>1</v>
      </c>
      <c r="C74" s="6" t="n">
        <v>23.0574651898056</v>
      </c>
      <c r="D74" s="31" t="n">
        <v>-0.6163123111150135</v>
      </c>
      <c r="E74" s="7" t="n">
        <v>-1.423502905149771</v>
      </c>
      <c r="F74" s="7" t="n">
        <v>-1.175493945996287</v>
      </c>
      <c r="G74" s="7" t="n">
        <v>-2.183398315692425</v>
      </c>
      <c r="H74" s="9" t="n">
        <v>33.81967546273327</v>
      </c>
      <c r="I74" s="31" t="n">
        <v>-5.229985515737567</v>
      </c>
      <c r="J74" s="7" t="n">
        <v>-2.290323846940399</v>
      </c>
      <c r="K74" s="7" t="n">
        <v>-4.025597979908035</v>
      </c>
      <c r="L74" s="7" t="n">
        <v>-3.355178703220759</v>
      </c>
      <c r="M74" s="9" t="n">
        <v>-13.5796083019743</v>
      </c>
      <c r="N74" s="7" t="n">
        <v>-6.107782171287113</v>
      </c>
      <c r="O74" s="8" t="n">
        <v>-3.000449032014027</v>
      </c>
      <c r="P74" s="7" t="n">
        <v>56.3</v>
      </c>
      <c r="Q74" s="31" t="n">
        <v>-6.949999999999996</v>
      </c>
      <c r="R74" s="7" t="n">
        <v>-7.524999999999999</v>
      </c>
      <c r="S74" s="7" t="n">
        <v>-8.412499999999994</v>
      </c>
      <c r="T74" s="7" t="n">
        <v>-8.141666666666666</v>
      </c>
      <c r="U74" s="9" t="n">
        <v>5.358638258659798</v>
      </c>
      <c r="V74" s="31" t="n">
        <v>-0.539129917713753</v>
      </c>
      <c r="W74" s="7" t="n">
        <v>-0.422271951133272</v>
      </c>
      <c r="X74" s="7" t="n">
        <v>-0.6233034983266128</v>
      </c>
      <c r="Y74" s="7" t="n">
        <v>-0.469455921366972</v>
      </c>
      <c r="Z74" s="9" t="n">
        <v>8.918245671349233</v>
      </c>
      <c r="AA74" s="31" t="n">
        <v>-1.17733415508383</v>
      </c>
      <c r="AB74" s="7" t="n">
        <v>-0.7557676276226815</v>
      </c>
      <c r="AC74" s="7" t="n">
        <v>-1.122422777280352</v>
      </c>
      <c r="AD74" s="7" t="n">
        <v>-1.026871562678323</v>
      </c>
      <c r="AE74" s="9" t="n">
        <v>-6.505163185276047</v>
      </c>
      <c r="AF74" s="7" t="n">
        <v>-3.436412600759297</v>
      </c>
      <c r="AG74" s="8" t="n">
        <v>3.123664041666492</v>
      </c>
      <c r="AH74" s="60" t="n">
        <v>3.50419338249089</v>
      </c>
      <c r="AI74" s="31" t="n">
        <v>-0.8617355412786871</v>
      </c>
      <c r="AJ74" s="7" t="n">
        <v>0.008014707006432475</v>
      </c>
      <c r="AK74" s="7" t="n">
        <v>-0.4575287349015604</v>
      </c>
      <c r="AL74" s="7" t="n">
        <v>-0.3396134676316849</v>
      </c>
      <c r="AM74" s="7" t="n">
        <v>-1.521810463677443</v>
      </c>
      <c r="AN74" s="31" t="n">
        <v>-4.363885392305367</v>
      </c>
      <c r="AO74" s="7" t="n">
        <v>0.1361357595283317</v>
      </c>
      <c r="AP74" s="7" t="n">
        <v>-2.272421358761465</v>
      </c>
      <c r="AQ74" s="7" t="n">
        <v>-1.004320989853189</v>
      </c>
      <c r="AR74" s="7" t="n">
        <v>37.56444118885035</v>
      </c>
      <c r="AS74" s="31" t="n">
        <v>-5.344802200729845</v>
      </c>
      <c r="AT74" s="7" t="n">
        <v>-0.2520482136395472</v>
      </c>
      <c r="AU74" s="7" t="n">
        <v>-2.373385168953533</v>
      </c>
      <c r="AV74" s="8" t="n">
        <v>-1.80197496753599</v>
      </c>
      <c r="AW74" s="7" t="n">
        <v>38.98673075969727</v>
      </c>
      <c r="AX74" s="31" t="n">
        <v>-3.926110541860531</v>
      </c>
      <c r="AY74" s="7" t="n">
        <v>-1.212866362222528</v>
      </c>
      <c r="AZ74" s="7" t="n">
        <v>-2.766195767201488</v>
      </c>
      <c r="BA74" s="7" t="n">
        <v>-1.963215719324523</v>
      </c>
      <c r="BB74" s="7" t="n">
        <v>150.5937727740651</v>
      </c>
      <c r="BC74" s="31" t="n">
        <v>1.460758000796318</v>
      </c>
      <c r="BD74" s="7" t="n">
        <v>10.90808324620248</v>
      </c>
      <c r="BE74" s="7" t="n">
        <v>5.896229801604335</v>
      </c>
      <c r="BF74" s="7" t="n">
        <v>10.10078398318069</v>
      </c>
      <c r="BG74" s="7" t="n">
        <v>6.962001826115492</v>
      </c>
      <c r="BH74" s="31" t="n">
        <v>0.06033096989703512</v>
      </c>
      <c r="BI74" s="7" t="n">
        <v>-0.1160071378144942</v>
      </c>
      <c r="BJ74" s="7" t="n">
        <v>-0.00513005822992163</v>
      </c>
      <c r="BK74" s="7" t="n">
        <v>0.04921241254528663</v>
      </c>
      <c r="BL74" s="7" t="n">
        <v>-2.737788961749469</v>
      </c>
      <c r="BM74" s="31" t="n">
        <v>-2.176468836343799</v>
      </c>
      <c r="BN74" s="7" t="n">
        <v>-2.542505185017367</v>
      </c>
      <c r="BO74" s="7" t="n">
        <v>-2.597948257739781</v>
      </c>
      <c r="BP74" s="7" t="n">
        <v>-2.803266291784221</v>
      </c>
      <c r="BQ74" s="7" t="n">
        <v>57.93631346995992</v>
      </c>
      <c r="BR74" s="31" t="n">
        <v>-10.19242015988092</v>
      </c>
      <c r="BS74" s="7" t="n">
        <v>-1.666395254001102</v>
      </c>
      <c r="BT74" s="7" t="n">
        <v>-6.446851072534962</v>
      </c>
      <c r="BU74" s="8" t="n">
        <v>-6.306128741303063</v>
      </c>
      <c r="BV74" s="9" t="n">
        <v>-18.54519625598788</v>
      </c>
      <c r="BW74" s="31" t="n">
        <v>-1.695479565985078</v>
      </c>
      <c r="BX74" s="7" t="n">
        <v>-11.52482967165876</v>
      </c>
      <c r="BY74" s="7" t="n">
        <v>-8.637307878519483</v>
      </c>
      <c r="BZ74" s="7" t="n">
        <v>-14.57805600223553</v>
      </c>
      <c r="CA74" s="7" t="n">
        <v>1.576228195784182</v>
      </c>
      <c r="CB74" s="31" t="n">
        <v>-17.59332285249243</v>
      </c>
      <c r="CC74" s="7" t="n">
        <v>-3.629059909027525</v>
      </c>
      <c r="CD74" s="7" t="n">
        <v>-11.64494417074561</v>
      </c>
      <c r="CE74" s="8" t="n">
        <v>-9.602336594459018</v>
      </c>
    </row>
    <row r="75">
      <c r="A75" s="251" t="n">
        <v>44652</v>
      </c>
      <c r="B75" s="3" t="n">
        <v>0</v>
      </c>
      <c r="C75" s="6" t="n">
        <v>23.54973566151918</v>
      </c>
      <c r="D75" s="31" t="n">
        <v>1.15616760201921</v>
      </c>
      <c r="E75" s="7" t="n">
        <v>-1.410471761038181</v>
      </c>
      <c r="F75" s="7" t="n">
        <v>-0.3273477479952618</v>
      </c>
      <c r="G75" s="7" t="n">
        <v>-1.223404417240545</v>
      </c>
      <c r="H75" s="9" t="n">
        <v>33.35765477847833</v>
      </c>
      <c r="I75" s="31" t="n">
        <v>-3.204630199095654</v>
      </c>
      <c r="J75" s="7" t="n">
        <v>-3.443215917435253</v>
      </c>
      <c r="K75" s="7" t="n">
        <v>-3.915037702427874</v>
      </c>
      <c r="L75" s="7" t="n">
        <v>-3.562928764033032</v>
      </c>
      <c r="M75" s="9" t="n">
        <v>-9.603652219842161</v>
      </c>
      <c r="N75" s="7" t="n">
        <v>-9.368492411141801</v>
      </c>
      <c r="O75" s="8" t="n">
        <v>-2.712827722225029</v>
      </c>
      <c r="P75" s="7" t="n">
        <v>65.79999999999998</v>
      </c>
      <c r="Q75" s="31" t="n">
        <v>6.79999999999999</v>
      </c>
      <c r="R75" s="7" t="n">
        <v>-5.725000000000009</v>
      </c>
      <c r="S75" s="7" t="n">
        <v>2.968749999999986</v>
      </c>
      <c r="T75" s="7" t="n">
        <v>1.933333333333316</v>
      </c>
      <c r="U75" s="9" t="n">
        <v>5.386243512241705</v>
      </c>
      <c r="V75" s="31" t="n">
        <v>-0.366444749230749</v>
      </c>
      <c r="W75" s="7" t="n">
        <v>-0.5112584031854919</v>
      </c>
      <c r="X75" s="7" t="n">
        <v>-0.4901302569613897</v>
      </c>
      <c r="Y75" s="7" t="n">
        <v>-0.4649259412433331</v>
      </c>
      <c r="Z75" s="9" t="n">
        <v>8.748228050087834</v>
      </c>
      <c r="AA75" s="31" t="n">
        <v>-0.9110427194037101</v>
      </c>
      <c r="AB75" s="7" t="n">
        <v>-0.925718315079143</v>
      </c>
      <c r="AC75" s="7" t="n">
        <v>-1.103498491636081</v>
      </c>
      <c r="AD75" s="7" t="n">
        <v>-1.155192650304553</v>
      </c>
      <c r="AE75" s="9" t="n">
        <v>-11.65246149135533</v>
      </c>
      <c r="AF75" s="7" t="n">
        <v>-7.907760273131657</v>
      </c>
      <c r="AG75" s="8" t="n">
        <v>-0.2977825828655417</v>
      </c>
      <c r="AH75" s="60" t="n">
        <v>3.494879239559259</v>
      </c>
      <c r="AI75" s="31" t="n">
        <v>-0.6242356074464257</v>
      </c>
      <c r="AJ75" s="7" t="n">
        <v>-0.1371126271749186</v>
      </c>
      <c r="AK75" s="7" t="n">
        <v>-0.4688465545847991</v>
      </c>
      <c r="AL75" s="7" t="n">
        <v>-0.3435656882326414</v>
      </c>
      <c r="AM75" s="7" t="n">
        <v>0.177804334739447</v>
      </c>
      <c r="AN75" s="31" t="n">
        <v>-0.5962810302493785</v>
      </c>
      <c r="AO75" s="7" t="n">
        <v>-0.3972684876433699</v>
      </c>
      <c r="AP75" s="7" t="n">
        <v>-0.6068405002266587</v>
      </c>
      <c r="AQ75" s="7" t="n">
        <v>0.5263263118980196</v>
      </c>
      <c r="AR75" s="7" t="n">
        <v>36.93045497011999</v>
      </c>
      <c r="AS75" s="31" t="n">
        <v>-3.64274896723456</v>
      </c>
      <c r="AT75" s="7" t="n">
        <v>-0.7564976724736958</v>
      </c>
      <c r="AU75" s="7" t="n">
        <v>-2.944359334274012</v>
      </c>
      <c r="AV75" s="8" t="n">
        <v>-2.235646759995127</v>
      </c>
      <c r="AW75" s="7" t="n">
        <v>38.00141120911437</v>
      </c>
      <c r="AX75" s="31" t="n">
        <v>-2.624065016842088</v>
      </c>
      <c r="AY75" s="7" t="n">
        <v>-2.834707777309998</v>
      </c>
      <c r="AZ75" s="7" t="n">
        <v>-3.44829872722876</v>
      </c>
      <c r="BA75" s="7" t="n">
        <v>-2.898805601537035</v>
      </c>
      <c r="BB75" s="7" t="n">
        <v>150.7299775424065</v>
      </c>
      <c r="BC75" s="31" t="n">
        <v>0.09999215340823753</v>
      </c>
      <c r="BD75" s="7" t="n">
        <v>7.92905641934837</v>
      </c>
      <c r="BE75" s="7" t="n">
        <v>3.305413758395105</v>
      </c>
      <c r="BF75" s="7" t="n">
        <v>8.65150737770864</v>
      </c>
      <c r="BG75" s="7" t="n">
        <v>6.427581568826988</v>
      </c>
      <c r="BH75" s="31" t="n">
        <v>-0.1589194001149927</v>
      </c>
      <c r="BI75" s="7" t="n">
        <v>-0.4967160881617043</v>
      </c>
      <c r="BJ75" s="7" t="n">
        <v>-0.5105485310648028</v>
      </c>
      <c r="BK75" s="7" t="n">
        <v>-0.4882079338605037</v>
      </c>
      <c r="BL75" s="7" t="n">
        <v>-3.434669995552767</v>
      </c>
      <c r="BM75" s="31" t="n">
        <v>-1.455021566654368</v>
      </c>
      <c r="BN75" s="7" t="n">
        <v>-2.89732062737456</v>
      </c>
      <c r="BO75" s="7" t="n">
        <v>-2.659202995288738</v>
      </c>
      <c r="BP75" s="7" t="n">
        <v>-3.296288134509539</v>
      </c>
      <c r="BQ75" s="7" t="n">
        <v>58.95788296944347</v>
      </c>
      <c r="BR75" s="31" t="n">
        <v>-6.886203928095796</v>
      </c>
      <c r="BS75" s="7" t="n">
        <v>-1.882601382252233</v>
      </c>
      <c r="BT75" s="7" t="n">
        <v>-5.008682759551135</v>
      </c>
      <c r="BU75" s="8" t="n">
        <v>-4.697089509716669</v>
      </c>
      <c r="BV75" s="9" t="n">
        <v>-22.67241305658943</v>
      </c>
      <c r="BW75" s="31" t="n">
        <v>-8.073750511295623</v>
      </c>
      <c r="BX75" s="7" t="n">
        <v>-10.58442860677087</v>
      </c>
      <c r="BY75" s="7" t="n">
        <v>-9.883317261206349</v>
      </c>
      <c r="BZ75" s="7" t="n">
        <v>-16.46841249509809</v>
      </c>
      <c r="CA75" s="7" t="n">
        <v>-1.197518935415538</v>
      </c>
      <c r="CB75" s="31" t="n">
        <v>-15.97317399648177</v>
      </c>
      <c r="CC75" s="7" t="n">
        <v>-7.076368889426771</v>
      </c>
      <c r="CD75" s="7" t="n">
        <v>-13.51142632468845</v>
      </c>
      <c r="CE75" s="8" t="n">
        <v>-11.92420574143798</v>
      </c>
    </row>
    <row r="76">
      <c r="A76" s="251" t="n">
        <v>44743</v>
      </c>
      <c r="B76" s="96" t="n">
        <v>0</v>
      </c>
      <c r="C76" s="6" t="n">
        <v>23.84245218586322</v>
      </c>
      <c r="D76" s="31" t="n">
        <v>1.114336321425156</v>
      </c>
      <c r="E76" s="7" t="n">
        <v>-0.6343342140423083</v>
      </c>
      <c r="F76" s="7" t="n">
        <v>0.3179867166083277</v>
      </c>
      <c r="G76" s="7" t="n">
        <v>-0.5955019700873265</v>
      </c>
      <c r="H76" s="9" t="n">
        <v>30.52910512186161</v>
      </c>
      <c r="I76" s="31" t="n">
        <v>-4.432129704269364</v>
      </c>
      <c r="J76" s="7" t="n">
        <v>-4.762405716488214</v>
      </c>
      <c r="K76" s="7" t="n">
        <v>-5.882783379685783</v>
      </c>
      <c r="L76" s="7" t="n">
        <v>-6.171179120454468</v>
      </c>
      <c r="M76" s="9" t="n">
        <v>-16.26587377790929</v>
      </c>
      <c r="N76" s="7" t="n">
        <v>-14.47285353257769</v>
      </c>
      <c r="O76" s="8" t="n">
        <v>-5.620950402893338</v>
      </c>
      <c r="P76" s="7" t="n">
        <v>68.74999999999999</v>
      </c>
      <c r="Q76" s="31" t="n">
        <v>14.39999999999999</v>
      </c>
      <c r="R76" s="7" t="n">
        <v>-2.274999999999999</v>
      </c>
      <c r="S76" s="7" t="n">
        <v>7.349999999999994</v>
      </c>
      <c r="T76" s="7" t="n">
        <v>4.770833333333329</v>
      </c>
      <c r="U76" s="9" t="n">
        <v>5.257201960427492</v>
      </c>
      <c r="V76" s="31" t="n">
        <v>-0.3394705005065175</v>
      </c>
      <c r="W76" s="7" t="n">
        <v>-0.5558407937985361</v>
      </c>
      <c r="X76" s="7" t="n">
        <v>-0.4913572079792283</v>
      </c>
      <c r="Y76" s="7" t="n">
        <v>-0.5894998867704704</v>
      </c>
      <c r="Z76" s="9" t="n">
        <v>8.544075059541822</v>
      </c>
      <c r="AA76" s="31" t="n">
        <v>-0.8696974251823129</v>
      </c>
      <c r="AB76" s="7" t="n">
        <v>-1.008566296360843</v>
      </c>
      <c r="AC76" s="7" t="n">
        <v>-1.076221903412307</v>
      </c>
      <c r="AD76" s="7" t="n">
        <v>-1.289016904801381</v>
      </c>
      <c r="AE76" s="9" t="n">
        <v>-13.49085522578218</v>
      </c>
      <c r="AF76" s="7" t="n">
        <v>-9.471753273831496</v>
      </c>
      <c r="AG76" s="8" t="n">
        <v>-2.495826668642053</v>
      </c>
      <c r="AH76" s="60" t="n">
        <v>3.15863098908124</v>
      </c>
      <c r="AI76" s="31" t="n">
        <v>-0.744180134614933</v>
      </c>
      <c r="AJ76" s="7" t="n">
        <v>-0.3514617773402953</v>
      </c>
      <c r="AK76" s="7" t="n">
        <v>-0.7708166482690886</v>
      </c>
      <c r="AL76" s="7" t="n">
        <v>-0.6765256953154952</v>
      </c>
      <c r="AM76" s="7" t="n">
        <v>0.7107533567058157</v>
      </c>
      <c r="AN76" s="31" t="n">
        <v>0.5238477453662852</v>
      </c>
      <c r="AO76" s="7" t="n">
        <v>-0.41785482145944</v>
      </c>
      <c r="AP76" s="7" t="n">
        <v>0.02542564365055244</v>
      </c>
      <c r="AQ76" s="7" t="n">
        <v>0.7846610022889386</v>
      </c>
      <c r="AR76" s="7" t="n">
        <v>37.93008291880135</v>
      </c>
      <c r="AS76" s="31" t="n">
        <v>-1.092712841472405</v>
      </c>
      <c r="AT76" s="7" t="n">
        <v>-1.794361262641292</v>
      </c>
      <c r="AU76" s="7" t="n">
        <v>-1.755606967474222</v>
      </c>
      <c r="AV76" s="8" t="n">
        <v>-1.089517090842143</v>
      </c>
      <c r="AW76" s="7" t="n">
        <v>35.84229379895062</v>
      </c>
      <c r="AX76" s="31" t="n">
        <v>-3.505127638036299</v>
      </c>
      <c r="AY76" s="7" t="n">
        <v>-4.095663891256034</v>
      </c>
      <c r="AZ76" s="7" t="n">
        <v>-4.898739193065005</v>
      </c>
      <c r="BA76" s="7" t="n">
        <v>-4.934442107720884</v>
      </c>
      <c r="BB76" s="7" t="n">
        <v>146.6634220691437</v>
      </c>
      <c r="BC76" s="31" t="n">
        <v>-6.987535200818115</v>
      </c>
      <c r="BD76" s="7" t="n">
        <v>1.51718850443001</v>
      </c>
      <c r="BE76" s="7" t="n">
        <v>-2.743405819704776</v>
      </c>
      <c r="BF76" s="7" t="n">
        <v>3.150800124236298</v>
      </c>
      <c r="BG76" s="7" t="n">
        <v>5.685536514793593</v>
      </c>
      <c r="BH76" s="31" t="n">
        <v>-0.7931917573268175</v>
      </c>
      <c r="BI76" s="7" t="n">
        <v>-0.8009331246371167</v>
      </c>
      <c r="BJ76" s="7" t="n">
        <v>-1.128414563057772</v>
      </c>
      <c r="BK76" s="7" t="n">
        <v>-1.196427300916916</v>
      </c>
      <c r="BL76" s="7" t="n">
        <v>-4.726132684026224</v>
      </c>
      <c r="BM76" s="31" t="n">
        <v>-2.451528968723655</v>
      </c>
      <c r="BN76" s="7" t="n">
        <v>-3.376646552608442</v>
      </c>
      <c r="BO76" s="7" t="n">
        <v>-3.226335526918554</v>
      </c>
      <c r="BP76" s="7" t="n">
        <v>-4.294878658042244</v>
      </c>
      <c r="BQ76" s="7" t="n">
        <v>58.40758488356533</v>
      </c>
      <c r="BR76" s="31" t="n">
        <v>-5.685159987662914</v>
      </c>
      <c r="BS76" s="7" t="n">
        <v>-3.407050852447036</v>
      </c>
      <c r="BT76" s="7" t="n">
        <v>-5.08833049986621</v>
      </c>
      <c r="BU76" s="8" t="n">
        <v>-4.756364247665715</v>
      </c>
      <c r="BV76" s="9" t="n">
        <v>-14.43417758305064</v>
      </c>
      <c r="BW76" s="31" t="n">
        <v>-2.971411482278759</v>
      </c>
      <c r="BX76" s="7" t="n">
        <v>-3.683987759965271</v>
      </c>
      <c r="BY76" s="7" t="n">
        <v>1.001025364025159</v>
      </c>
      <c r="BZ76" s="7" t="n">
        <v>-5.495975727673484</v>
      </c>
      <c r="CA76" s="7" t="n">
        <v>-4.84542680381153</v>
      </c>
      <c r="CB76" s="31" t="n">
        <v>-14.09105247148713</v>
      </c>
      <c r="CC76" s="7" t="n">
        <v>-11.03663185990954</v>
      </c>
      <c r="CD76" s="7" t="n">
        <v>-15.39024197072775</v>
      </c>
      <c r="CE76" s="8" t="n">
        <v>-14.84485799678571</v>
      </c>
    </row>
    <row r="77">
      <c r="A77" s="251" t="n">
        <v>44835</v>
      </c>
      <c r="B77" s="96" t="n">
        <v>0</v>
      </c>
      <c r="C77" s="6" t="n">
        <v>23.58628417036503</v>
      </c>
      <c r="D77" s="31" t="n">
        <v>0.2049177436515066</v>
      </c>
      <c r="E77" s="7" t="n">
        <v>-0.3571451334146776</v>
      </c>
      <c r="F77" s="7" t="n">
        <v>0.2204022546207121</v>
      </c>
      <c r="G77" s="7" t="n">
        <v>-0.5834146335821586</v>
      </c>
      <c r="H77" s="9" t="n">
        <v>29.44740822060929</v>
      </c>
      <c r="I77" s="31" t="n">
        <v>-3.556521417606469</v>
      </c>
      <c r="J77" s="7" t="n">
        <v>-5.519671287664334</v>
      </c>
      <c r="K77" s="7" t="n">
        <v>-5.77387885181605</v>
      </c>
      <c r="L77" s="7" t="n">
        <v>-6.868354985283155</v>
      </c>
      <c r="M77" s="9" t="n">
        <v>-12.09093805847715</v>
      </c>
      <c r="N77" s="7" t="n">
        <v>-16.3304004470059</v>
      </c>
      <c r="O77" s="8" t="n">
        <v>-7.40830102294376</v>
      </c>
      <c r="P77" s="7" t="n">
        <v>67.59999999999999</v>
      </c>
      <c r="Q77" s="31" t="n">
        <v>15.3</v>
      </c>
      <c r="R77" s="7" t="n">
        <v>0.3500000000000014</v>
      </c>
      <c r="S77" s="7" t="n">
        <v>6.768749999999997</v>
      </c>
      <c r="T77" s="7" t="n">
        <v>3.162500000000009</v>
      </c>
      <c r="U77" s="9" t="n">
        <v>5.186083486388603</v>
      </c>
      <c r="V77" s="31" t="n">
        <v>-0.2339928082300391</v>
      </c>
      <c r="W77" s="7" t="n">
        <v>-0.5107096742702182</v>
      </c>
      <c r="X77" s="7" t="n">
        <v>-0.4235154835684831</v>
      </c>
      <c r="Y77" s="7" t="n">
        <v>-0.6254011171532898</v>
      </c>
      <c r="Z77" s="9" t="n">
        <v>8.610361255490576</v>
      </c>
      <c r="AA77" s="31" t="n">
        <v>-0.5612664695800706</v>
      </c>
      <c r="AB77" s="7" t="n">
        <v>-0.8920411343612455</v>
      </c>
      <c r="AC77" s="7" t="n">
        <v>-0.7577941333733431</v>
      </c>
      <c r="AD77" s="7" t="n">
        <v>-1.114748884875983</v>
      </c>
      <c r="AE77" s="9" t="n">
        <v>-10.18182750812559</v>
      </c>
      <c r="AF77" s="7" t="n">
        <v>-7.958638506779664</v>
      </c>
      <c r="AG77" s="8" t="n">
        <v>-3.156159308013988</v>
      </c>
      <c r="AH77" s="60" t="n">
        <v>2.752806630101278</v>
      </c>
      <c r="AI77" s="31" t="n">
        <v>-1.173279614834932</v>
      </c>
      <c r="AJ77" s="7" t="n">
        <v>-0.7541030817408634</v>
      </c>
      <c r="AK77" s="7" t="n">
        <v>-1.088775562913976</v>
      </c>
      <c r="AL77" s="7" t="n">
        <v>-1.035529724492483</v>
      </c>
      <c r="AM77" s="7" t="n">
        <v>1.48437423301211</v>
      </c>
      <c r="AN77" s="31" t="n">
        <v>1.660730460116511</v>
      </c>
      <c r="AO77" s="7" t="n">
        <v>-0.08454046144570804</v>
      </c>
      <c r="AP77" s="7" t="n">
        <v>0.9035102253217064</v>
      </c>
      <c r="AQ77" s="7" t="n">
        <v>1.23730257850554</v>
      </c>
      <c r="AR77" s="7" t="n">
        <v>38.15363116746087</v>
      </c>
      <c r="AS77" s="31" t="n">
        <v>0.7194001286674023</v>
      </c>
      <c r="AT77" s="7" t="n">
        <v>-1.689356096843742</v>
      </c>
      <c r="AU77" s="7" t="n">
        <v>-1.083468403154377</v>
      </c>
      <c r="AV77" s="8" t="n">
        <v>-0.8981476860011099</v>
      </c>
      <c r="AW77" s="7" t="n">
        <v>34.64544509000139</v>
      </c>
      <c r="AX77" s="31" t="n">
        <v>-3.269174874392107</v>
      </c>
      <c r="AY77" s="7" t="n">
        <v>-4.730348183477325</v>
      </c>
      <c r="AZ77" s="7" t="n">
        <v>-5.071671929200235</v>
      </c>
      <c r="BA77" s="7" t="n">
        <v>-5.851143105412099</v>
      </c>
      <c r="BB77" s="7" t="n">
        <v>133.7151429818082</v>
      </c>
      <c r="BC77" s="31" t="n">
        <v>-13.9276619276867</v>
      </c>
      <c r="BD77" s="7" t="n">
        <v>-7.764961205250302</v>
      </c>
      <c r="BE77" s="7" t="n">
        <v>-16.0709820331478</v>
      </c>
      <c r="BF77" s="7" t="n">
        <v>-10.85567771822284</v>
      </c>
      <c r="BG77" s="7" t="n">
        <v>5.565682506813594</v>
      </c>
      <c r="BH77" s="31" t="n">
        <v>-1.071724218145006</v>
      </c>
      <c r="BI77" s="7" t="n">
        <v>-0.8323165673737831</v>
      </c>
      <c r="BJ77" s="7" t="n">
        <v>-1.048035289878491</v>
      </c>
      <c r="BK77" s="7" t="n">
        <v>-1.229123649657513</v>
      </c>
      <c r="BL77" s="7" t="n">
        <v>-3.79084968831683</v>
      </c>
      <c r="BM77" s="31" t="n">
        <v>-0.4622485437620338</v>
      </c>
      <c r="BN77" s="7" t="n">
        <v>-2.040972190864242</v>
      </c>
      <c r="BO77" s="7" t="n">
        <v>-1.44689089305705</v>
      </c>
      <c r="BP77" s="7" t="n">
        <v>-2.950322446964472</v>
      </c>
      <c r="BQ77" s="7" t="n">
        <v>54.86369489841899</v>
      </c>
      <c r="BR77" s="31" t="n">
        <v>-5.524718709598567</v>
      </c>
      <c r="BS77" s="7" t="n">
        <v>-6.266883067272328</v>
      </c>
      <c r="BT77" s="7" t="n">
        <v>-7.780457771900799</v>
      </c>
      <c r="BU77" s="8" t="n">
        <v>-7.864280088689306</v>
      </c>
      <c r="BV77" s="9" t="n">
        <v>-12.10526644825589</v>
      </c>
      <c r="BW77" s="31" t="n">
        <v>-1.198776861356775</v>
      </c>
      <c r="BX77" s="7" t="n">
        <v>4.637455414842757</v>
      </c>
      <c r="BY77" s="7" t="n">
        <v>4.250933438811231</v>
      </c>
      <c r="BZ77" s="7" t="n">
        <v>-1.542011548789736</v>
      </c>
      <c r="CA77" s="7" t="n">
        <v>-8.737154885888593</v>
      </c>
      <c r="CB77" s="31" t="n">
        <v>-12.11839668099846</v>
      </c>
      <c r="CC77" s="7" t="n">
        <v>-14.45852823635692</v>
      </c>
      <c r="CD77" s="7" t="n">
        <v>-16.52281208782743</v>
      </c>
      <c r="CE77" s="8" t="n">
        <v>-17.72805139707459</v>
      </c>
    </row>
    <row r="78">
      <c r="A78" s="251" t="n">
        <v>44927</v>
      </c>
      <c r="B78" s="96" t="n">
        <v>0</v>
      </c>
      <c r="C78" s="6" t="n">
        <v>24.12622161981258</v>
      </c>
      <c r="D78" s="31" t="n">
        <v>1.068756430006985</v>
      </c>
      <c r="E78" s="7" t="n">
        <v>0.2262220594459858</v>
      </c>
      <c r="F78" s="7" t="n">
        <v>0.8496259874219305</v>
      </c>
      <c r="G78" s="7" t="n">
        <v>0.134587428648576</v>
      </c>
      <c r="H78" s="9" t="n">
        <v>30.12317960763964</v>
      </c>
      <c r="I78" s="31" t="n">
        <v>-3.696495855093634</v>
      </c>
      <c r="J78" s="7" t="n">
        <v>-4.463240685415601</v>
      </c>
      <c r="K78" s="7" t="n">
        <v>-3.718189642869621</v>
      </c>
      <c r="L78" s="7" t="n">
        <v>-5.703156319428114</v>
      </c>
      <c r="M78" s="9" t="n">
        <v>-12.94285032435346</v>
      </c>
      <c r="N78" s="7" t="n">
        <v>-13.26122931316388</v>
      </c>
      <c r="O78" s="8" t="n">
        <v>-8.386138222309228</v>
      </c>
      <c r="P78" s="7" t="n">
        <v>72.3</v>
      </c>
      <c r="Q78" s="31" t="n">
        <v>16</v>
      </c>
      <c r="R78" s="7" t="n">
        <v>4.525000000000002</v>
      </c>
      <c r="S78" s="7" t="n">
        <v>11.38125000000001</v>
      </c>
      <c r="T78" s="7" t="n">
        <v>7.620833333333337</v>
      </c>
      <c r="U78" s="9" t="n">
        <v>5.117847870771741</v>
      </c>
      <c r="V78" s="31" t="n">
        <v>-0.2407903878880573</v>
      </c>
      <c r="W78" s="7" t="n">
        <v>-0.3899601528009051</v>
      </c>
      <c r="X78" s="7" t="n">
        <v>-0.3640736806177909</v>
      </c>
      <c r="Y78" s="7" t="n">
        <v>-0.6357939020289995</v>
      </c>
      <c r="Z78" s="9" t="n">
        <v>8.686440462626326</v>
      </c>
      <c r="AA78" s="31" t="n">
        <v>-0.231805208722907</v>
      </c>
      <c r="AB78" s="7" t="n">
        <v>-0.7045696819033687</v>
      </c>
      <c r="AC78" s="7" t="n">
        <v>-0.4587046426472803</v>
      </c>
      <c r="AD78" s="7" t="n">
        <v>-0.9090810061658523</v>
      </c>
      <c r="AE78" s="9" t="n">
        <v>-5.20177818745276</v>
      </c>
      <c r="AF78" s="7" t="n">
        <v>-5.853470686364403</v>
      </c>
      <c r="AG78" s="8" t="n">
        <v>-4.024867796323785</v>
      </c>
      <c r="AH78" s="60" t="n">
        <v>2.831540857560824</v>
      </c>
      <c r="AI78" s="31" t="n">
        <v>-0.6726525249300659</v>
      </c>
      <c r="AJ78" s="7" t="n">
        <v>-0.7671940331043765</v>
      </c>
      <c r="AK78" s="7" t="n">
        <v>-0.8215155650192152</v>
      </c>
      <c r="AL78" s="7" t="n">
        <v>-0.8854830741368653</v>
      </c>
      <c r="AM78" s="7" t="n">
        <v>1.68831617990752</v>
      </c>
      <c r="AN78" s="31" t="n">
        <v>3.210126643584963</v>
      </c>
      <c r="AO78" s="7" t="n">
        <v>-0.5768793743602021</v>
      </c>
      <c r="AP78" s="7" t="n">
        <v>1.128587287578544</v>
      </c>
      <c r="AQ78" s="7" t="n">
        <v>1.116982128119844</v>
      </c>
      <c r="AR78" s="7" t="n">
        <v>37.90555248904754</v>
      </c>
      <c r="AS78" s="31" t="n">
        <v>0.3411113001971913</v>
      </c>
      <c r="AT78" s="7" t="n">
        <v>-2.501845450266327</v>
      </c>
      <c r="AU78" s="7" t="n">
        <v>-0.9092080573567785</v>
      </c>
      <c r="AV78" s="8" t="n">
        <v>-1.26788260325776</v>
      </c>
      <c r="AW78" s="7" t="n">
        <v>35.74162082304319</v>
      </c>
      <c r="AX78" s="31" t="n">
        <v>-3.245109936654082</v>
      </c>
      <c r="AY78" s="7" t="n">
        <v>-3.585610239257306</v>
      </c>
      <c r="AZ78" s="7" t="n">
        <v>-2.792909150289098</v>
      </c>
      <c r="BA78" s="7" t="n">
        <v>-4.383320266369623</v>
      </c>
      <c r="BB78" s="7" t="n">
        <v>131.5046114946539</v>
      </c>
      <c r="BC78" s="31" t="n">
        <v>-19.0891612794112</v>
      </c>
      <c r="BD78" s="7" t="n">
        <v>-8.814201639307441</v>
      </c>
      <c r="BE78" s="7" t="n">
        <v>-16.34027321898949</v>
      </c>
      <c r="BF78" s="7" t="n">
        <v>-13.43561010093859</v>
      </c>
      <c r="BG78" s="7" t="n">
        <v>5.616955631118408</v>
      </c>
      <c r="BH78" s="31" t="n">
        <v>-1.345046194997084</v>
      </c>
      <c r="BI78" s="7" t="n">
        <v>-0.6423576125500245</v>
      </c>
      <c r="BJ78" s="7" t="n">
        <v>-0.7886830237302309</v>
      </c>
      <c r="BK78" s="7" t="n">
        <v>-1.08119915982434</v>
      </c>
      <c r="BL78" s="7" t="n">
        <v>-2.771848656410346</v>
      </c>
      <c r="BM78" s="31" t="n">
        <v>-0.03405969466087777</v>
      </c>
      <c r="BN78" s="7" t="n">
        <v>-1.105264265502338</v>
      </c>
      <c r="BO78" s="7" t="n">
        <v>0.08235318656549406</v>
      </c>
      <c r="BP78" s="7" t="n">
        <v>-1.454501409600114</v>
      </c>
      <c r="BQ78" s="7" t="n">
        <v>51.39600795224868</v>
      </c>
      <c r="BR78" s="31" t="n">
        <v>-6.540305517711239</v>
      </c>
      <c r="BS78" s="7" t="n">
        <v>-8.366362838796078</v>
      </c>
      <c r="BT78" s="7" t="n">
        <v>-9.681423951253024</v>
      </c>
      <c r="BU78" s="8" t="n">
        <v>-10.70655809453021</v>
      </c>
      <c r="BV78" s="9" t="n">
        <v>-16.42556492548379</v>
      </c>
      <c r="BW78" s="31" t="n">
        <v>2.119631330504088</v>
      </c>
      <c r="BX78" s="7" t="n">
        <v>0.212075882259505</v>
      </c>
      <c r="BY78" s="7" t="n">
        <v>-1.228728892127359</v>
      </c>
      <c r="BZ78" s="7" t="n">
        <v>-4.173884895181205</v>
      </c>
      <c r="CA78" s="7" t="n">
        <v>-11.63489282760941</v>
      </c>
      <c r="CB78" s="31" t="n">
        <v>-13.21112102339359</v>
      </c>
      <c r="CC78" s="7" t="n">
        <v>-15.40222193794301</v>
      </c>
      <c r="CD78" s="7" t="n">
        <v>-15.80591797045901</v>
      </c>
      <c r="CE78" s="8" t="n">
        <v>-19.34868503618498</v>
      </c>
    </row>
    <row r="79">
      <c r="A79" s="251" t="n">
        <v>45017</v>
      </c>
      <c r="B79" s="96" t="n">
        <v>0</v>
      </c>
      <c r="C79" s="6" t="n">
        <v>24.95710848087461</v>
      </c>
      <c r="D79" s="31" t="n">
        <v>1.407372819355427</v>
      </c>
      <c r="E79" s="7" t="n">
        <v>1.281770210687318</v>
      </c>
      <c r="F79" s="7" t="n">
        <v>1.623957333622457</v>
      </c>
      <c r="G79" s="7" t="n">
        <v>1.113661738068309</v>
      </c>
      <c r="H79" s="9" t="n">
        <v>29.60543220190612</v>
      </c>
      <c r="I79" s="31" t="n">
        <v>-3.752222576572208</v>
      </c>
      <c r="J79" s="7" t="n">
        <v>-3.478426387833931</v>
      </c>
      <c r="K79" s="7" t="n">
        <v>-3.120126877249234</v>
      </c>
      <c r="L79" s="7" t="n">
        <v>-5.53114176274709</v>
      </c>
      <c r="M79" s="9" t="n">
        <v>-11.10072301963487</v>
      </c>
      <c r="N79" s="7" t="n">
        <v>-10.35218761973852</v>
      </c>
      <c r="O79" s="8" t="n">
        <v>-9.945902613972825</v>
      </c>
      <c r="P79" s="7" t="n">
        <v>74.05</v>
      </c>
      <c r="Q79" s="31" t="n">
        <v>8.250000000000014</v>
      </c>
      <c r="R79" s="7" t="n">
        <v>7.525000000000002</v>
      </c>
      <c r="S79" s="7" t="n">
        <v>12.00000000000001</v>
      </c>
      <c r="T79" s="7" t="n">
        <v>9.291666666666671</v>
      </c>
      <c r="U79" s="9" t="n">
        <v>5.04868085242186</v>
      </c>
      <c r="V79" s="31" t="n">
        <v>-0.3375626598198442</v>
      </c>
      <c r="W79" s="7" t="n">
        <v>-0.3520037045252966</v>
      </c>
      <c r="X79" s="7" t="n">
        <v>-0.3357506607674452</v>
      </c>
      <c r="Y79" s="7" t="n">
        <v>-0.6145163961993303</v>
      </c>
      <c r="Z79" s="9" t="n">
        <v>8.713179041602913</v>
      </c>
      <c r="AA79" s="31" t="n">
        <v>-0.03504900848492021</v>
      </c>
      <c r="AB79" s="7" t="n">
        <v>-0.4730458639443151</v>
      </c>
      <c r="AC79" s="7" t="n">
        <v>-0.2558236431948515</v>
      </c>
      <c r="AD79" s="7" t="n">
        <v>-0.7370640551919099</v>
      </c>
      <c r="AE79" s="9" t="n">
        <v>4.483913927898243</v>
      </c>
      <c r="AF79" s="7" t="n">
        <v>-3.584273781728541</v>
      </c>
      <c r="AG79" s="8" t="n">
        <v>-3.777202206121691</v>
      </c>
      <c r="AH79" s="60" t="n">
        <v>2.89131261994217</v>
      </c>
      <c r="AI79" s="31" t="n">
        <v>-0.6035666196170895</v>
      </c>
      <c r="AJ79" s="7" t="n">
        <v>-0.6139011135317576</v>
      </c>
      <c r="AK79" s="7" t="n">
        <v>-0.5699452943617751</v>
      </c>
      <c r="AL79" s="7" t="n">
        <v>-0.7709927191790857</v>
      </c>
      <c r="AM79" s="7" t="n">
        <v>-0.1706965710390322</v>
      </c>
      <c r="AN79" s="31" t="n">
        <v>-0.3485009057784791</v>
      </c>
      <c r="AO79" s="7" t="n">
        <v>-0.4723909680139289</v>
      </c>
      <c r="AP79" s="7" t="n">
        <v>-0.5862056197779579</v>
      </c>
      <c r="AQ79" s="7" t="n">
        <v>-1.03223046971351</v>
      </c>
      <c r="AR79" s="7" t="n">
        <v>36.59697786750783</v>
      </c>
      <c r="AS79" s="31" t="n">
        <v>-0.3334771026121572</v>
      </c>
      <c r="AT79" s="7" t="n">
        <v>-1.988113034923359</v>
      </c>
      <c r="AU79" s="7" t="n">
        <v>-1.592321316329901</v>
      </c>
      <c r="AV79" s="8" t="n">
        <v>-2.562875130873984</v>
      </c>
      <c r="AW79" s="7" t="n">
        <v>36.08900717566988</v>
      </c>
      <c r="AX79" s="31" t="n">
        <v>-1.912404033444496</v>
      </c>
      <c r="AY79" s="7" t="n">
        <v>-2.268234525143292</v>
      </c>
      <c r="AZ79" s="7" t="n">
        <v>-1.549120237848093</v>
      </c>
      <c r="BA79" s="7" t="n">
        <v>-3.563363691984677</v>
      </c>
      <c r="BB79" s="7" t="n">
        <v>132.4090836388099</v>
      </c>
      <c r="BC79" s="31" t="n">
        <v>-18.32089390359653</v>
      </c>
      <c r="BD79" s="7" t="n">
        <v>-9.110450875094145</v>
      </c>
      <c r="BE79" s="7" t="n">
        <v>-13.23225066500657</v>
      </c>
      <c r="BF79" s="7" t="n">
        <v>-12.75838839119865</v>
      </c>
      <c r="BG79" s="7" t="n">
        <v>5.669183356130533</v>
      </c>
      <c r="BH79" s="31" t="n">
        <v>-0.7583982126964548</v>
      </c>
      <c r="BI79" s="7" t="n">
        <v>-0.4586588064057238</v>
      </c>
      <c r="BJ79" s="7" t="n">
        <v>-0.5758658955806002</v>
      </c>
      <c r="BK79" s="7" t="n">
        <v>-0.897549728926708</v>
      </c>
      <c r="BL79" s="7" t="n">
        <v>-0.9302089159709129</v>
      </c>
      <c r="BM79" s="31" t="n">
        <v>2.504461079581854</v>
      </c>
      <c r="BN79" s="7" t="n">
        <v>0.5247197564637431</v>
      </c>
      <c r="BO79" s="7" t="n">
        <v>2.200308993380512</v>
      </c>
      <c r="BP79" s="7" t="n">
        <v>0.8137275028972873</v>
      </c>
      <c r="BQ79" s="7" t="n">
        <v>49.04026277011527</v>
      </c>
      <c r="BR79" s="31" t="n">
        <v>-9.917620199328205</v>
      </c>
      <c r="BS79" s="7" t="n">
        <v>-8.401912063712</v>
      </c>
      <c r="BT79" s="7" t="n">
        <v>-9.945578423687415</v>
      </c>
      <c r="BU79" s="8" t="n">
        <v>-12.23954527452084</v>
      </c>
      <c r="BV79" s="9" t="n">
        <v>-12.07249675157369</v>
      </c>
      <c r="BW79" s="31" t="n">
        <v>10.59991630501574</v>
      </c>
      <c r="BX79" s="7" t="n">
        <v>1.263082896860058</v>
      </c>
      <c r="BY79" s="7" t="n">
        <v>3.07132031121786</v>
      </c>
      <c r="BZ79" s="7" t="n">
        <v>1.923352279796676</v>
      </c>
      <c r="CA79" s="7" t="n">
        <v>-9.494127747234939</v>
      </c>
      <c r="CB79" s="31" t="n">
        <v>-8.2966088118194</v>
      </c>
      <c r="CC79" s="7" t="n">
        <v>-12.13489140415058</v>
      </c>
      <c r="CD79" s="7" t="n">
        <v>-9.814597405598791</v>
      </c>
      <c r="CE79" s="8" t="n">
        <v>-15.50214988568979</v>
      </c>
    </row>
    <row r="80">
      <c r="A80" s="251" t="n">
        <v>45108</v>
      </c>
      <c r="B80" s="96" t="n">
        <v>0</v>
      </c>
      <c r="C80" s="6" t="n">
        <v>24.53455836065942</v>
      </c>
      <c r="D80" s="31" t="n">
        <v>0.6921061747962014</v>
      </c>
      <c r="E80" s="7" t="n">
        <v>0.9032212481106789</v>
      </c>
      <c r="F80" s="7" t="n">
        <v>0.8809646607354509</v>
      </c>
      <c r="G80" s="7" t="n">
        <v>0.8089091764132057</v>
      </c>
      <c r="H80" s="9" t="n">
        <v>29.96394882980643</v>
      </c>
      <c r="I80" s="31" t="n">
        <v>-0.5651562920551818</v>
      </c>
      <c r="J80" s="7" t="n">
        <v>-2.498642998162273</v>
      </c>
      <c r="K80" s="7" t="n">
        <v>-1.892003652390446</v>
      </c>
      <c r="L80" s="7" t="n">
        <v>-4.286070600559885</v>
      </c>
      <c r="M80" s="9" t="n">
        <v>1.741030862622438</v>
      </c>
      <c r="N80" s="7" t="n">
        <v>-7.262421457643427</v>
      </c>
      <c r="O80" s="8" t="n">
        <v>-9.068225400844312</v>
      </c>
      <c r="P80" s="7" t="n">
        <v>69.84999999999999</v>
      </c>
      <c r="Q80" s="31" t="n">
        <v>1.100000000000009</v>
      </c>
      <c r="R80" s="7" t="n">
        <v>7.75</v>
      </c>
      <c r="S80" s="7" t="n">
        <v>5.918749999999996</v>
      </c>
      <c r="T80" s="7" t="n">
        <v>5.358333333333334</v>
      </c>
      <c r="U80" s="9" t="n">
        <v>5.022009147263639</v>
      </c>
      <c r="V80" s="31" t="n">
        <v>-0.2351928131638532</v>
      </c>
      <c r="W80" s="7" t="n">
        <v>-0.2873316568351854</v>
      </c>
      <c r="X80" s="7" t="n">
        <v>-0.2744214397943416</v>
      </c>
      <c r="Y80" s="7" t="n">
        <v>-0.5278481458416486</v>
      </c>
      <c r="Z80" s="9" t="n">
        <v>8.918670781644126</v>
      </c>
      <c r="AA80" s="31" t="n">
        <v>0.3745957221023044</v>
      </c>
      <c r="AB80" s="7" t="n">
        <v>-0.2475508515400042</v>
      </c>
      <c r="AC80" s="7" t="n">
        <v>0.06792956283243967</v>
      </c>
      <c r="AD80" s="7" t="n">
        <v>-0.3743651785970954</v>
      </c>
      <c r="AE80" s="9" t="n">
        <v>11.12127968588356</v>
      </c>
      <c r="AF80" s="7" t="n">
        <v>-1.18478776994931</v>
      </c>
      <c r="AG80" s="8" t="n">
        <v>-2.607408953926476</v>
      </c>
      <c r="AH80" s="60" t="n">
        <v>2.998116292281707</v>
      </c>
      <c r="AI80" s="31" t="n">
        <v>-0.1605146967995323</v>
      </c>
      <c r="AJ80" s="7" t="n">
        <v>-0.4523474157072327</v>
      </c>
      <c r="AK80" s="7" t="n">
        <v>-0.3096663436392979</v>
      </c>
      <c r="AL80" s="7" t="n">
        <v>-0.5910397240089709</v>
      </c>
      <c r="AM80" s="7" t="n">
        <v>-0.4104308585594776</v>
      </c>
      <c r="AN80" s="31" t="n">
        <v>-1.121184215265293</v>
      </c>
      <c r="AO80" s="7" t="n">
        <v>-0.2986682349495041</v>
      </c>
      <c r="AP80" s="7" t="n">
        <v>-0.7078421652949212</v>
      </c>
      <c r="AQ80" s="7" t="n">
        <v>-1.176711600478521</v>
      </c>
      <c r="AR80" s="7" t="n">
        <v>36.96270098808341</v>
      </c>
      <c r="AS80" s="31" t="n">
        <v>-0.9673819307179485</v>
      </c>
      <c r="AT80" s="7" t="n">
        <v>-1.030047386095177</v>
      </c>
      <c r="AU80" s="7" t="n">
        <v>-0.7295699370234914</v>
      </c>
      <c r="AV80" s="8" t="n">
        <v>-2.043279306335108</v>
      </c>
      <c r="AW80" s="7" t="n">
        <v>36.73702975602391</v>
      </c>
      <c r="AX80" s="31" t="n">
        <v>0.8947359570732871</v>
      </c>
      <c r="AY80" s="7" t="n">
        <v>-1.305195840481506</v>
      </c>
      <c r="AZ80" s="7" t="n">
        <v>-0.3340390262082309</v>
      </c>
      <c r="BA80" s="7" t="n">
        <v>-2.283522812625272</v>
      </c>
      <c r="BB80" s="7" t="n">
        <v>131.0365180334772</v>
      </c>
      <c r="BC80" s="31" t="n">
        <v>-15.62690403566651</v>
      </c>
      <c r="BD80" s="7" t="n">
        <v>-11.30721961824231</v>
      </c>
      <c r="BE80" s="7" t="n">
        <v>-12.32720355156582</v>
      </c>
      <c r="BF80" s="7" t="n">
        <v>-13.92572224112311</v>
      </c>
      <c r="BG80" s="7" t="n">
        <v>5.742197686454952</v>
      </c>
      <c r="BH80" s="31" t="n">
        <v>0.05666117166135898</v>
      </c>
      <c r="BI80" s="7" t="n">
        <v>-0.3682652928327292</v>
      </c>
      <c r="BJ80" s="7" t="n">
        <v>-0.3881868636547505</v>
      </c>
      <c r="BK80" s="7" t="n">
        <v>-0.678549532850635</v>
      </c>
      <c r="BL80" s="7" t="n">
        <v>0.4182315208254888</v>
      </c>
      <c r="BM80" s="31" t="n">
        <v>5.144364204851713</v>
      </c>
      <c r="BN80" s="7" t="n">
        <v>1.346417618064029</v>
      </c>
      <c r="BO80" s="7" t="n">
        <v>3.417569491060978</v>
      </c>
      <c r="BP80" s="7" t="n">
        <v>2.436349620957628</v>
      </c>
      <c r="BQ80" s="7" t="n">
        <v>49.44446435586167</v>
      </c>
      <c r="BR80" s="31" t="n">
        <v>-8.963120527703666</v>
      </c>
      <c r="BS80" s="7" t="n">
        <v>-7.32414025768329</v>
      </c>
      <c r="BT80" s="7" t="n">
        <v>-7.440898822013018</v>
      </c>
      <c r="BU80" s="8" t="n">
        <v>-10.69510844178839</v>
      </c>
      <c r="BV80" s="9" t="n">
        <v>-20.87493618598389</v>
      </c>
      <c r="BW80" s="31" t="n">
        <v>-6.440758602933244</v>
      </c>
      <c r="BX80" s="7" t="n">
        <v>-4.706085042606001</v>
      </c>
      <c r="BY80" s="7" t="n">
        <v>-6.046889847407346</v>
      </c>
      <c r="BZ80" s="7" t="n">
        <v>-5.998342078903018</v>
      </c>
      <c r="CA80" s="7" t="n">
        <v>-2.78265454582594</v>
      </c>
      <c r="CB80" s="31" t="n">
        <v>2.06277225798559</v>
      </c>
      <c r="CC80" s="7" t="n">
        <v>-6.01414010675077</v>
      </c>
      <c r="CD80" s="7" t="n">
        <v>-0.06940135315214446</v>
      </c>
      <c r="CE80" s="8" t="n">
        <v>-6.91989780172471</v>
      </c>
    </row>
    <row r="81">
      <c r="A81" s="251" t="n">
        <v>45200</v>
      </c>
      <c r="B81" s="96" t="n">
        <v>0</v>
      </c>
      <c r="C81" s="6" t="n">
        <v>23.96322380360279</v>
      </c>
      <c r="D81" s="31" t="n">
        <v>0.376939633237761</v>
      </c>
      <c r="E81" s="7" t="n">
        <v>0.2909286884446338</v>
      </c>
      <c r="F81" s="7" t="n">
        <v>0.08382479165114276</v>
      </c>
      <c r="G81" s="7" t="n">
        <v>0.2856214737972707</v>
      </c>
      <c r="H81" s="65" t="n">
        <v>30.08893781113005</v>
      </c>
      <c r="I81" s="31" t="n">
        <v>0.6415295905207614</v>
      </c>
      <c r="J81" s="7" t="n">
        <v>-1.457495913542854</v>
      </c>
      <c r="K81" s="7" t="n">
        <v>-1.142353921526254</v>
      </c>
      <c r="L81" s="7" t="n">
        <v>-3.320250975483631</v>
      </c>
      <c r="M81" s="9" t="n">
        <v>4.87866376955526</v>
      </c>
      <c r="N81" s="7" t="n">
        <v>-3.606137144460945</v>
      </c>
      <c r="O81" s="8" t="n">
        <v>-9.260712374818846</v>
      </c>
      <c r="P81" s="7" t="n">
        <v>66.29999999999998</v>
      </c>
      <c r="Q81" s="31" t="n">
        <v>-1.300000000000011</v>
      </c>
      <c r="R81" s="7" t="n">
        <v>6.999999999999993</v>
      </c>
      <c r="S81" s="7" t="n">
        <v>0.4312499999999915</v>
      </c>
      <c r="T81" s="7" t="n">
        <v>2.095833333333317</v>
      </c>
      <c r="U81" s="9" t="n">
        <v>4.987855980028772</v>
      </c>
      <c r="V81" s="31" t="n">
        <v>-0.1982275063598316</v>
      </c>
      <c r="W81" s="7" t="n">
        <v>-0.2161101572949353</v>
      </c>
      <c r="X81" s="7" t="n">
        <v>-0.2367416928204138</v>
      </c>
      <c r="Y81" s="7" t="n">
        <v>-0.4497617796797728</v>
      </c>
      <c r="Z81" s="9" t="n">
        <v>9.115768756107517</v>
      </c>
      <c r="AA81" s="31" t="n">
        <v>0.5054075006169416</v>
      </c>
      <c r="AB81" s="7" t="n">
        <v>-0.02792948448156451</v>
      </c>
      <c r="AC81" s="7" t="n">
        <v>0.3269152501808321</v>
      </c>
      <c r="AD81" s="7" t="n">
        <v>-0.04038913158209034</v>
      </c>
      <c r="AE81" s="9" t="n">
        <v>12.55699829156481</v>
      </c>
      <c r="AF81" s="7" t="n">
        <v>1.187585391719608</v>
      </c>
      <c r="AG81" s="8" t="n">
        <v>-1.120092907331506</v>
      </c>
      <c r="AH81" s="60" t="n">
        <v>3.835926202743785</v>
      </c>
      <c r="AI81" s="31" t="n">
        <v>1.083119572642507</v>
      </c>
      <c r="AJ81" s="7" t="n">
        <v>-0.04508002109621234</v>
      </c>
      <c r="AK81" s="7" t="n">
        <v>0.6412304207495878</v>
      </c>
      <c r="AL81" s="7" t="n">
        <v>0.3187233740764501</v>
      </c>
      <c r="AM81" s="7" t="n">
        <v>-1.187582684065166</v>
      </c>
      <c r="AN81" s="31" t="n">
        <v>-2.671956917077276</v>
      </c>
      <c r="AO81" s="7" t="n">
        <v>-0.5056132284803826</v>
      </c>
      <c r="AP81" s="7" t="n">
        <v>-1.410326932063234</v>
      </c>
      <c r="AQ81" s="7" t="n">
        <v>-1.790788937802195</v>
      </c>
      <c r="AR81" s="7" t="n">
        <v>36.0201755532253</v>
      </c>
      <c r="AS81" s="31" t="n">
        <v>-2.133455614235572</v>
      </c>
      <c r="AT81" s="7" t="n">
        <v>-0.707027742784085</v>
      </c>
      <c r="AU81" s="7" t="n">
        <v>-1.414583525357799</v>
      </c>
      <c r="AV81" s="8" t="n">
        <v>-2.606129369859843</v>
      </c>
      <c r="AW81" s="7" t="n">
        <v>37.47792810223146</v>
      </c>
      <c r="AX81" s="31" t="n">
        <v>2.832483012230071</v>
      </c>
      <c r="AY81" s="7" t="n">
        <v>-0.2183459310810179</v>
      </c>
      <c r="AZ81" s="7" t="n">
        <v>0.7331582801196959</v>
      </c>
      <c r="BA81" s="7" t="n">
        <v>-0.9345751476311506</v>
      </c>
      <c r="BB81" s="7" t="n">
        <v>130.1567184494867</v>
      </c>
      <c r="BC81" s="31" t="n">
        <v>-3.558424532321453</v>
      </c>
      <c r="BD81" s="7" t="n">
        <v>-8.743043230004076</v>
      </c>
      <c r="BE81" s="7" t="n">
        <v>-10.38019823099569</v>
      </c>
      <c r="BF81" s="7" t="n">
        <v>-13.75614457287969</v>
      </c>
      <c r="BG81" s="7" t="n">
        <v>5.842152179923763</v>
      </c>
      <c r="BH81" s="31" t="n">
        <v>0.2764696731101681</v>
      </c>
      <c r="BI81" s="7" t="n">
        <v>-0.3976272725174188</v>
      </c>
      <c r="BJ81" s="7" t="n">
        <v>-0.1961660469777575</v>
      </c>
      <c r="BK81" s="7" t="n">
        <v>-0.4498279495807527</v>
      </c>
      <c r="BL81" s="7" t="n">
        <v>1.039208798906357</v>
      </c>
      <c r="BM81" s="31" t="n">
        <v>4.830058487223187</v>
      </c>
      <c r="BN81" s="7" t="n">
        <v>2.183904971730577</v>
      </c>
      <c r="BO81" s="7" t="n">
        <v>3.701942364625839</v>
      </c>
      <c r="BP81" s="7" t="n">
        <v>3.19140430740226</v>
      </c>
      <c r="BQ81" s="7" t="n">
        <v>50.79334376932566</v>
      </c>
      <c r="BR81" s="31" t="n">
        <v>-4.070351129093332</v>
      </c>
      <c r="BS81" s="7" t="n">
        <v>-4.797534919345949</v>
      </c>
      <c r="BT81" s="7" t="n">
        <v>-4.260984344128204</v>
      </c>
      <c r="BU81" s="8" t="n">
        <v>-8.031460508941258</v>
      </c>
      <c r="BV81" s="9" t="n">
        <v>-17.16501523647312</v>
      </c>
      <c r="BW81" s="31" t="n">
        <v>-5.059748788217231</v>
      </c>
      <c r="BX81" s="7" t="n">
        <v>-3.129262824787003</v>
      </c>
      <c r="BY81" s="7" t="n">
        <v>-1.160447637245081</v>
      </c>
      <c r="BZ81" s="7" t="n">
        <v>-1.137693285820269</v>
      </c>
      <c r="CA81" s="7" t="n">
        <v>4.86406187067117</v>
      </c>
      <c r="CB81" s="31" t="n">
        <v>13.60121675655976</v>
      </c>
      <c r="CC81" s="7" t="n">
        <v>0.741410037780653</v>
      </c>
      <c r="CD81" s="7" t="n">
        <v>9.080850090032659</v>
      </c>
      <c r="CE81" s="8" t="n">
        <v>2.394359569925189</v>
      </c>
    </row>
    <row r="82">
      <c r="A82" s="251" t="n">
        <v>45292</v>
      </c>
      <c r="B82" s="96" t="n">
        <v>0</v>
      </c>
      <c r="C82" s="6" t="n">
        <v>24.20407323451595</v>
      </c>
      <c r="D82" s="31" t="n">
        <v>0.07785161470336277</v>
      </c>
      <c r="E82" s="7" t="n">
        <v>0.573304022355174</v>
      </c>
      <c r="F82" s="7" t="n">
        <v>0.2519420504531418</v>
      </c>
      <c r="G82" s="7" t="n">
        <v>0.5545834575097324</v>
      </c>
      <c r="H82" s="65" t="n">
        <v>29.71073061111512</v>
      </c>
      <c r="I82" s="31" t="n">
        <v>-0.4124489965245175</v>
      </c>
      <c r="J82" s="7" t="n">
        <v>-2.054472425809076</v>
      </c>
      <c r="K82" s="7" t="n">
        <v>-1.156187143155471</v>
      </c>
      <c r="L82" s="7" t="n">
        <v>-2.831973760097906</v>
      </c>
      <c r="M82" s="9" t="n">
        <v>1.342057238401139</v>
      </c>
      <c r="N82" s="7" t="n">
        <v>-5.800396542976159</v>
      </c>
      <c r="O82" s="8" t="n">
        <v>-8.393467129308874</v>
      </c>
      <c r="P82" s="7" t="n">
        <v>67.14999999999999</v>
      </c>
      <c r="Q82" s="31" t="n">
        <v>-5.150000000000006</v>
      </c>
      <c r="R82" s="7" t="n">
        <v>5.424999999999997</v>
      </c>
      <c r="S82" s="7" t="n">
        <v>-0.46875</v>
      </c>
      <c r="T82" s="7" t="n">
        <v>2.995833333333337</v>
      </c>
      <c r="U82" s="9" t="n">
        <v>4.96769417319213</v>
      </c>
      <c r="V82" s="31" t="n">
        <v>-0.1501536975796114</v>
      </c>
      <c r="W82" s="7" t="n">
        <v>-0.1954720427338343</v>
      </c>
      <c r="X82" s="7" t="n">
        <v>-0.2028759603333219</v>
      </c>
      <c r="Y82" s="7" t="n">
        <v>-0.3682863486080592</v>
      </c>
      <c r="Z82" s="9" t="n">
        <v>9.247476439540323</v>
      </c>
      <c r="AA82" s="31" t="n">
        <v>0.5610359769139972</v>
      </c>
      <c r="AB82" s="7" t="n">
        <v>0.1646153840955451</v>
      </c>
      <c r="AC82" s="7" t="n">
        <v>0.4656053047340301</v>
      </c>
      <c r="AD82" s="7" t="n">
        <v>0.1978747825261777</v>
      </c>
      <c r="AE82" s="9" t="n">
        <v>14.4117600936903</v>
      </c>
      <c r="AF82" s="7" t="n">
        <v>4.604990953118772</v>
      </c>
      <c r="AG82" s="8" t="n">
        <v>0.9016062403204993</v>
      </c>
      <c r="AH82" s="60" t="n">
        <v>3.399325303704208</v>
      </c>
      <c r="AI82" s="31" t="n">
        <v>0.5677844461433841</v>
      </c>
      <c r="AJ82" s="7" t="n">
        <v>-0.0524340393933409</v>
      </c>
      <c r="AK82" s="7" t="n">
        <v>0.2158995269840638</v>
      </c>
      <c r="AL82" s="7" t="n">
        <v>-0.08245364239319208</v>
      </c>
      <c r="AM82" s="7" t="n">
        <v>-1.52651496801513</v>
      </c>
      <c r="AN82" s="31" t="n">
        <v>-3.21483114792265</v>
      </c>
      <c r="AO82" s="7" t="n">
        <v>-0.002352252168843605</v>
      </c>
      <c r="AP82" s="7" t="n">
        <v>-1.622855908893102</v>
      </c>
      <c r="AQ82" s="7" t="n">
        <v>-1.892968068421434</v>
      </c>
      <c r="AR82" s="7" t="n">
        <v>35.97437730170776</v>
      </c>
      <c r="AS82" s="31" t="n">
        <v>-1.931175187339782</v>
      </c>
      <c r="AT82" s="7" t="n">
        <v>-0.7950319435712956</v>
      </c>
      <c r="AU82" s="7" t="n">
        <v>-1.283624841179318</v>
      </c>
      <c r="AV82" s="8" t="n">
        <v>-2.192580304050459</v>
      </c>
      <c r="AW82" s="7" t="n">
        <v>37.31607906071514</v>
      </c>
      <c r="AX82" s="31" t="n">
        <v>1.574458237671948</v>
      </c>
      <c r="AY82" s="7" t="n">
        <v>-0.8353258494910669</v>
      </c>
      <c r="AZ82" s="7" t="n">
        <v>0.6258957213736238</v>
      </c>
      <c r="BA82" s="7" t="n">
        <v>-0.5440730762537598</v>
      </c>
      <c r="BB82" s="7" t="n">
        <v>129.8222368011495</v>
      </c>
      <c r="BC82" s="31" t="n">
        <v>-1.682374693504386</v>
      </c>
      <c r="BD82" s="7" t="n">
        <v>-10.38576798645779</v>
      </c>
      <c r="BE82" s="7" t="n">
        <v>-8.528919071831893</v>
      </c>
      <c r="BF82" s="7" t="n">
        <v>-12.49993064264842</v>
      </c>
      <c r="BG82" s="7" t="n">
        <v>5.796840471700463</v>
      </c>
      <c r="BH82" s="31" t="n">
        <v>0.179884840582055</v>
      </c>
      <c r="BI82" s="7" t="n">
        <v>-0.5825806772075146</v>
      </c>
      <c r="BJ82" s="7" t="n">
        <v>-0.1420709370717024</v>
      </c>
      <c r="BK82" s="7" t="n">
        <v>-0.3794593693342678</v>
      </c>
      <c r="BL82" s="7" t="n">
        <v>0.7998734242772609</v>
      </c>
      <c r="BM82" s="31" t="n">
        <v>3.571722080687607</v>
      </c>
      <c r="BN82" s="7" t="n">
        <v>1.768831193013365</v>
      </c>
      <c r="BO82" s="7" t="n">
        <v>2.916630747064099</v>
      </c>
      <c r="BP82" s="7" t="n">
        <v>2.889726090648606</v>
      </c>
      <c r="BQ82" s="7" t="n">
        <v>50.56733336667102</v>
      </c>
      <c r="BR82" s="31" t="n">
        <v>-0.8286745855776587</v>
      </c>
      <c r="BS82" s="7" t="n">
        <v>-3.684490051644449</v>
      </c>
      <c r="BT82" s="7" t="n">
        <v>-3.28761101694635</v>
      </c>
      <c r="BU82" s="8" t="n">
        <v>-6.873794472959389</v>
      </c>
      <c r="BV82" s="9" t="n">
        <v>-12.04213995912945</v>
      </c>
      <c r="BW82" s="31" t="n">
        <v>4.383424966354339</v>
      </c>
      <c r="BX82" s="7" t="n">
        <v>3.251528148429213</v>
      </c>
      <c r="BY82" s="7" t="n">
        <v>4.744743346295339</v>
      </c>
      <c r="BZ82" s="7" t="n">
        <v>3.633918488067712</v>
      </c>
      <c r="CA82" s="7" t="n">
        <v>7.833284510107785</v>
      </c>
      <c r="CB82" s="31" t="n">
        <v>19.46817733771719</v>
      </c>
      <c r="CC82" s="7" t="n">
        <v>3.128528157161802</v>
      </c>
      <c r="CD82" s="7" t="n">
        <v>11.86472022002411</v>
      </c>
      <c r="CE82" s="8" t="n">
        <v>6.639902185707976</v>
      </c>
    </row>
    <row r="83">
      <c r="A83" s="251" t="n">
        <v>45383</v>
      </c>
      <c r="B83" s="96" t="n">
        <v>0</v>
      </c>
      <c r="C83" s="6" t="n">
        <v>23.82273206591881</v>
      </c>
      <c r="D83" s="31" t="n">
        <v>-1.134376414955799</v>
      </c>
      <c r="E83" s="7" t="n">
        <v>0.1364982021998138</v>
      </c>
      <c r="F83" s="7" t="n">
        <v>-0.2727251237327906</v>
      </c>
      <c r="G83" s="7" t="n">
        <v>0.1290509777796487</v>
      </c>
      <c r="H83" s="65" t="n">
        <v>28.76878273752128</v>
      </c>
      <c r="I83" s="31" t="n">
        <v>-0.8366494643848377</v>
      </c>
      <c r="J83" s="7" t="n">
        <v>-2.294436020478523</v>
      </c>
      <c r="K83" s="7" t="n">
        <v>-1.584516910297044</v>
      </c>
      <c r="L83" s="7" t="n">
        <v>-2.995677436412102</v>
      </c>
      <c r="M83" s="9" t="n">
        <v>0.1458173906423781</v>
      </c>
      <c r="N83" s="7" t="n">
        <v>-5.477452814496246</v>
      </c>
      <c r="O83" s="8" t="n">
        <v>-6.852852616278217</v>
      </c>
      <c r="P83" s="7" t="n">
        <v>66.25</v>
      </c>
      <c r="Q83" s="31" t="n">
        <v>-7.799999999999997</v>
      </c>
      <c r="R83" s="7" t="n">
        <v>0.2250000000000085</v>
      </c>
      <c r="S83" s="7" t="n">
        <v>-2.724999999999994</v>
      </c>
      <c r="T83" s="7" t="n">
        <v>1.770833333333329</v>
      </c>
      <c r="U83" s="9" t="n">
        <v>4.921481487317974</v>
      </c>
      <c r="V83" s="31" t="n">
        <v>-0.1271993651038867</v>
      </c>
      <c r="W83" s="7" t="n">
        <v>-0.2323810124618655</v>
      </c>
      <c r="X83" s="7" t="n">
        <v>-0.200220635524019</v>
      </c>
      <c r="Y83" s="7" t="n">
        <v>-0.3369928675504301</v>
      </c>
      <c r="Z83" s="9" t="n">
        <v>9.356729463391448</v>
      </c>
      <c r="AA83" s="31" t="n">
        <v>0.6435504217885342</v>
      </c>
      <c r="AB83" s="7" t="n">
        <v>0.304250706651807</v>
      </c>
      <c r="AC83" s="7" t="n">
        <v>0.5337044825612676</v>
      </c>
      <c r="AD83" s="7" t="n">
        <v>0.3778030886183643</v>
      </c>
      <c r="AE83" s="9" t="n">
        <v>16.16823110794712</v>
      </c>
      <c r="AF83" s="7" t="n">
        <v>10.32607251792268</v>
      </c>
      <c r="AG83" s="8" t="n">
        <v>2.999894514830013</v>
      </c>
      <c r="AH83" s="60" t="n">
        <v>3.613587563197705</v>
      </c>
      <c r="AI83" s="31" t="n">
        <v>0.7222749432555355</v>
      </c>
      <c r="AJ83" s="7" t="n">
        <v>0.05935416181922304</v>
      </c>
      <c r="AK83" s="7" t="n">
        <v>0.4432702963258968</v>
      </c>
      <c r="AL83" s="7" t="n">
        <v>0.2123589187724195</v>
      </c>
      <c r="AM83" s="7" t="n">
        <v>-0.7709571240175196</v>
      </c>
      <c r="AN83" s="31" t="n">
        <v>-0.6002605529784875</v>
      </c>
      <c r="AO83" s="7" t="n">
        <v>-0.4743807293784833</v>
      </c>
      <c r="AP83" s="7" t="n">
        <v>-0.8667100018532805</v>
      </c>
      <c r="AQ83" s="7" t="n">
        <v>-0.773361066370236</v>
      </c>
      <c r="AR83" s="7" t="n">
        <v>34.74431799010271</v>
      </c>
      <c r="AS83" s="31" t="n">
        <v>-1.852659877405124</v>
      </c>
      <c r="AT83" s="7" t="n">
        <v>-1.09306849000864</v>
      </c>
      <c r="AU83" s="7" t="n">
        <v>-2.314926166891546</v>
      </c>
      <c r="AV83" s="8" t="n">
        <v>-2.844734108332808</v>
      </c>
      <c r="AW83" s="7" t="n">
        <v>37.12379662231692</v>
      </c>
      <c r="AX83" s="31" t="n">
        <v>1.034789446647046</v>
      </c>
      <c r="AY83" s="7" t="n">
        <v>-0.4388072933987246</v>
      </c>
      <c r="AZ83" s="7" t="n">
        <v>0.642444745348179</v>
      </c>
      <c r="BA83" s="7" t="n">
        <v>-0.2699586612484239</v>
      </c>
      <c r="BB83" s="7" t="n">
        <v>130.8646979271563</v>
      </c>
      <c r="BC83" s="31" t="n">
        <v>-1.544385711653632</v>
      </c>
      <c r="BD83" s="7" t="n">
        <v>-9.93263980762508</v>
      </c>
      <c r="BE83" s="7" t="n">
        <v>-4.890015949210635</v>
      </c>
      <c r="BF83" s="7" t="n">
        <v>-9.848238018964992</v>
      </c>
      <c r="BG83" s="7" t="n">
        <v>5.720070313118954</v>
      </c>
      <c r="BH83" s="31" t="n">
        <v>0.05088695698842027</v>
      </c>
      <c r="BI83" s="7" t="n">
        <v>-0.3537556278540173</v>
      </c>
      <c r="BJ83" s="7" t="n">
        <v>-0.07319592635133265</v>
      </c>
      <c r="BK83" s="7" t="n">
        <v>-0.3641603292059443</v>
      </c>
      <c r="BL83" s="7" t="n">
        <v>0.6452596245764789</v>
      </c>
      <c r="BM83" s="31" t="n">
        <v>1.575468540547392</v>
      </c>
      <c r="BN83" s="7" t="n">
        <v>2.039964810064623</v>
      </c>
      <c r="BO83" s="7" t="n">
        <v>2.319809149109976</v>
      </c>
      <c r="BP83" s="7" t="n">
        <v>2.621679495140913</v>
      </c>
      <c r="BQ83" s="7" t="n">
        <v>49.51082807980568</v>
      </c>
      <c r="BR83" s="31" t="n">
        <v>0.4705653096904072</v>
      </c>
      <c r="BS83" s="7" t="n">
        <v>-4.723527444818899</v>
      </c>
      <c r="BT83" s="7" t="n">
        <v>-3.422993790900584</v>
      </c>
      <c r="BU83" s="8" t="n">
        <v>-6.466849737893916</v>
      </c>
      <c r="BV83" s="9" t="n">
        <v>-15.78948409336384</v>
      </c>
      <c r="BW83" s="31" t="n">
        <v>-3.716987341790144</v>
      </c>
      <c r="BX83" s="7" t="n">
        <v>3.441464481612797</v>
      </c>
      <c r="BY83" s="7" t="n">
        <v>0.1845171749536494</v>
      </c>
      <c r="BZ83" s="7" t="n">
        <v>-0.514057040406124</v>
      </c>
      <c r="CA83" s="7" t="n">
        <v>10.42847169556409</v>
      </c>
      <c r="CB83" s="31" t="n">
        <v>19.92259944279903</v>
      </c>
      <c r="CC83" s="7" t="n">
        <v>5.812995315489816</v>
      </c>
      <c r="CD83" s="7" t="n">
        <v>13.67777536618997</v>
      </c>
      <c r="CE83" s="8" t="n">
        <v>10.17977824934502</v>
      </c>
    </row>
    <row r="84">
      <c r="A84" s="251" t="n">
        <v>45474</v>
      </c>
      <c r="B84" s="96" t="n">
        <v>0</v>
      </c>
      <c r="C84" s="6" t="n">
        <v>24.37244565544146</v>
      </c>
      <c r="D84" s="31" t="n">
        <v>-0.162112705217961</v>
      </c>
      <c r="E84" s="7" t="n">
        <v>0.2649967347891202</v>
      </c>
      <c r="F84" s="7" t="n">
        <v>0.2428639152399121</v>
      </c>
      <c r="G84" s="7" t="n">
        <v>0.5596675667673985</v>
      </c>
      <c r="H84" s="65" t="n">
        <v>27.52284434680534</v>
      </c>
      <c r="I84" s="31" t="n">
        <v>-2.441104483001087</v>
      </c>
      <c r="J84" s="7" t="n">
        <v>-1.503130387528135</v>
      </c>
      <c r="K84" s="7" t="n">
        <v>-2.25684629589335</v>
      </c>
      <c r="L84" s="7" t="n">
        <v>-3.592157307123646</v>
      </c>
      <c r="M84" s="9" t="n">
        <v>-4.252089034124083</v>
      </c>
      <c r="N84" s="7" t="n">
        <v>-1.255529085750823</v>
      </c>
      <c r="O84" s="8" t="n">
        <v>-6.258977316470312</v>
      </c>
      <c r="P84" s="7" t="n">
        <v>62.84999999999999</v>
      </c>
      <c r="Q84" s="31" t="n">
        <v>-7</v>
      </c>
      <c r="R84" s="7" t="n">
        <v>-2.949999999999996</v>
      </c>
      <c r="S84" s="7" t="n">
        <v>-6.181250000000006</v>
      </c>
      <c r="T84" s="7" t="n">
        <v>-2.233333333333334</v>
      </c>
      <c r="U84" s="9" t="n">
        <v>4.93386060353361</v>
      </c>
      <c r="V84" s="31" t="n">
        <v>-0.08814854373002934</v>
      </c>
      <c r="W84" s="7" t="n">
        <v>-0.1616706784469413</v>
      </c>
      <c r="X84" s="7" t="n">
        <v>-0.1297462661929165</v>
      </c>
      <c r="Y84" s="7" t="n">
        <v>-0.2553465201552543</v>
      </c>
      <c r="Z84" s="9" t="n">
        <v>9.587634969727214</v>
      </c>
      <c r="AA84" s="31" t="n">
        <v>0.6689641880830877</v>
      </c>
      <c r="AB84" s="7" t="n">
        <v>0.521779955092696</v>
      </c>
      <c r="AC84" s="7" t="n">
        <v>0.6885473122340819</v>
      </c>
      <c r="AD84" s="7" t="n">
        <v>0.633920370462473</v>
      </c>
      <c r="AE84" s="9" t="n">
        <v>17.18926307198183</v>
      </c>
      <c r="AF84" s="7" t="n">
        <v>14.1552713789327</v>
      </c>
      <c r="AG84" s="8" t="n">
        <v>4.939895844027736</v>
      </c>
      <c r="AH84" s="60" t="n">
        <v>3.082481696398446</v>
      </c>
      <c r="AI84" s="31" t="n">
        <v>0.08436540411673876</v>
      </c>
      <c r="AJ84" s="7" t="n">
        <v>-0.03807464634139679</v>
      </c>
      <c r="AK84" s="7" t="n">
        <v>-0.1026741109281684</v>
      </c>
      <c r="AL84" s="7" t="n">
        <v>-0.2766196743761746</v>
      </c>
      <c r="AM84" s="7" t="n">
        <v>-1.28757387266136</v>
      </c>
      <c r="AN84" s="31" t="n">
        <v>-0.8771430141018828</v>
      </c>
      <c r="AO84" s="7" t="n">
        <v>-0.9991636146835881</v>
      </c>
      <c r="AP84" s="7" t="n">
        <v>-1.2647315681525</v>
      </c>
      <c r="AQ84" s="7" t="n">
        <v>-1.161224274263548</v>
      </c>
      <c r="AR84" s="7" t="n">
        <v>34.03373542944107</v>
      </c>
      <c r="AS84" s="31" t="n">
        <v>-2.928965558642339</v>
      </c>
      <c r="AT84" s="7" t="n">
        <v>-1.948173744680144</v>
      </c>
      <c r="AU84" s="7" t="n">
        <v>-2.752241605051033</v>
      </c>
      <c r="AV84" s="8" t="n">
        <v>-3.069576173390132</v>
      </c>
      <c r="AW84" s="7" t="n">
        <v>36.50065841595381</v>
      </c>
      <c r="AX84" s="31" t="n">
        <v>-0.2363713400700931</v>
      </c>
      <c r="AY84" s="7" t="n">
        <v>0.329182308501597</v>
      </c>
      <c r="AZ84" s="7" t="n">
        <v>0.1290083623347513</v>
      </c>
      <c r="BA84" s="7" t="n">
        <v>-0.6012902339748933</v>
      </c>
      <c r="BB84" s="7" t="n">
        <v>130.2650706090548</v>
      </c>
      <c r="BC84" s="31" t="n">
        <v>-0.7714474244223197</v>
      </c>
      <c r="BD84" s="7" t="n">
        <v>-8.199175730044416</v>
      </c>
      <c r="BE84" s="7" t="n">
        <v>-3.006483315405802</v>
      </c>
      <c r="BF84" s="7" t="n">
        <v>-8.80075804857961</v>
      </c>
      <c r="BG84" s="7" t="n">
        <v>5.647689620759964</v>
      </c>
      <c r="BH84" s="31" t="n">
        <v>-0.09450806569498749</v>
      </c>
      <c r="BI84" s="7" t="n">
        <v>-0.01892344701681425</v>
      </c>
      <c r="BJ84" s="7" t="n">
        <v>-0.05713771174681792</v>
      </c>
      <c r="BK84" s="7" t="n">
        <v>-0.3643384669130141</v>
      </c>
      <c r="BL84" s="7" t="n">
        <v>1.805530557407619</v>
      </c>
      <c r="BM84" s="31" t="n">
        <v>1.38729903658213</v>
      </c>
      <c r="BN84" s="7" t="n">
        <v>3.265831620716922</v>
      </c>
      <c r="BO84" s="7" t="n">
        <v>2.97008887942496</v>
      </c>
      <c r="BP84" s="7" t="n">
        <v>3.56320809018248</v>
      </c>
      <c r="BQ84" s="7" t="n">
        <v>47.48420886355625</v>
      </c>
      <c r="BR84" s="31" t="n">
        <v>-1.960255492305414</v>
      </c>
      <c r="BS84" s="7" t="n">
        <v>-5.46168801000454</v>
      </c>
      <c r="BT84" s="7" t="n">
        <v>-4.268731145945281</v>
      </c>
      <c r="BU84" s="8" t="n">
        <v>-7.132364052665544</v>
      </c>
      <c r="BV84" s="9" t="n">
        <v>-30.56757326487827</v>
      </c>
      <c r="BW84" s="31" t="n">
        <v>-9.692637078894382</v>
      </c>
      <c r="BX84" s="7" t="n">
        <v>-8.066697840913813</v>
      </c>
      <c r="BY84" s="7" t="n">
        <v>-15.45393811696398</v>
      </c>
      <c r="BZ84" s="7" t="n">
        <v>-15.19291108291472</v>
      </c>
      <c r="CA84" s="7" t="n">
        <v>10.86827197890374</v>
      </c>
      <c r="CB84" s="31" t="n">
        <v>13.65092652472968</v>
      </c>
      <c r="CC84" s="7" t="n">
        <v>7.856849391357635</v>
      </c>
      <c r="CD84" s="7" t="n">
        <v>12.66432682065716</v>
      </c>
      <c r="CE84" s="8" t="n">
        <v>10.98184381314318</v>
      </c>
    </row>
    <row r="85">
      <c r="A85" s="251" t="n">
        <v>45566</v>
      </c>
      <c r="B85" s="96" t="n">
        <v>0</v>
      </c>
      <c r="C85" s="6" t="n">
        <v>24.91031110476397</v>
      </c>
      <c r="D85" s="31" t="n">
        <v>0.9470873011611758</v>
      </c>
      <c r="E85" s="7" t="n">
        <v>0.6620134671994684</v>
      </c>
      <c r="F85" s="7" t="n">
        <v>0.7144801808651344</v>
      </c>
      <c r="G85" s="7" t="n">
        <v>0.9605055335062822</v>
      </c>
      <c r="H85" s="65" t="n">
        <v>27.3393523046839</v>
      </c>
      <c r="I85" s="31" t="n">
        <v>-2.749585506446152</v>
      </c>
      <c r="J85" s="7" t="n">
        <v>-1.054027957962695</v>
      </c>
      <c r="K85" s="7" t="n">
        <v>-2.064555741132761</v>
      </c>
      <c r="L85" s="7" t="n">
        <v>-3.155783475967951</v>
      </c>
      <c r="M85" s="9" t="n">
        <v>-5.54540805126635</v>
      </c>
      <c r="N85" s="7" t="n">
        <v>-0.3333721408555448</v>
      </c>
      <c r="O85" s="8" t="n">
        <v>-4.252560780062747</v>
      </c>
      <c r="P85" s="7" t="n">
        <v>62.59999999999999</v>
      </c>
      <c r="Q85" s="31" t="n">
        <v>-3.699999999999989</v>
      </c>
      <c r="R85" s="7" t="n">
        <v>-2.5</v>
      </c>
      <c r="S85" s="7" t="n">
        <v>-5.693749999999994</v>
      </c>
      <c r="T85" s="7" t="n">
        <v>-3.191666666666663</v>
      </c>
      <c r="U85" s="9" t="n">
        <v>4.979414467849639</v>
      </c>
      <c r="V85" s="31" t="n">
        <v>-0.00844151217913236</v>
      </c>
      <c r="W85" s="7" t="n">
        <v>-0.103334509269482</v>
      </c>
      <c r="X85" s="7" t="n">
        <v>-0.04377473226515249</v>
      </c>
      <c r="Y85" s="7" t="n">
        <v>-0.1545583343891916</v>
      </c>
      <c r="Z85" s="9" t="n">
        <v>9.889251844284079</v>
      </c>
      <c r="AA85" s="31" t="n">
        <v>0.7734830881765618</v>
      </c>
      <c r="AB85" s="7" t="n">
        <v>0.6394452943967517</v>
      </c>
      <c r="AC85" s="7" t="n">
        <v>0.8597191980177747</v>
      </c>
      <c r="AD85" s="7" t="n">
        <v>0.9210487046024145</v>
      </c>
      <c r="AE85" s="9" t="n">
        <v>18.46346155157403</v>
      </c>
      <c r="AF85" s="7" t="n">
        <v>15.51022992156942</v>
      </c>
      <c r="AG85" s="8" t="n">
        <v>6.946210778337748</v>
      </c>
      <c r="AH85" s="60" t="n">
        <v>2.318485914898669</v>
      </c>
      <c r="AI85" s="31" t="n">
        <v>-1.517440287845116</v>
      </c>
      <c r="AJ85" s="7" t="n">
        <v>-0.2171603576013046</v>
      </c>
      <c r="AK85" s="7" t="n">
        <v>-0.8571512308425966</v>
      </c>
      <c r="AL85" s="7" t="n">
        <v>-0.9722546702678083</v>
      </c>
      <c r="AM85" s="7" t="n">
        <v>-1.299882848020691</v>
      </c>
      <c r="AN85" s="31" t="n">
        <v>-0.112300163955525</v>
      </c>
      <c r="AO85" s="7" t="n">
        <v>-1.392128540516401</v>
      </c>
      <c r="AP85" s="7" t="n">
        <v>-1.027249639840935</v>
      </c>
      <c r="AQ85" s="7" t="n">
        <v>-1.050659959289471</v>
      </c>
      <c r="AR85" s="7" t="n">
        <v>34.38939267492756</v>
      </c>
      <c r="AS85" s="31" t="n">
        <v>-1.630782878297744</v>
      </c>
      <c r="AT85" s="7" t="n">
        <v>-1.882119246266658</v>
      </c>
      <c r="AU85" s="7" t="n">
        <v>-1.909540923394509</v>
      </c>
      <c r="AV85" s="8" t="n">
        <v>-2.298163900334245</v>
      </c>
      <c r="AW85" s="7" t="n">
        <v>36.88054509535078</v>
      </c>
      <c r="AX85" s="31" t="n">
        <v>-0.5973830068806762</v>
      </c>
      <c r="AY85" s="7" t="n">
        <v>1.117550002674697</v>
      </c>
      <c r="AZ85" s="7" t="n">
        <v>0.4265994646063191</v>
      </c>
      <c r="BA85" s="7" t="n">
        <v>0.01582669717482332</v>
      </c>
      <c r="BB85" s="7" t="n">
        <v>130.6319657399623</v>
      </c>
      <c r="BC85" s="31" t="n">
        <v>0.4752472904756075</v>
      </c>
      <c r="BD85" s="7" t="n">
        <v>-1.541588620922923</v>
      </c>
      <c r="BE85" s="7" t="n">
        <v>-0.5897942519872572</v>
      </c>
      <c r="BF85" s="7" t="n">
        <v>-6.48503902926322</v>
      </c>
      <c r="BG85" s="7" t="n">
        <v>5.67998757833651</v>
      </c>
      <c r="BH85" s="31" t="n">
        <v>-0.1621646015872527</v>
      </c>
      <c r="BI85" s="7" t="n">
        <v>0.05715253576145773</v>
      </c>
      <c r="BJ85" s="7" t="n">
        <v>-0.02010889241606861</v>
      </c>
      <c r="BK85" s="7" t="n">
        <v>-0.2627872883897648</v>
      </c>
      <c r="BL85" s="7" t="n">
        <v>2.100711374670873</v>
      </c>
      <c r="BM85" s="31" t="n">
        <v>1.061502575764517</v>
      </c>
      <c r="BN85" s="7" t="n">
        <v>2.945780531493852</v>
      </c>
      <c r="BO85" s="7" t="n">
        <v>2.448811791508984</v>
      </c>
      <c r="BP85" s="7" t="n">
        <v>3.518377718053219</v>
      </c>
      <c r="BQ85" s="7" t="n">
        <v>45.32920433867089</v>
      </c>
      <c r="BR85" s="31" t="n">
        <v>-5.464139430654768</v>
      </c>
      <c r="BS85" s="7" t="n">
        <v>-4.76724527987405</v>
      </c>
      <c r="BT85" s="7" t="n">
        <v>-5.058313668329511</v>
      </c>
      <c r="BU85" s="8" t="n">
        <v>-7.9033239102449</v>
      </c>
      <c r="BV85" s="9" t="n">
        <v>2.277276319580499</v>
      </c>
      <c r="BW85" s="31" t="n">
        <v>19.44229155605362</v>
      </c>
      <c r="BX85" s="7" t="n">
        <v>7.191271383918195</v>
      </c>
      <c r="BY85" s="7" t="n">
        <v>19.40758592772325</v>
      </c>
      <c r="BZ85" s="7" t="n">
        <v>19.24400576521958</v>
      </c>
      <c r="CA85" s="7" t="n">
        <v>12.72195549575214</v>
      </c>
      <c r="CB85" s="31" t="n">
        <v>7.857893625080973</v>
      </c>
      <c r="CC85" s="7" t="n">
        <v>10.72955519082037</v>
      </c>
      <c r="CD85" s="7" t="n">
        <v>12.55379798966615</v>
      </c>
      <c r="CE85" s="8" t="n">
        <v>12.7003068040559</v>
      </c>
    </row>
    <row r="86">
      <c r="A86" s="251" t="n">
        <v>45658</v>
      </c>
      <c r="B86" s="96" t="n">
        <v>0</v>
      </c>
      <c r="C86" s="6" t="n">
        <v>23.78573255068372</v>
      </c>
      <c r="D86" s="31" t="n">
        <v>-0.418340683832227</v>
      </c>
      <c r="E86" s="7" t="n">
        <v>-0.1702445345644321</v>
      </c>
      <c r="F86" s="7" t="n">
        <v>-0.575601740014978</v>
      </c>
      <c r="G86" s="7" t="n">
        <v>-0.2914850770781641</v>
      </c>
      <c r="H86" s="65" t="n">
        <v>27.63186241957576</v>
      </c>
      <c r="I86" s="31" t="n">
        <v>-2.07886819153936</v>
      </c>
      <c r="J86" s="7" t="n">
        <v>-1.245658594031939</v>
      </c>
      <c r="K86" s="7" t="n">
        <v>-1.508538636750227</v>
      </c>
      <c r="L86" s="7" t="n">
        <v>-2.391225249948441</v>
      </c>
      <c r="M86" s="9" t="n">
        <v>-1.314440846183516</v>
      </c>
      <c r="N86" s="7" t="n">
        <v>0.0138081961088119</v>
      </c>
      <c r="O86" s="8" t="n">
        <v>-4.305077977378612</v>
      </c>
      <c r="P86" s="7" t="n">
        <v>70.09999999999999</v>
      </c>
      <c r="Q86" s="31" t="n">
        <v>2.950000000000003</v>
      </c>
      <c r="R86" s="7" t="n">
        <v>-1.100000000000001</v>
      </c>
      <c r="S86" s="7" t="n">
        <v>2.431250000000006</v>
      </c>
      <c r="T86" s="7" t="n">
        <v>3.450000000000003</v>
      </c>
      <c r="U86" s="9" t="n">
        <v>5.090178152572367</v>
      </c>
      <c r="V86" s="31" t="n">
        <v>0.1224839793802373</v>
      </c>
      <c r="W86" s="7" t="n">
        <v>-0.01383485909968707</v>
      </c>
      <c r="X86" s="7" t="n">
        <v>0.09282257977494623</v>
      </c>
      <c r="Y86" s="7" t="n">
        <v>-0.007072830769046412</v>
      </c>
      <c r="Z86" s="9" t="n">
        <v>10.13885001760483</v>
      </c>
      <c r="AA86" s="31" t="n">
        <v>0.8913735780645116</v>
      </c>
      <c r="AB86" s="7" t="n">
        <v>0.7262047774892544</v>
      </c>
      <c r="AC86" s="7" t="n">
        <v>0.949456047739341</v>
      </c>
      <c r="AD86" s="7" t="n">
        <v>1.110844867988716</v>
      </c>
      <c r="AE86" s="9" t="n">
        <v>18.80518921606995</v>
      </c>
      <c r="AF86" s="7" t="n">
        <v>16.60847465488013</v>
      </c>
      <c r="AG86" s="8" t="n">
        <v>9.338390374102497</v>
      </c>
      <c r="AH86" s="60" t="n">
        <v>2.588666427703284</v>
      </c>
      <c r="AI86" s="31" t="n">
        <v>-0.8106588760009239</v>
      </c>
      <c r="AJ86" s="7" t="n">
        <v>-0.1214372149287699</v>
      </c>
      <c r="AK86" s="7" t="n">
        <v>-0.5326806286376553</v>
      </c>
      <c r="AL86" s="7" t="n">
        <v>-0.5681074632933978</v>
      </c>
      <c r="AM86" s="7" t="n">
        <v>-1.24198715128342</v>
      </c>
      <c r="AN86" s="31" t="n">
        <v>0.2845278167317102</v>
      </c>
      <c r="AO86" s="7" t="n">
        <v>-1.46515166559547</v>
      </c>
      <c r="AP86" s="7" t="n">
        <v>-0.6213218079745627</v>
      </c>
      <c r="AQ86" s="7" t="n">
        <v>-0.8991370441425091</v>
      </c>
      <c r="AR86" s="7" t="n">
        <v>32.58566705121061</v>
      </c>
      <c r="AS86" s="31" t="n">
        <v>-3.388710250497155</v>
      </c>
      <c r="AT86" s="7" t="n">
        <v>-2.659942718918469</v>
      </c>
      <c r="AU86" s="7" t="n">
        <v>-3.242736735544788</v>
      </c>
      <c r="AV86" s="8" t="n">
        <v>-3.848152993729038</v>
      </c>
      <c r="AW86" s="7" t="n">
        <v>37.51640763556989</v>
      </c>
      <c r="AX86" s="31" t="n">
        <v>0.2003285748547512</v>
      </c>
      <c r="AY86" s="7" t="n">
        <v>0.8873934062633495</v>
      </c>
      <c r="AZ86" s="7" t="n">
        <v>0.7830745041567511</v>
      </c>
      <c r="BA86" s="7" t="n">
        <v>0.7378621431474883</v>
      </c>
      <c r="BB86" s="7" t="n">
        <v>131.2953197909073</v>
      </c>
      <c r="BC86" s="31" t="n">
        <v>1.47308298975787</v>
      </c>
      <c r="BD86" s="7" t="n">
        <v>-0.1046458518732578</v>
      </c>
      <c r="BE86" s="7" t="n">
        <v>0.4589569541885226</v>
      </c>
      <c r="BF86" s="7" t="n">
        <v>-4.404115047523817</v>
      </c>
      <c r="BG86" s="7" t="n">
        <v>5.727189831164835</v>
      </c>
      <c r="BH86" s="31" t="n">
        <v>-0.06965064053562831</v>
      </c>
      <c r="BI86" s="7" t="n">
        <v>0.05511710002321335</v>
      </c>
      <c r="BJ86" s="7" t="n">
        <v>0.0128052264718912</v>
      </c>
      <c r="BK86" s="7" t="n">
        <v>-0.1358001066762657</v>
      </c>
      <c r="BL86" s="7" t="n">
        <v>2.216119201619067</v>
      </c>
      <c r="BM86" s="31" t="n">
        <v>1.416245777341806</v>
      </c>
      <c r="BN86" s="7" t="n">
        <v>2.493983929014707</v>
      </c>
      <c r="BO86" s="7" t="n">
        <v>1.827774485583714</v>
      </c>
      <c r="BP86" s="7" t="n">
        <v>3.181342835065939</v>
      </c>
      <c r="BQ86" s="7" t="n">
        <v>44.96642411047541</v>
      </c>
      <c r="BR86" s="31" t="n">
        <v>-5.600909256195614</v>
      </c>
      <c r="BS86" s="7" t="n">
        <v>-3.214791920886636</v>
      </c>
      <c r="BT86" s="7" t="n">
        <v>-4.229282576556479</v>
      </c>
      <c r="BU86" s="8" t="n">
        <v>-7.011170032661504</v>
      </c>
      <c r="BV86" s="9" t="n">
        <v>-28.56757326487827</v>
      </c>
      <c r="BW86" s="31" t="n">
        <v>-16.52543330574882</v>
      </c>
      <c r="BX86" s="7" t="n">
        <v>-6.07100416969724</v>
      </c>
      <c r="BY86" s="7" t="n">
        <v>-13.23508150271507</v>
      </c>
      <c r="BZ86" s="7" t="n">
        <v>-12.69949097811249</v>
      </c>
      <c r="CA86" s="7" t="n">
        <v>15.45301722281294</v>
      </c>
      <c r="CB86" s="31" t="n">
        <v>7.619732712705155</v>
      </c>
      <c r="CC86" s="7" t="n">
        <v>13.54395502521117</v>
      </c>
      <c r="CD86" s="7" t="n">
        <v>12.60247091902186</v>
      </c>
      <c r="CE86" s="8" t="n">
        <v>14.65297572272984</v>
      </c>
    </row>
    <row r="87">
      <c r="A87" s="252" t="n">
        <v>45748</v>
      </c>
      <c r="B87" t="n">
        <v>0</v>
      </c>
      <c r="C87" s="7" t="n">
        <v>23.7446779284704</v>
      </c>
      <c r="D87" s="7" t="n">
        <v>-0.0780541374484045</v>
      </c>
      <c r="E87" s="7" t="n">
        <v>-0.6062152762021018</v>
      </c>
      <c r="F87" s="7" t="n">
        <v>-0.5740952285871863</v>
      </c>
      <c r="G87" s="7" t="n">
        <v>-0.3932286460313286</v>
      </c>
      <c r="H87" s="7" t="n">
        <v>27.41223833545362</v>
      </c>
      <c r="I87" s="7" t="n">
        <v>-1.356544402067666</v>
      </c>
      <c r="J87" s="7" t="n">
        <v>-1.096596933226252</v>
      </c>
      <c r="K87" s="7" t="n">
        <v>-1.416748072364385</v>
      </c>
      <c r="L87" s="7" t="n">
        <v>-2.095198247140793</v>
      </c>
      <c r="M87" s="7" t="n">
        <v>-1.092030297511201</v>
      </c>
      <c r="N87" s="7" t="n">
        <v>-0.4731064534344114</v>
      </c>
      <c r="O87" s="7" t="n">
        <v>-4.015645308834564</v>
      </c>
      <c r="P87" s="7" t="n">
        <v>80.19999999999999</v>
      </c>
      <c r="Q87" s="7" t="n">
        <v>13.94999999999999</v>
      </c>
      <c r="R87" s="7" t="n">
        <v>3.074999999999996</v>
      </c>
      <c r="S87" s="7" t="n">
        <v>12.80624999999999</v>
      </c>
      <c r="T87" s="7" t="n">
        <v>12.39999999999999</v>
      </c>
      <c r="U87" s="7" t="n">
        <v>5.205074244448545</v>
      </c>
      <c r="V87" s="7" t="n">
        <v>0.2835927571305712</v>
      </c>
      <c r="W87" s="7" t="n">
        <v>0.07819669601334223</v>
      </c>
      <c r="X87" s="7" t="n">
        <v>0.211177386426046</v>
      </c>
      <c r="Y87" s="7" t="n">
        <v>0.1301949366144175</v>
      </c>
      <c r="Z87" s="7" t="n">
        <v>10.2092906595795</v>
      </c>
      <c r="AA87" s="7" t="n">
        <v>0.8525611961880486</v>
      </c>
      <c r="AB87" s="7" t="n">
        <v>0.7480558089882914</v>
      </c>
      <c r="AC87" s="7" t="n">
        <v>0.8383454953416898</v>
      </c>
      <c r="AD87" s="7" t="n">
        <v>1.079568481108746</v>
      </c>
      <c r="AE87" s="7" t="n">
        <v>15.34400900312619</v>
      </c>
      <c r="AF87" s="7" t="n">
        <v>15.75612005553666</v>
      </c>
      <c r="AG87" s="7" t="n">
        <v>11.99871801299052</v>
      </c>
      <c r="AH87" s="7" t="n">
        <v>2.957386604746608</v>
      </c>
      <c r="AI87" s="7" t="n">
        <v>-0.6562009584510977</v>
      </c>
      <c r="AJ87" s="7" t="n">
        <v>0.03303699240221891</v>
      </c>
      <c r="AK87" s="7" t="n">
        <v>-0.1336011478621391</v>
      </c>
      <c r="AL87" s="7" t="n">
        <v>-0.1230933733511064</v>
      </c>
      <c r="AM87" s="7" t="n">
        <v>-1.479954511150374</v>
      </c>
      <c r="AN87" s="7" t="n">
        <v>-0.7089973871328544</v>
      </c>
      <c r="AO87" s="7" t="n">
        <v>-0.6546289700556709</v>
      </c>
      <c r="AP87" s="7" t="n">
        <v>-0.4930012514426496</v>
      </c>
      <c r="AQ87" s="7" t="n">
        <v>-1.160423013375632</v>
      </c>
      <c r="AR87" s="7" t="n">
        <v>31.57150209930859</v>
      </c>
      <c r="AS87" s="7" t="n">
        <v>-3.172815890794119</v>
      </c>
      <c r="AT87" s="7" t="n">
        <v>-2.512737884099622</v>
      </c>
      <c r="AU87" s="7" t="n">
        <v>-3.591916007717188</v>
      </c>
      <c r="AV87" s="7" t="n">
        <v>-4.447420100827749</v>
      </c>
      <c r="AW87" s="7" t="n">
        <v>37.35680705038438</v>
      </c>
      <c r="AX87" s="7" t="n">
        <v>0.2330104280674519</v>
      </c>
      <c r="AY87" s="7" t="n">
        <v>0.6338999373572491</v>
      </c>
      <c r="AZ87" s="7" t="n">
        <v>0.4016255674054037</v>
      </c>
      <c r="BA87" s="7" t="n">
        <v>0.7007884849725983</v>
      </c>
      <c r="BB87" s="7" t="n">
        <v>129.9202685937862</v>
      </c>
      <c r="BC87" s="7" t="n">
        <v>-0.9444293333700671</v>
      </c>
      <c r="BD87" s="7" t="n">
        <v>-1.24440752251185</v>
      </c>
      <c r="BE87" s="7" t="n">
        <v>-0.8899327799642833</v>
      </c>
      <c r="BF87" s="7" t="n">
        <v>-4.170961829381781</v>
      </c>
      <c r="BG87" s="7" t="n">
        <v>5.707688181748543</v>
      </c>
      <c r="BH87" s="7" t="n">
        <v>-0.01238213137041111</v>
      </c>
      <c r="BI87" s="7" t="n">
        <v>0.01925241280900458</v>
      </c>
      <c r="BJ87" s="7" t="n">
        <v>-0.02047569795020454</v>
      </c>
      <c r="BK87" s="7" t="n">
        <v>-0.05240075651333687</v>
      </c>
      <c r="BL87" s="7" t="n">
        <v>2.150198731257895</v>
      </c>
      <c r="BM87" s="7" t="n">
        <v>1.504939106681416</v>
      </c>
      <c r="BN87" s="7" t="n">
        <v>1.540203823614404</v>
      </c>
      <c r="BO87" s="7" t="n">
        <v>1.138358032968866</v>
      </c>
      <c r="BP87" s="7" t="n">
        <v>2.702596684424056</v>
      </c>
      <c r="BQ87" s="7" t="n">
        <v>44.77883626402529</v>
      </c>
      <c r="BR87" s="7" t="n">
        <v>-4.73199181578039</v>
      </c>
      <c r="BS87" s="7" t="n">
        <v>-2.130713253044991</v>
      </c>
      <c r="BT87" s="7" t="n">
        <v>-3.613172442784943</v>
      </c>
      <c r="BU87" s="7" t="n">
        <v>-6.117933765821242</v>
      </c>
      <c r="BV87" s="7" t="n">
        <v>4.277276319580499</v>
      </c>
      <c r="BW87" s="7" t="n">
        <v>20.06676041294434</v>
      </c>
      <c r="BX87" s="7" t="n">
        <v>8.174886535577098</v>
      </c>
      <c r="BY87" s="7" t="n">
        <v>21.127519124168</v>
      </c>
      <c r="BZ87" s="7" t="n">
        <v>20.98055669042048</v>
      </c>
      <c r="CA87" s="7" t="n">
        <v>16.36816220392828</v>
      </c>
      <c r="CB87" s="7" t="n">
        <v>5.939690508364185</v>
      </c>
      <c r="CC87" s="7" t="n">
        <v>12.93114497558161</v>
      </c>
      <c r="CD87" s="7" t="n">
        <v>10.1316271438344</v>
      </c>
      <c r="CE87" s="7" t="n">
        <v>14.41172161825945</v>
      </c>
    </row>
    <row r="88">
      <c r="A88" s="252" t="n">
        <v>45839</v>
      </c>
      <c r="B88" t="n">
        <v>0</v>
      </c>
      <c r="C88" s="7" t="n">
        <v>23.50435464418803</v>
      </c>
      <c r="D88" s="7" t="n">
        <v>-0.868091011253437</v>
      </c>
      <c r="E88" s="7" t="n">
        <v>-0.515101858235699</v>
      </c>
      <c r="F88" s="7" t="n">
        <v>-0.662864693819035</v>
      </c>
      <c r="G88" s="7" t="n">
        <v>-0.649797119226303</v>
      </c>
      <c r="H88" s="7" t="n">
        <v>26.98341045954648</v>
      </c>
      <c r="I88" s="7" t="n">
        <v>-0.5394338872588662</v>
      </c>
      <c r="J88" s="7" t="n">
        <v>-1.490269185129977</v>
      </c>
      <c r="K88" s="7" t="n">
        <v>-1.571426714964961</v>
      </c>
      <c r="L88" s="7" t="n">
        <v>-2.028574752795873</v>
      </c>
      <c r="M88" s="7" t="n">
        <v>-0.3427763147099085</v>
      </c>
      <c r="N88" s="7" t="n">
        <v>-2.297432674416996</v>
      </c>
      <c r="O88" s="7" t="n">
        <v>-0.9512781620705179</v>
      </c>
      <c r="P88" s="7" t="n">
        <v>81.89999999999999</v>
      </c>
      <c r="Q88" s="7" t="n">
        <v>19.05</v>
      </c>
      <c r="R88" s="7" t="n">
        <v>6.024999999999999</v>
      </c>
      <c r="S88" s="7" t="n">
        <v>13.7375</v>
      </c>
      <c r="T88" s="7" t="n">
        <v>12.90000000000001</v>
      </c>
      <c r="U88" s="7" t="n">
        <v>5.198743765099426</v>
      </c>
      <c r="V88" s="7" t="n">
        <v>0.264883161565816</v>
      </c>
      <c r="W88" s="7" t="n">
        <v>0.08836730891789335</v>
      </c>
      <c r="X88" s="7" t="n">
        <v>0.1852977330735914</v>
      </c>
      <c r="Y88" s="7" t="n">
        <v>0.1389618962480617</v>
      </c>
      <c r="Z88" s="7" t="n">
        <v>10.20650479716579</v>
      </c>
      <c r="AA88" s="7" t="n">
        <v>0.6188698274385764</v>
      </c>
      <c r="AB88" s="7" t="n">
        <v>0.643917007760832</v>
      </c>
      <c r="AC88" s="7" t="n">
        <v>0.6485456806809093</v>
      </c>
      <c r="AD88" s="7" t="n">
        <v>0.9550274012374</v>
      </c>
      <c r="AE88" s="7" t="n">
        <v>11.35307689396382</v>
      </c>
      <c r="AF88" s="7" t="n">
        <v>14.27116998297282</v>
      </c>
      <c r="AG88" s="7" t="n">
        <v>13.22120655060974</v>
      </c>
      <c r="AH88" s="7" t="n">
        <v>3.086159430745102</v>
      </c>
      <c r="AI88" s="7" t="n">
        <v>0.003677734346656081</v>
      </c>
      <c r="AJ88" s="7" t="n">
        <v>0.04402156923169742</v>
      </c>
      <c r="AK88" s="7" t="n">
        <v>-0.01308756996419902</v>
      </c>
      <c r="AL88" s="7" t="n">
        <v>0.05047050554844157</v>
      </c>
      <c r="AM88" s="7" t="n">
        <v>-0.9211030586167455</v>
      </c>
      <c r="AN88" s="7" t="n">
        <v>0.3664708140446149</v>
      </c>
      <c r="AO88" s="7" t="n">
        <v>-0.2553361000286339</v>
      </c>
      <c r="AP88" s="7" t="n">
        <v>0.2295074436048967</v>
      </c>
      <c r="AQ88" s="7" t="n">
        <v>-0.4634249903511849</v>
      </c>
      <c r="AR88" s="7" t="n">
        <v>30.68957935201247</v>
      </c>
      <c r="AS88" s="7" t="n">
        <v>-3.344156077428597</v>
      </c>
      <c r="AT88" s="7" t="n">
        <v>-3.136560818035468</v>
      </c>
      <c r="AU88" s="7" t="n">
        <v>-3.845654283988406</v>
      </c>
      <c r="AV88" s="7" t="n">
        <v>-4.882763442222913</v>
      </c>
      <c r="AW88" s="7" t="n">
        <v>36.65409465973379</v>
      </c>
      <c r="AX88" s="7" t="n">
        <v>0.1534362437799714</v>
      </c>
      <c r="AY88" s="7" t="n">
        <v>-0.04146754814506082</v>
      </c>
      <c r="AZ88" s="7" t="n">
        <v>-0.4595618075844996</v>
      </c>
      <c r="BA88" s="7" t="n">
        <v>0.05179310754950706</v>
      </c>
      <c r="BB88" s="7" t="n">
        <v>126.6677553562009</v>
      </c>
      <c r="BC88" s="7" t="n">
        <v>-3.597315252853946</v>
      </c>
      <c r="BD88" s="7" t="n">
        <v>-2.184381338638133</v>
      </c>
      <c r="BE88" s="7" t="n">
        <v>-3.831344136921643</v>
      </c>
      <c r="BF88" s="7" t="n">
        <v>-5.689332654582103</v>
      </c>
      <c r="BG88" s="7" t="n">
        <v>5.656194286096214</v>
      </c>
      <c r="BH88" s="7" t="n">
        <v>0.008504665336250383</v>
      </c>
      <c r="BI88" s="7" t="n">
        <v>-0.04300170017936855</v>
      </c>
      <c r="BJ88" s="7" t="n">
        <v>-0.07678269680478333</v>
      </c>
      <c r="BK88" s="7" t="n">
        <v>-0.04390353657579471</v>
      </c>
      <c r="BL88" s="7" t="n">
        <v>1.396662388683974</v>
      </c>
      <c r="BM88" s="7" t="n">
        <v>-0.4088681687236448</v>
      </c>
      <c r="BN88" s="7" t="n">
        <v>0.4892154339292428</v>
      </c>
      <c r="BO88" s="7" t="n">
        <v>-0.0002292655086555406</v>
      </c>
      <c r="BP88" s="7" t="n">
        <v>1.483654614615914</v>
      </c>
      <c r="BQ88" s="7" t="n">
        <v>42.63973332418223</v>
      </c>
      <c r="BR88" s="7" t="n">
        <v>-4.844475539374024</v>
      </c>
      <c r="BS88" s="7" t="n">
        <v>-3.402365515839719</v>
      </c>
      <c r="BT88" s="7" t="n">
        <v>-5.219597069366756</v>
      </c>
      <c r="BU88" s="7" t="n">
        <v>-7.075449480212775</v>
      </c>
      <c r="BV88" s="7" t="n">
        <v>-26.56757326487827</v>
      </c>
      <c r="BW88" s="7" t="n">
        <v>4</v>
      </c>
      <c r="BX88" s="7" t="n">
        <v>-2.846318539447191</v>
      </c>
      <c r="BY88" s="7" t="n">
        <v>-11.76105209418504</v>
      </c>
      <c r="BZ88" s="7" t="n">
        <v>-12.11010034205245</v>
      </c>
      <c r="CA88" s="7" t="n">
        <v>17.86017802908545</v>
      </c>
      <c r="CB88" s="7" t="n">
        <v>6.991906050181713</v>
      </c>
      <c r="CC88" s="7" t="n">
        <v>10.3214162874557</v>
      </c>
      <c r="CD88" s="7" t="n">
        <v>8.390856725096178</v>
      </c>
      <c r="CE88" s="7" t="n">
        <v>14.43993068180464</v>
      </c>
    </row>
    <row r="89">
      <c r="A89" s="252" t="n">
        <v>45931</v>
      </c>
      <c r="B89" t="n">
        <v>0</v>
      </c>
      <c r="C89" s="7" t="n">
        <v>23.71173402424462</v>
      </c>
      <c r="D89" s="7" t="n">
        <v>-1.198577080519343</v>
      </c>
      <c r="E89" s="7" t="n">
        <v>-0.1257448896790834</v>
      </c>
      <c r="F89" s="7" t="n">
        <v>-0.3267098492035139</v>
      </c>
      <c r="G89" s="7" t="n">
        <v>-0.4142429440301036</v>
      </c>
      <c r="H89" s="7" t="n">
        <v>26.95362417451275</v>
      </c>
      <c r="I89" s="7" t="n">
        <v>-0.3857281301711453</v>
      </c>
      <c r="J89" s="7" t="n">
        <v>-1.567656818308649</v>
      </c>
      <c r="K89" s="7" t="n">
        <v>-1.22864570371619</v>
      </c>
      <c r="L89" s="7" t="n">
        <v>-1.762886482636663</v>
      </c>
      <c r="M89" s="7" t="n">
        <v>-2.099367072292807</v>
      </c>
      <c r="N89" s="7" t="n">
        <v>-3.822387561779578</v>
      </c>
      <c r="O89" s="7" t="n">
        <v>-0.9220371180012989</v>
      </c>
      <c r="P89" s="7" t="n">
        <v>80.19999999999999</v>
      </c>
      <c r="Q89" s="7" t="n">
        <v>17.59999999999999</v>
      </c>
      <c r="R89" s="7" t="n">
        <v>6.950000000000003</v>
      </c>
      <c r="S89" s="7" t="n">
        <v>10.53125</v>
      </c>
      <c r="T89" s="7" t="n">
        <v>10.10416666666667</v>
      </c>
      <c r="U89" s="7" t="n">
        <v>5.162824613376695</v>
      </c>
      <c r="V89" s="7" t="n">
        <v>0.1834101455270556</v>
      </c>
      <c r="W89" s="7" t="n">
        <v>0.08748431667396162</v>
      </c>
      <c r="X89" s="7" t="n">
        <v>0.1272867541213873</v>
      </c>
      <c r="Y89" s="7" t="n">
        <v>0.1079142608026693</v>
      </c>
      <c r="Z89" s="7" t="n">
        <v>10.20633402073208</v>
      </c>
      <c r="AA89" s="7" t="n">
        <v>0.3170821764479985</v>
      </c>
      <c r="AB89" s="7" t="n">
        <v>0.5452826323122801</v>
      </c>
      <c r="AC89" s="7" t="n">
        <v>0.4873956523069882</v>
      </c>
      <c r="AD89" s="7" t="n">
        <v>0.8163208133350235</v>
      </c>
      <c r="AE89" s="7" t="n">
        <v>8.01828852403662</v>
      </c>
      <c r="AF89" s="7" t="n">
        <v>13.24087503780532</v>
      </c>
      <c r="AG89" s="7" t="n">
        <v>13.01291612239182</v>
      </c>
      <c r="AH89" s="7" t="n">
        <v>3.505000900704781</v>
      </c>
      <c r="AI89" s="7" t="n">
        <v>1.186514985806112</v>
      </c>
      <c r="AJ89" s="7" t="n">
        <v>-0.1654626510195021</v>
      </c>
      <c r="AK89" s="7" t="n">
        <v>0.394748507687555</v>
      </c>
      <c r="AL89" s="7" t="n">
        <v>0.4753512720361326</v>
      </c>
      <c r="AM89" s="7" t="n">
        <v>-0.4525716070718397</v>
      </c>
      <c r="AN89" s="7" t="n">
        <v>0.8473112409488517</v>
      </c>
      <c r="AO89" s="7" t="n">
        <v>0.3675055384966633</v>
      </c>
      <c r="AP89" s="7" t="n">
        <v>0.761872920156961</v>
      </c>
      <c r="AQ89" s="7" t="n">
        <v>0.1410944958039343</v>
      </c>
      <c r="AR89" s="7" t="n">
        <v>28.94508769044986</v>
      </c>
      <c r="AS89" s="7" t="n">
        <v>-5.444304984477693</v>
      </c>
      <c r="AT89" s="7" t="n">
        <v>-3.537543931387718</v>
      </c>
      <c r="AU89" s="7" t="n">
        <v>-4.806005741042146</v>
      </c>
      <c r="AV89" s="7" t="n">
        <v>-6.023879806553108</v>
      </c>
      <c r="AW89" s="7" t="n">
        <v>36.66273595703078</v>
      </c>
      <c r="AX89" s="7" t="n">
        <v>-0.2178091383200069</v>
      </c>
      <c r="AY89" s="7" t="n">
        <v>-0.4075960726003416</v>
      </c>
      <c r="AZ89" s="7" t="n">
        <v>-0.4405536232512475</v>
      </c>
      <c r="BA89" s="7" t="n">
        <v>-0.007215666885436178</v>
      </c>
      <c r="BB89" s="7" t="n">
        <v>125.7457270198169</v>
      </c>
      <c r="BC89" s="7" t="n">
        <v>-4.886238720145457</v>
      </c>
      <c r="BD89" s="7" t="n">
        <v>-2.205495714834925</v>
      </c>
      <c r="BE89" s="7" t="n">
        <v>-4.207277138646162</v>
      </c>
      <c r="BF89" s="7" t="n">
        <v>-4.945055431554238</v>
      </c>
      <c r="BG89" s="7" t="n">
        <v>5.621958795882215</v>
      </c>
      <c r="BH89" s="7" t="n">
        <v>-0.05802878245429532</v>
      </c>
      <c r="BI89" s="7" t="n">
        <v>-0.110096692020774</v>
      </c>
      <c r="BJ89" s="7" t="n">
        <v>-0.1002677619739414</v>
      </c>
      <c r="BK89" s="7" t="n">
        <v>-0.07569384106501342</v>
      </c>
      <c r="BL89" s="7" t="n">
        <v>1.219107576777484</v>
      </c>
      <c r="BM89" s="7" t="n">
        <v>-0.8816037978933891</v>
      </c>
      <c r="BN89" s="7" t="n">
        <v>0.08994938893556381</v>
      </c>
      <c r="BO89" s="7" t="n">
        <v>-0.3000879358974562</v>
      </c>
      <c r="BP89" s="7" t="n">
        <v>0.795866879983574</v>
      </c>
      <c r="BQ89" s="7" t="n">
        <v>40.14296377685774</v>
      </c>
      <c r="BR89" s="7" t="n">
        <v>-5.18624056181315</v>
      </c>
      <c r="BS89" s="7" t="n">
        <v>-5.325189996233959</v>
      </c>
      <c r="BT89" s="7" t="n">
        <v>-6.865775237731313</v>
      </c>
      <c r="BU89" s="7" t="n">
        <v>-8.258231397588688</v>
      </c>
      <c r="BV89" s="7" t="n">
        <v>6.277276319580499</v>
      </c>
      <c r="BW89" s="7" t="n">
        <v>4</v>
      </c>
      <c r="BX89" s="7" t="n">
        <v>11.72114577802681</v>
      </c>
      <c r="BY89" s="7" t="n">
        <v>21.79537712513553</v>
      </c>
      <c r="BZ89" s="7" t="n">
        <v>21.74586554922529</v>
      </c>
      <c r="CA89" s="7" t="n">
        <v>18.72578295708975</v>
      </c>
      <c r="CB89" s="7" t="n">
        <v>6.003827461337606</v>
      </c>
      <c r="CC89" s="7" t="n">
        <v>6.930860543209289</v>
      </c>
      <c r="CD89" s="7" t="n">
        <v>6.676107581236549</v>
      </c>
      <c r="CE89" s="7" t="n">
        <v>13.41340187373419</v>
      </c>
    </row>
    <row r="90">
      <c r="A90" s="252" t="n">
        <v>46023</v>
      </c>
      <c r="B90" t="n">
        <v>0</v>
      </c>
      <c r="C90" s="7" t="n">
        <v>24.25933303604922</v>
      </c>
      <c r="D90" s="7" t="n">
        <v>0.4736004853655018</v>
      </c>
      <c r="E90" s="7" t="n">
        <v>0.02762990076663741</v>
      </c>
      <c r="F90" s="7" t="n">
        <v>0.2523253850208498</v>
      </c>
      <c r="G90" s="7" t="n">
        <v>0.1229019132845188</v>
      </c>
      <c r="H90" s="7" t="n">
        <v>27.10485852061795</v>
      </c>
      <c r="I90" s="7" t="n">
        <v>-0.5270038989578083</v>
      </c>
      <c r="J90" s="7" t="n">
        <v>-1.302936045248584</v>
      </c>
      <c r="K90" s="7" t="n">
        <v>-0.685497153033829</v>
      </c>
      <c r="L90" s="7" t="n">
        <v>-1.403836799356753</v>
      </c>
      <c r="M90" s="7" t="n">
        <v>-2.447577062989012</v>
      </c>
      <c r="N90" s="7" t="n">
        <v>-1.881008954586264</v>
      </c>
      <c r="O90" s="7" t="n">
        <v>-0.8066535569237961</v>
      </c>
      <c r="P90" s="7" t="n">
        <v>82.69999999999999</v>
      </c>
      <c r="Q90" s="7" t="n">
        <v>12.59999999999999</v>
      </c>
      <c r="R90" s="7" t="n">
        <v>7.774999999999999</v>
      </c>
      <c r="S90" s="7" t="n">
        <v>11.29375</v>
      </c>
      <c r="T90" s="7" t="n">
        <v>11.55416666666666</v>
      </c>
      <c r="U90" s="7" t="n">
        <v>5.124863698392937</v>
      </c>
      <c r="V90" s="7" t="n">
        <v>0.03468554582056971</v>
      </c>
      <c r="W90" s="7" t="n">
        <v>0.07858476260040348</v>
      </c>
      <c r="X90" s="7" t="n">
        <v>0.06745475996913886</v>
      </c>
      <c r="Y90" s="7" t="n">
        <v>0.07189158523657024</v>
      </c>
      <c r="Z90" s="7" t="n">
        <v>10.18959712474347</v>
      </c>
      <c r="AA90" s="7" t="n">
        <v>0.05074710713863162</v>
      </c>
      <c r="AB90" s="7" t="n">
        <v>0.4710603426015716</v>
      </c>
      <c r="AC90" s="7" t="n">
        <v>0.334338098240309</v>
      </c>
      <c r="AD90" s="7" t="n">
        <v>0.6665861869096208</v>
      </c>
      <c r="AE90" s="7" t="n">
        <v>6.177813865504504</v>
      </c>
      <c r="AF90" s="7" t="n">
        <v>12.49150154078723</v>
      </c>
      <c r="AG90" s="7" t="n">
        <v>13.13158772508825</v>
      </c>
      <c r="AH90" s="7" t="n">
        <v>3.294972675824138</v>
      </c>
      <c r="AI90" s="7" t="n">
        <v>0.7063062481208546</v>
      </c>
      <c r="AJ90" s="7" t="n">
        <v>-0.05217631394003464</v>
      </c>
      <c r="AK90" s="7" t="n">
        <v>0.2260859455617883</v>
      </c>
      <c r="AL90" s="7" t="n">
        <v>0.2026401912718643</v>
      </c>
      <c r="AM90" s="7" t="n">
        <v>-0.3788268824878406</v>
      </c>
      <c r="AN90" s="7" t="n">
        <v>0.8631602687955792</v>
      </c>
      <c r="AO90" s="7" t="n">
        <v>0.5738440427636446</v>
      </c>
      <c r="AP90" s="7" t="n">
        <v>0.7437412601167944</v>
      </c>
      <c r="AQ90" s="7" t="n">
        <v>0.3762513737282625</v>
      </c>
      <c r="AR90" s="7" t="n">
        <v>27.98536747488102</v>
      </c>
      <c r="AS90" s="7" t="n">
        <v>-4.600299576329583</v>
      </c>
      <c r="AT90" s="7" t="n">
        <v>-3.994504913413369</v>
      </c>
      <c r="AU90" s="7" t="n">
        <v>-4.881339973764057</v>
      </c>
      <c r="AV90" s="7" t="n">
        <v>-6.216221399037707</v>
      </c>
      <c r="AW90" s="7" t="n">
        <v>36.83834799144246</v>
      </c>
      <c r="AX90" s="7" t="n">
        <v>-0.6780596441274298</v>
      </c>
      <c r="AY90" s="7" t="n">
        <v>-0.2388655346363393</v>
      </c>
      <c r="AZ90" s="7" t="n">
        <v>-0.1630425706894769</v>
      </c>
      <c r="BA90" s="7" t="n">
        <v>0.0002887952737964383</v>
      </c>
      <c r="BB90" s="7" t="n">
        <v>125.3453744981822</v>
      </c>
      <c r="BC90" s="7" t="n">
        <v>-5.949945292725189</v>
      </c>
      <c r="BD90" s="7" t="n">
        <v>-2.23843115148366</v>
      </c>
      <c r="BE90" s="7" t="n">
        <v>-4.056255731572136</v>
      </c>
      <c r="BF90" s="7" t="n">
        <v>-4.681289956356338</v>
      </c>
      <c r="BG90" s="7" t="n">
        <v>5.654790966184795</v>
      </c>
      <c r="BH90" s="7" t="n">
        <v>-0.07239886498004022</v>
      </c>
      <c r="BI90" s="7" t="n">
        <v>-0.07102475275783426</v>
      </c>
      <c r="BJ90" s="7" t="n">
        <v>-0.03991141866616754</v>
      </c>
      <c r="BK90" s="7" t="n">
        <v>-0.04755136151815176</v>
      </c>
      <c r="BL90" s="7" t="n">
        <v>1.108983271979324</v>
      </c>
      <c r="BM90" s="7" t="n">
        <v>-1.107135929639743</v>
      </c>
      <c r="BN90" s="7" t="n">
        <v>0.1545549238510314</v>
      </c>
      <c r="BO90" s="7" t="n">
        <v>-0.4326995879295079</v>
      </c>
      <c r="BP90" s="7" t="n">
        <v>0.2682461364275538</v>
      </c>
      <c r="BQ90" s="7" t="n">
        <v>38.54368915576775</v>
      </c>
      <c r="BR90" s="7" t="n">
        <v>-6.422734954707657</v>
      </c>
      <c r="BS90" s="7" t="n">
        <v>-6.011822105451635</v>
      </c>
      <c r="BT90" s="7" t="n">
        <v>-7.133752359762816</v>
      </c>
      <c r="BU90" s="7" t="n">
        <v>-8.630778425215233</v>
      </c>
      <c r="BV90" s="7" t="n">
        <v>-24.56757326487827</v>
      </c>
      <c r="BW90" s="7" t="n">
        <v>4</v>
      </c>
      <c r="BX90" s="7" t="n">
        <v>-6.262716652874409</v>
      </c>
      <c r="BY90" s="7" t="n">
        <v>-11.97975890382994</v>
      </c>
      <c r="BZ90" s="7" t="n">
        <v>-10.63086259921985</v>
      </c>
      <c r="CA90" s="7" t="n">
        <v>20.56872443100285</v>
      </c>
      <c r="CB90" s="7" t="n">
        <v>5.115707208189912</v>
      </c>
      <c r="CC90" s="7" t="n">
        <v>6.367719960447534</v>
      </c>
      <c r="CD90" s="7" t="n">
        <v>6.78633391934733</v>
      </c>
      <c r="CE90" s="7" t="n">
        <v>12.96776519406576</v>
      </c>
    </row>
    <row r="91">
      <c r="A91" s="252" t="n">
        <v>46113</v>
      </c>
      <c r="B91" t="n">
        <v>0</v>
      </c>
      <c r="C91" s="7" t="n">
        <v>24.73065639409627</v>
      </c>
      <c r="D91" s="7" t="n">
        <v>0.9859784656258697</v>
      </c>
      <c r="E91" s="7" t="n">
        <v>0.4539621640887326</v>
      </c>
      <c r="F91" s="7" t="n">
        <v>0.7167412678762446</v>
      </c>
      <c r="G91" s="7" t="n">
        <v>0.5831326533118535</v>
      </c>
      <c r="H91" s="7" t="n">
        <v>26.45244387585968</v>
      </c>
      <c r="I91" s="7" t="n">
        <v>-0.9597944595939332</v>
      </c>
      <c r="J91" s="7" t="n">
        <v>-1.158169430830799</v>
      </c>
      <c r="K91" s="7" t="n">
        <v>-1.012177786479953</v>
      </c>
      <c r="L91" s="7" t="n">
        <v>-1.804724686863217</v>
      </c>
      <c r="M91" s="7" t="n">
        <v>-3.46475894312357</v>
      </c>
      <c r="N91" s="7" t="n">
        <v>-2.278394620317385</v>
      </c>
      <c r="O91" s="7" t="n">
        <v>-1.470323949997464</v>
      </c>
      <c r="P91" s="7" t="n">
        <v>83.79999999999998</v>
      </c>
      <c r="Q91" s="7" t="n">
        <v>3.599999999999994</v>
      </c>
      <c r="R91" s="7" t="n">
        <v>8.774999999999991</v>
      </c>
      <c r="S91" s="7" t="n">
        <v>10.44999999999999</v>
      </c>
      <c r="T91" s="7" t="n">
        <v>11.78749999999999</v>
      </c>
      <c r="U91" s="7" t="n">
        <v>5.073047182664842</v>
      </c>
      <c r="V91" s="7" t="n">
        <v>-0.1320270617837025</v>
      </c>
      <c r="W91" s="7" t="n">
        <v>0.07578284767343435</v>
      </c>
      <c r="X91" s="7" t="n">
        <v>-0.004007946409056551</v>
      </c>
      <c r="Y91" s="7" t="n">
        <v>0.01949041720670941</v>
      </c>
      <c r="Z91" s="7" t="n">
        <v>10.1208928527675</v>
      </c>
      <c r="AA91" s="7" t="n">
        <v>-0.08839780681199727</v>
      </c>
      <c r="AB91" s="7" t="n">
        <v>0.3820816946880257</v>
      </c>
      <c r="AC91" s="7" t="n">
        <v>0.1478687406139496</v>
      </c>
      <c r="AD91" s="7" t="n">
        <v>0.4726188597572261</v>
      </c>
      <c r="AE91" s="7" t="n">
        <v>7.168201916525049</v>
      </c>
      <c r="AF91" s="7" t="n">
        <v>11.25610545982562</v>
      </c>
      <c r="AG91" s="7" t="n">
        <v>12.89348067586612</v>
      </c>
      <c r="AH91" s="7" t="n">
        <v>5.195704711844545</v>
      </c>
      <c r="AI91" s="7" t="n">
        <v>2.238318107097938</v>
      </c>
      <c r="AJ91" s="7" t="n">
        <v>0.79105857432342</v>
      </c>
      <c r="AK91" s="7" t="n">
        <v>2.139862060067204</v>
      </c>
      <c r="AL91" s="7" t="n">
        <v>2.064752909103662</v>
      </c>
      <c r="AM91" s="7" t="n">
        <v>-1.643900980478438</v>
      </c>
      <c r="AN91" s="7" t="n">
        <v>-0.1639464693280639</v>
      </c>
      <c r="AO91" s="7" t="n">
        <v>-0.4364719282304592</v>
      </c>
      <c r="AP91" s="7" t="n">
        <v>-0.6647938485647142</v>
      </c>
      <c r="AQ91" s="7" t="n">
        <v>-0.7165608023960548</v>
      </c>
      <c r="AR91" s="7" t="n">
        <v>25.57998400372729</v>
      </c>
      <c r="AS91" s="7" t="n">
        <v>-5.991518095581302</v>
      </c>
      <c r="AT91" s="7" t="n">
        <v>-4.582166993187711</v>
      </c>
      <c r="AU91" s="7" t="n">
        <v>-6.288097216564449</v>
      </c>
      <c r="AV91" s="7" t="n">
        <v>-7.79492278567756</v>
      </c>
      <c r="AW91" s="7" t="n">
        <v>36.39851660690344</v>
      </c>
      <c r="AX91" s="7" t="n">
        <v>-0.9582904434809336</v>
      </c>
      <c r="AY91" s="7" t="n">
        <v>-0.3626400077067409</v>
      </c>
      <c r="AZ91" s="7" t="n">
        <v>-0.5431575715694095</v>
      </c>
      <c r="BA91" s="7" t="n">
        <v>-0.5309365199651594</v>
      </c>
      <c r="BB91" s="7" t="n">
        <v>124.5123601194695</v>
      </c>
      <c r="BC91" s="7" t="n">
        <v>-5.407908474316699</v>
      </c>
      <c r="BD91" s="7" t="n">
        <v>-3.176168903843383</v>
      </c>
      <c r="BE91" s="7" t="n">
        <v>-4.329662322413824</v>
      </c>
      <c r="BF91" s="7" t="n">
        <v>-5.001034585362973</v>
      </c>
      <c r="BG91" s="7" t="n">
        <v>5.71622891001967</v>
      </c>
      <c r="BH91" s="7" t="n">
        <v>0.00854072827112784</v>
      </c>
      <c r="BI91" s="7" t="n">
        <v>-0.001920701549641635</v>
      </c>
      <c r="BJ91" s="7" t="n">
        <v>0.03928271335816635</v>
      </c>
      <c r="BK91" s="7" t="n">
        <v>0.01073363772785818</v>
      </c>
      <c r="BL91" s="7" t="n">
        <v>1.207451782667137</v>
      </c>
      <c r="BM91" s="7" t="n">
        <v>-0.9427469485907576</v>
      </c>
      <c r="BN91" s="7" t="n">
        <v>0.2810960790453291</v>
      </c>
      <c r="BO91" s="7" t="n">
        <v>-0.3728698082044521</v>
      </c>
      <c r="BP91" s="7" t="n">
        <v>0.04331198641622813</v>
      </c>
      <c r="BQ91" s="7" t="n">
        <v>35.21888428128971</v>
      </c>
      <c r="BR91" s="7" t="n">
        <v>-9.559951982735576</v>
      </c>
      <c r="BS91" s="7" t="n">
        <v>-7.145971899257983</v>
      </c>
      <c r="BT91" s="7" t="n">
        <v>-8.955601707877946</v>
      </c>
      <c r="BU91" s="7" t="n">
        <v>-10.88455673331985</v>
      </c>
      <c r="BV91" s="7" t="n">
        <v>8.277276319580499</v>
      </c>
      <c r="BW91" s="7" t="n">
        <v>4</v>
      </c>
      <c r="BX91" s="7" t="n">
        <v>12.03338020647217</v>
      </c>
      <c r="BY91" s="7" t="n">
        <v>22.43076984384743</v>
      </c>
      <c r="BZ91" s="7" t="n">
        <v>22.89248768018846</v>
      </c>
      <c r="CA91" s="7" t="n">
        <v>24.04563351911397</v>
      </c>
      <c r="CB91" s="7" t="n">
        <v>7.677471315185695</v>
      </c>
      <c r="CC91" s="7" t="n">
        <v>6.80858091177494</v>
      </c>
      <c r="CD91" s="7" t="n">
        <v>8.671313017346568</v>
      </c>
      <c r="CE91" s="7" t="n">
        <v>13.76103951062586</v>
      </c>
    </row>
  </sheetData>
  <mergeCells count="23">
    <mergeCell ref="AE2:AG2"/>
    <mergeCell ref="C1:T1"/>
    <mergeCell ref="AM2:AQ2"/>
    <mergeCell ref="AW2:BA2"/>
    <mergeCell ref="AH1:AV1"/>
    <mergeCell ref="U1:AG1"/>
    <mergeCell ref="U2:Y2"/>
    <mergeCell ref="AW1:BK1"/>
    <mergeCell ref="P2:T2"/>
    <mergeCell ref="CA2:CE2"/>
    <mergeCell ref="H2:L2"/>
    <mergeCell ref="BV1:CE1"/>
    <mergeCell ref="BL1:BU1"/>
    <mergeCell ref="C2:G2"/>
    <mergeCell ref="Z2:AD2"/>
    <mergeCell ref="BV2:BZ2"/>
    <mergeCell ref="BG2:BK2"/>
    <mergeCell ref="BQ2:BU2"/>
    <mergeCell ref="AH2:AL2"/>
    <mergeCell ref="AR2:AV2"/>
    <mergeCell ref="BB2:BF2"/>
    <mergeCell ref="BL2:BP2"/>
    <mergeCell ref="M2:O2"/>
  </mergeCells>
  <pageMargins left="0.7" right="0.7" top="0.75" bottom="0.75" header="0.3" footer="0.3"/>
  <pageSetup orientation="portrait" paperSize="9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E91"/>
  <sheetViews>
    <sheetView zoomScale="90" zoomScaleNormal="90" workbookViewId="0">
      <pane xSplit="2" ySplit="5" topLeftCell="C67" activePane="bottomRight" state="frozen"/>
      <selection activeCell="AU15" sqref="AU15"/>
      <selection pane="topRight" activeCell="AU15" sqref="AU15"/>
      <selection pane="bottomLeft" activeCell="AU15" sqref="AU15"/>
      <selection pane="bottomRight" activeCell="C88" sqref="C88:G91"/>
    </sheetView>
  </sheetViews>
  <sheetFormatPr baseColWidth="8" defaultRowHeight="15"/>
  <cols>
    <col width="10.5703125" customWidth="1" style="165" min="1" max="1"/>
    <col width="10.5703125" customWidth="1" style="214" min="2" max="2"/>
    <col width="9" customWidth="1" style="239" min="3" max="3"/>
    <col width="8.5703125" customWidth="1" style="32" min="4" max="4"/>
    <col width="9.42578125" customWidth="1" style="214" min="5" max="5"/>
    <col width="8.5703125" customWidth="1" style="214" min="6" max="6"/>
    <col width="8.28515625" customWidth="1" style="214" min="7" max="12"/>
    <col width="8.28515625" customWidth="1" style="239" min="13" max="13"/>
    <col width="8.28515625" customWidth="1" style="214" min="14" max="15"/>
    <col width="9.28515625" customWidth="1" style="214" min="16" max="16"/>
    <col width="8.5703125" customWidth="1" style="214" min="17" max="17"/>
    <col width="9.28515625" customWidth="1" style="214" min="18" max="18"/>
    <col width="8.5703125" customWidth="1" style="214" min="19" max="19"/>
    <col width="9.42578125" customWidth="1" style="190" min="20" max="20"/>
    <col width="10.5703125" customWidth="1" style="239" min="21" max="21"/>
    <col width="10.5703125" customWidth="1" style="214" min="22" max="30"/>
    <col width="10.5703125" customWidth="1" style="239" min="31" max="31"/>
    <col width="10.5703125" customWidth="1" style="214" min="32" max="67"/>
    <col width="10.5703125" customWidth="1" style="190" min="68" max="68"/>
  </cols>
  <sheetData>
    <row r="1">
      <c r="B1" s="182" t="inlineStr">
        <is>
          <t>Binary</t>
        </is>
      </c>
      <c r="C1" s="215" t="inlineStr">
        <is>
          <t>Corporate</t>
        </is>
      </c>
      <c r="D1" s="204" t="n"/>
      <c r="E1" s="204" t="n"/>
      <c r="F1" s="204" t="n"/>
      <c r="G1" s="204" t="n"/>
      <c r="H1" s="204" t="n"/>
      <c r="I1" s="204" t="n"/>
      <c r="J1" s="204" t="n"/>
      <c r="K1" s="204" t="n"/>
      <c r="L1" s="204" t="n"/>
      <c r="M1" s="204" t="n"/>
      <c r="N1" s="204" t="n"/>
      <c r="O1" s="204" t="n"/>
      <c r="P1" s="204" t="n"/>
      <c r="Q1" s="204" t="n"/>
      <c r="R1" s="204" t="n"/>
      <c r="S1" s="204" t="n"/>
      <c r="T1" s="204" t="n"/>
      <c r="U1" s="218" t="inlineStr">
        <is>
          <t>Households</t>
        </is>
      </c>
      <c r="V1" s="182" t="n"/>
      <c r="W1" s="182" t="n"/>
      <c r="X1" s="182" t="n"/>
      <c r="Y1" s="182" t="n"/>
      <c r="Z1" s="182" t="n"/>
      <c r="AA1" s="182" t="n"/>
      <c r="AB1" s="182" t="n"/>
      <c r="AC1" s="182" t="n"/>
      <c r="AD1" s="182" t="n"/>
      <c r="AE1" s="182" t="n"/>
      <c r="AF1" s="182" t="n"/>
      <c r="AG1" s="182" t="n"/>
      <c r="AH1" s="203" t="inlineStr">
        <is>
          <t>Government</t>
        </is>
      </c>
      <c r="AI1" s="204" t="n"/>
      <c r="AJ1" s="204" t="n"/>
      <c r="AK1" s="204" t="n"/>
      <c r="AL1" s="204" t="n"/>
      <c r="AM1" s="204" t="n"/>
      <c r="AN1" s="204" t="n"/>
      <c r="AO1" s="204" t="n"/>
      <c r="AP1" s="204" t="n"/>
      <c r="AQ1" s="204" t="n"/>
      <c r="AR1" s="204" t="n"/>
      <c r="AS1" s="204" t="n"/>
      <c r="AT1" s="204" t="n"/>
      <c r="AU1" s="204" t="n"/>
      <c r="AV1" s="205" t="n"/>
      <c r="AW1" s="207" t="inlineStr">
        <is>
          <t>Banking</t>
        </is>
      </c>
      <c r="AX1" s="204" t="n"/>
      <c r="AY1" s="204" t="n"/>
      <c r="AZ1" s="204" t="n"/>
      <c r="BA1" s="204" t="n"/>
      <c r="BB1" s="204" t="n"/>
      <c r="BC1" s="204" t="n"/>
      <c r="BD1" s="204" t="n"/>
      <c r="BE1" s="204" t="n"/>
      <c r="BF1" s="204" t="n"/>
      <c r="BG1" s="204" t="n"/>
      <c r="BH1" s="204" t="n"/>
      <c r="BI1" s="204" t="n"/>
      <c r="BJ1" s="204" t="n"/>
      <c r="BK1" s="204" t="n"/>
      <c r="BL1" s="223" t="inlineStr">
        <is>
          <t>External</t>
        </is>
      </c>
      <c r="BU1" s="190" t="n"/>
      <c r="BV1" s="223" t="inlineStr">
        <is>
          <t>Недвижимость</t>
        </is>
      </c>
      <c r="CE1" s="190" t="n"/>
    </row>
    <row r="2" ht="25.5" customHeight="1" s="214">
      <c r="A2" s="166" t="n"/>
      <c r="B2" s="79" t="inlineStr">
        <is>
          <t>Binary</t>
        </is>
      </c>
      <c r="C2" s="219" t="inlineStr">
        <is>
          <t>Debt service ratio, %</t>
        </is>
      </c>
      <c r="D2" s="204" t="n"/>
      <c r="E2" s="204" t="n"/>
      <c r="F2" s="204" t="n"/>
      <c r="G2" s="205" t="n"/>
      <c r="H2" s="222" t="inlineStr">
        <is>
          <t xml:space="preserve">All Debt to GDP ratio, % </t>
        </is>
      </c>
      <c r="I2" s="204" t="n"/>
      <c r="J2" s="204" t="n"/>
      <c r="K2" s="204" t="n"/>
      <c r="L2" s="204" t="n"/>
      <c r="M2" s="213" t="inlineStr">
        <is>
          <t>Прирост реального кредита банков ЮЛ (дефлятор ВВП 2018=1)</t>
        </is>
      </c>
      <c r="O2" s="190" t="n"/>
      <c r="P2" s="220" t="inlineStr">
        <is>
          <t>Складские запасы в промышленности к среднемесячному ОПП, %</t>
        </is>
      </c>
      <c r="T2" s="190" t="n"/>
      <c r="U2" s="219" t="inlineStr">
        <is>
          <t>Debt_service ratio</t>
        </is>
      </c>
      <c r="V2" s="204" t="n"/>
      <c r="W2" s="204" t="n"/>
      <c r="X2" s="204" t="n"/>
      <c r="Y2" s="205" t="n"/>
      <c r="Z2" s="222" t="inlineStr">
        <is>
          <t>Кредит ФЛ к ВВП</t>
        </is>
      </c>
      <c r="AA2" s="204" t="n"/>
      <c r="AB2" s="204" t="n"/>
      <c r="AC2" s="204" t="n"/>
      <c r="AD2" s="204" t="n"/>
      <c r="AE2" s="213" t="inlineStr">
        <is>
          <t>Прирост реального кредита банков ФЛ (ИПЦ 2018=1)</t>
        </is>
      </c>
      <c r="AG2" s="190" t="n"/>
      <c r="AH2" s="225" t="inlineStr">
        <is>
          <t>Обслуживание внешнего долга органов государственного управления к ВВП, %</t>
        </is>
      </c>
      <c r="AI2" s="204" t="n"/>
      <c r="AJ2" s="204" t="n"/>
      <c r="AK2" s="204" t="n"/>
      <c r="AL2" s="205" t="n"/>
      <c r="AM2" s="217" t="inlineStr">
        <is>
          <t>Отношение сальдо консолидированного бюджета к ВВП, %</t>
        </is>
      </c>
      <c r="AQ2" s="190" t="n"/>
      <c r="AR2" s="220" t="inlineStr">
        <is>
          <t>Долг сектора государственного управления к ВВП, % (внешний + внутренний)</t>
        </is>
      </c>
      <c r="AV2" s="190" t="n"/>
      <c r="AW2" s="216" t="inlineStr">
        <is>
          <t xml:space="preserve">Требования банков к экономике к ВВП, % </t>
        </is>
      </c>
      <c r="BB2" s="216" t="inlineStr">
        <is>
          <t xml:space="preserve">Требования банков к депозитам, % </t>
        </is>
      </c>
      <c r="BG2" s="224" t="inlineStr">
        <is>
          <t>Леверидж (активы к собственному капиталу), раз</t>
        </is>
      </c>
      <c r="BK2" s="190" t="n"/>
      <c r="BL2" s="226" t="inlineStr">
        <is>
          <t>Счет текущих операций за год, в % к ВВП</t>
        </is>
      </c>
      <c r="BP2" s="190" t="n"/>
      <c r="BQ2" s="224" t="inlineStr">
        <is>
          <t>Валовый внешний долг к ВВП</t>
        </is>
      </c>
      <c r="BU2" s="190" t="n"/>
      <c r="BV2" s="221" t="inlineStr">
        <is>
          <t>Логарифм цен на коммерческую недвижимость, скорректированных на дефлятор ВВП, *100</t>
        </is>
      </c>
      <c r="BZ2" s="190" t="n"/>
      <c r="CA2" s="221" t="inlineStr">
        <is>
          <t>Логарифм цен на жилую недвижимость, скорректированных на ИПЦ</t>
        </is>
      </c>
      <c r="CE2" s="190" t="n"/>
    </row>
    <row r="3" ht="4.35" customHeight="1" s="214">
      <c r="A3" s="167" t="n"/>
      <c r="B3" s="80" t="n"/>
      <c r="C3" s="80" t="n"/>
      <c r="D3" s="80" t="n"/>
      <c r="E3" s="80" t="n"/>
      <c r="F3" s="80" t="n"/>
      <c r="G3" s="80" t="n"/>
      <c r="H3" s="80" t="n"/>
      <c r="I3" s="80" t="n"/>
      <c r="J3" s="80" t="n"/>
      <c r="K3" s="80" t="n"/>
      <c r="L3" s="80" t="n"/>
      <c r="M3" s="80" t="n"/>
      <c r="N3" s="80" t="n"/>
      <c r="O3" s="80" t="n"/>
      <c r="P3" s="80" t="n"/>
      <c r="Q3" s="80" t="n"/>
      <c r="R3" s="80" t="n"/>
      <c r="S3" s="80" t="n"/>
      <c r="T3" s="80" t="n"/>
      <c r="U3" s="80" t="n"/>
      <c r="V3" s="80" t="n"/>
      <c r="W3" s="80" t="n"/>
      <c r="X3" s="80" t="n"/>
      <c r="Y3" s="80" t="n"/>
      <c r="Z3" s="80" t="n"/>
      <c r="AA3" s="80" t="n"/>
      <c r="AB3" s="80" t="n"/>
      <c r="AC3" s="80" t="n"/>
      <c r="AD3" s="80" t="n"/>
      <c r="AE3" s="80" t="n"/>
      <c r="AF3" s="80" t="n"/>
      <c r="AG3" s="80" t="n"/>
      <c r="AH3" s="80" t="n"/>
      <c r="AI3" s="80" t="n"/>
      <c r="AJ3" s="80" t="n"/>
      <c r="AK3" s="80" t="n"/>
      <c r="AL3" s="80" t="n"/>
      <c r="AM3" s="80" t="n"/>
      <c r="AN3" s="80" t="n"/>
      <c r="AO3" s="80" t="n"/>
      <c r="AP3" s="80" t="n"/>
      <c r="AQ3" s="80" t="n"/>
      <c r="AR3" s="80" t="n"/>
      <c r="AS3" s="80" t="n"/>
      <c r="AT3" s="80" t="n"/>
      <c r="AU3" s="80" t="n"/>
      <c r="AV3" s="80" t="n"/>
      <c r="AW3" s="80" t="n"/>
      <c r="AX3" s="80" t="n"/>
      <c r="AY3" s="80" t="n"/>
      <c r="AZ3" s="80" t="n"/>
      <c r="BA3" s="80" t="n"/>
      <c r="BB3" s="80" t="n"/>
      <c r="BC3" s="80" t="n"/>
      <c r="BD3" s="80" t="n"/>
      <c r="BE3" s="80" t="n"/>
      <c r="BF3" s="80" t="n"/>
      <c r="BG3" s="80" t="n"/>
      <c r="BH3" s="80" t="n"/>
      <c r="BI3" s="80" t="n"/>
      <c r="BJ3" s="80" t="n"/>
      <c r="BK3" s="80" t="n"/>
      <c r="BL3" s="80" t="n"/>
      <c r="BM3" s="80" t="n"/>
      <c r="BN3" s="80" t="n"/>
      <c r="BO3" s="80" t="n"/>
      <c r="BP3" s="80" t="n"/>
      <c r="BQ3" s="80" t="n"/>
      <c r="BR3" s="80" t="n"/>
      <c r="BS3" s="80" t="n"/>
      <c r="BT3" s="80" t="n"/>
      <c r="BU3" s="80" t="n"/>
      <c r="BV3" s="80" t="n"/>
      <c r="BW3" s="80" t="n"/>
      <c r="BX3" s="80" t="n"/>
      <c r="BY3" s="80" t="n"/>
      <c r="BZ3" s="80" t="n"/>
      <c r="CA3" s="80" t="n"/>
      <c r="CB3" s="80" t="n"/>
      <c r="CC3" s="80" t="n"/>
      <c r="CD3" s="80" t="n"/>
      <c r="CE3" s="80" t="n"/>
    </row>
    <row r="4" ht="5.85" customHeight="1" s="214">
      <c r="A4" s="167" t="n"/>
      <c r="B4" s="80" t="n"/>
      <c r="C4" s="80" t="n"/>
      <c r="D4" s="80" t="n"/>
      <c r="E4" s="80" t="n"/>
      <c r="F4" s="80" t="n"/>
      <c r="G4" s="80" t="n"/>
      <c r="H4" s="80" t="n"/>
      <c r="I4" s="80" t="n"/>
      <c r="J4" s="80" t="n"/>
      <c r="K4" s="80" t="n"/>
      <c r="L4" s="80" t="n"/>
      <c r="M4" s="80" t="n"/>
      <c r="N4" s="80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  <c r="AA4" s="80" t="n"/>
      <c r="AB4" s="80" t="n"/>
      <c r="AC4" s="80" t="n"/>
      <c r="AD4" s="80" t="n"/>
      <c r="AE4" s="80" t="n"/>
      <c r="AF4" s="80" t="n"/>
      <c r="AG4" s="80" t="n"/>
      <c r="AH4" s="80" t="n"/>
      <c r="AI4" s="80" t="n"/>
      <c r="AJ4" s="80" t="n"/>
      <c r="AK4" s="80" t="n"/>
      <c r="AL4" s="80" t="n"/>
      <c r="AM4" s="80" t="n"/>
      <c r="AN4" s="80" t="n"/>
      <c r="AO4" s="80" t="n"/>
      <c r="AP4" s="80" t="n"/>
      <c r="AQ4" s="80" t="n"/>
      <c r="AR4" s="80" t="n"/>
      <c r="AS4" s="80" t="n"/>
      <c r="AT4" s="80" t="n"/>
      <c r="AU4" s="80" t="n"/>
      <c r="AV4" s="80" t="n"/>
      <c r="AW4" s="80" t="n"/>
      <c r="AX4" s="80" t="n"/>
      <c r="AY4" s="80" t="n"/>
      <c r="AZ4" s="80" t="n"/>
      <c r="BA4" s="80" t="n"/>
      <c r="BB4" s="80" t="n"/>
      <c r="BC4" s="80" t="n"/>
      <c r="BD4" s="80" t="n"/>
      <c r="BE4" s="80" t="n"/>
      <c r="BF4" s="80" t="n"/>
      <c r="BG4" s="80" t="n"/>
      <c r="BH4" s="80" t="n"/>
      <c r="BI4" s="80" t="n"/>
      <c r="BJ4" s="80" t="n"/>
      <c r="BK4" s="80" t="n"/>
      <c r="BL4" s="80" t="n"/>
      <c r="BM4" s="80" t="n"/>
      <c r="BN4" s="80" t="n"/>
      <c r="BO4" s="80" t="n"/>
      <c r="BP4" s="80" t="n"/>
      <c r="BQ4" s="80" t="n"/>
      <c r="BR4" s="80" t="n"/>
      <c r="BS4" s="80" t="n"/>
      <c r="BT4" s="80" t="n"/>
      <c r="BU4" s="80" t="n"/>
      <c r="BV4" s="80" t="n"/>
      <c r="BW4" s="80" t="n"/>
      <c r="BX4" s="80" t="n"/>
      <c r="BY4" s="80" t="n"/>
      <c r="BZ4" s="80" t="n"/>
      <c r="CA4" s="80" t="n"/>
      <c r="CB4" s="80" t="n"/>
      <c r="CC4" s="80" t="n"/>
      <c r="CD4" s="80" t="n"/>
      <c r="CE4" s="80" t="n"/>
    </row>
    <row r="5">
      <c r="A5" s="163" t="inlineStr">
        <is>
          <t>Date</t>
        </is>
      </c>
      <c r="B5" s="122" t="inlineStr">
        <is>
          <t>bnr</t>
        </is>
      </c>
      <c r="C5" s="122" t="inlineStr">
        <is>
          <t>dsr</t>
        </is>
      </c>
      <c r="D5" s="122" t="inlineStr">
        <is>
          <t>dsr1</t>
        </is>
      </c>
      <c r="E5" s="122" t="inlineStr">
        <is>
          <t>dsr2</t>
        </is>
      </c>
      <c r="F5" s="122" t="inlineStr">
        <is>
          <t>dsr_av2</t>
        </is>
      </c>
      <c r="G5" s="122" t="inlineStr">
        <is>
          <t>dsr_av3</t>
        </is>
      </c>
      <c r="H5" s="122" t="inlineStr">
        <is>
          <t>ggr</t>
        </is>
      </c>
      <c r="I5" s="122" t="inlineStr">
        <is>
          <t>ggr1</t>
        </is>
      </c>
      <c r="J5" s="122" t="inlineStr">
        <is>
          <t>ggr2</t>
        </is>
      </c>
      <c r="K5" s="122" t="inlineStr">
        <is>
          <t>ggr_av2</t>
        </is>
      </c>
      <c r="L5" s="122" t="inlineStr">
        <is>
          <t>ggr_av3</t>
        </is>
      </c>
      <c r="M5" s="122" t="inlineStr">
        <is>
          <t>rcgr_c1</t>
        </is>
      </c>
      <c r="N5" s="122" t="inlineStr">
        <is>
          <t>rcgr_c2</t>
        </is>
      </c>
      <c r="O5" s="122" t="inlineStr">
        <is>
          <t>rcgr_c3</t>
        </is>
      </c>
      <c r="P5" s="122" t="inlineStr">
        <is>
          <t>invr</t>
        </is>
      </c>
      <c r="Q5" s="122" t="inlineStr">
        <is>
          <t>invr1</t>
        </is>
      </c>
      <c r="R5" s="122" t="inlineStr">
        <is>
          <t>invr2</t>
        </is>
      </c>
      <c r="S5" s="122" t="inlineStr">
        <is>
          <t>invr_av2</t>
        </is>
      </c>
      <c r="T5" s="122" t="inlineStr">
        <is>
          <t>invr_av3</t>
        </is>
      </c>
      <c r="U5" s="122" t="inlineStr">
        <is>
          <t>d_srv</t>
        </is>
      </c>
      <c r="V5" s="122" t="inlineStr">
        <is>
          <t>d_srv1</t>
        </is>
      </c>
      <c r="W5" s="122" t="inlineStr">
        <is>
          <t>d_srv2</t>
        </is>
      </c>
      <c r="X5" s="122" t="inlineStr">
        <is>
          <t>d_srv_av2</t>
        </is>
      </c>
      <c r="Y5" s="122" t="inlineStr">
        <is>
          <t>d_srv_av3</t>
        </is>
      </c>
      <c r="Z5" s="122" t="inlineStr">
        <is>
          <t>l_gdp</t>
        </is>
      </c>
      <c r="AA5" s="122" t="inlineStr">
        <is>
          <t>l_gdp1</t>
        </is>
      </c>
      <c r="AB5" s="122" t="inlineStr">
        <is>
          <t>l_gdp2</t>
        </is>
      </c>
      <c r="AC5" s="122" t="inlineStr">
        <is>
          <t>l_gdp_av2</t>
        </is>
      </c>
      <c r="AD5" s="122" t="inlineStr">
        <is>
          <t>l_gdp_av3</t>
        </is>
      </c>
      <c r="AE5" s="122" t="inlineStr">
        <is>
          <t>rcgr_h1</t>
        </is>
      </c>
      <c r="AF5" s="122" t="inlineStr">
        <is>
          <t>rcgr_h2</t>
        </is>
      </c>
      <c r="AG5" s="122" t="inlineStr">
        <is>
          <t>rcgr_h3</t>
        </is>
      </c>
      <c r="AH5" s="122" t="inlineStr">
        <is>
          <t>exd_s</t>
        </is>
      </c>
      <c r="AI5" s="122" t="inlineStr">
        <is>
          <t>exd_s1</t>
        </is>
      </c>
      <c r="AJ5" s="122" t="inlineStr">
        <is>
          <t>exd_s2</t>
        </is>
      </c>
      <c r="AK5" s="122" t="inlineStr">
        <is>
          <t>exd_s_av2</t>
        </is>
      </c>
      <c r="AL5" s="122" t="inlineStr">
        <is>
          <t>exd_s_av3</t>
        </is>
      </c>
      <c r="AM5" s="122" t="inlineStr">
        <is>
          <t>bb_gdp</t>
        </is>
      </c>
      <c r="AN5" s="122" t="inlineStr">
        <is>
          <t>bb_gdp1</t>
        </is>
      </c>
      <c r="AO5" s="122" t="inlineStr">
        <is>
          <t>bb_gdp2</t>
        </is>
      </c>
      <c r="AP5" s="122" t="inlineStr">
        <is>
          <t>bb_gdp_av2</t>
        </is>
      </c>
      <c r="AQ5" s="122" t="inlineStr">
        <is>
          <t>bb_gdp_av3</t>
        </is>
      </c>
      <c r="AR5" s="122" t="inlineStr">
        <is>
          <t>ggd</t>
        </is>
      </c>
      <c r="AS5" s="122" t="inlineStr">
        <is>
          <t>ggd1</t>
        </is>
      </c>
      <c r="AT5" s="122" t="inlineStr">
        <is>
          <t>ggd2</t>
        </is>
      </c>
      <c r="AU5" s="122" t="inlineStr">
        <is>
          <t>ggd_av2</t>
        </is>
      </c>
      <c r="AV5" s="122" t="inlineStr">
        <is>
          <t>ggd_av3</t>
        </is>
      </c>
      <c r="AW5" s="122" t="inlineStr">
        <is>
          <t>crr</t>
        </is>
      </c>
      <c r="AX5" s="122" t="inlineStr">
        <is>
          <t>crr1</t>
        </is>
      </c>
      <c r="AY5" s="122" t="inlineStr">
        <is>
          <t>crr2</t>
        </is>
      </c>
      <c r="AZ5" s="122" t="inlineStr">
        <is>
          <t>crr_av2</t>
        </is>
      </c>
      <c r="BA5" s="122" t="inlineStr">
        <is>
          <t>crr_av3</t>
        </is>
      </c>
      <c r="BB5" s="122" t="inlineStr">
        <is>
          <t>d_as</t>
        </is>
      </c>
      <c r="BC5" s="122" t="inlineStr">
        <is>
          <t>d_as1</t>
        </is>
      </c>
      <c r="BD5" s="122" t="inlineStr">
        <is>
          <t>d_as2</t>
        </is>
      </c>
      <c r="BE5" s="122" t="inlineStr">
        <is>
          <t>d_as_av2</t>
        </is>
      </c>
      <c r="BF5" s="122" t="inlineStr">
        <is>
          <t>d_as_av3</t>
        </is>
      </c>
      <c r="BG5" s="122" t="inlineStr">
        <is>
          <t>lvr</t>
        </is>
      </c>
      <c r="BH5" s="122" t="inlineStr">
        <is>
          <t>lvr1</t>
        </is>
      </c>
      <c r="BI5" s="122" t="inlineStr">
        <is>
          <t>lvr2</t>
        </is>
      </c>
      <c r="BJ5" s="122" t="inlineStr">
        <is>
          <t>lvr_av2</t>
        </is>
      </c>
      <c r="BK5" s="122" t="inlineStr">
        <is>
          <t>lvr_av3</t>
        </is>
      </c>
      <c r="BL5" s="122" t="inlineStr">
        <is>
          <t>ca</t>
        </is>
      </c>
      <c r="BM5" s="122" t="inlineStr">
        <is>
          <t>ca1</t>
        </is>
      </c>
      <c r="BN5" s="122" t="inlineStr">
        <is>
          <t>ca2</t>
        </is>
      </c>
      <c r="BO5" s="122" t="inlineStr">
        <is>
          <t>ca_av2</t>
        </is>
      </c>
      <c r="BP5" s="122" t="inlineStr">
        <is>
          <t>ca_av3</t>
        </is>
      </c>
      <c r="BQ5" s="122" t="inlineStr">
        <is>
          <t>gd_gdp</t>
        </is>
      </c>
      <c r="BR5" s="122" t="inlineStr">
        <is>
          <t>gd_gdp1</t>
        </is>
      </c>
      <c r="BS5" s="122" t="inlineStr">
        <is>
          <t>gd_gdp2</t>
        </is>
      </c>
      <c r="BT5" s="122" t="inlineStr">
        <is>
          <t>gd_gdp_av2</t>
        </is>
      </c>
      <c r="BU5" s="122" t="inlineStr">
        <is>
          <t>gd_gdp_av3</t>
        </is>
      </c>
      <c r="BV5" s="122" t="inlineStr">
        <is>
          <t>cest</t>
        </is>
      </c>
      <c r="BW5" s="122" t="inlineStr">
        <is>
          <t>cest1</t>
        </is>
      </c>
      <c r="BX5" s="122" t="inlineStr">
        <is>
          <t>cest2</t>
        </is>
      </c>
      <c r="BY5" s="122" t="inlineStr">
        <is>
          <t>cest_av2</t>
        </is>
      </c>
      <c r="BZ5" s="122" t="inlineStr">
        <is>
          <t>cest_av3</t>
        </is>
      </c>
      <c r="CA5" s="122" t="inlineStr">
        <is>
          <t>pest</t>
        </is>
      </c>
      <c r="CB5" s="122" t="inlineStr">
        <is>
          <t>pest1</t>
        </is>
      </c>
      <c r="CC5" s="122" t="inlineStr">
        <is>
          <t>pest2</t>
        </is>
      </c>
      <c r="CD5" s="122" t="inlineStr">
        <is>
          <t>pest_av2</t>
        </is>
      </c>
      <c r="CE5" s="122" t="inlineStr">
        <is>
          <t>pest_av3</t>
        </is>
      </c>
    </row>
    <row r="6">
      <c r="A6" s="254" t="n">
        <v>38353</v>
      </c>
      <c r="B6" s="3" t="n">
        <v>0</v>
      </c>
      <c r="C6" s="40" t="n">
        <v>18</v>
      </c>
      <c r="D6" s="31" t="inlineStr"/>
      <c r="E6" s="7" t="inlineStr"/>
      <c r="F6" s="7" t="inlineStr"/>
      <c r="G6" s="7" t="inlineStr"/>
      <c r="H6" s="40" t="n">
        <v>18.07416843467359</v>
      </c>
      <c r="I6" s="31" t="inlineStr"/>
      <c r="J6" s="7" t="inlineStr"/>
      <c r="K6" s="7" t="inlineStr"/>
      <c r="L6" s="7" t="inlineStr"/>
      <c r="M6" s="40" t="n">
        <v>15.21431288188387</v>
      </c>
      <c r="N6" s="31" t="n">
        <v>14.40097834450671</v>
      </c>
      <c r="O6" s="7" t="inlineStr"/>
      <c r="P6" s="40" t="n">
        <v>65.57886597938143</v>
      </c>
      <c r="Q6" s="31" t="inlineStr"/>
      <c r="R6" s="7" t="inlineStr"/>
      <c r="S6" s="7" t="inlineStr"/>
      <c r="T6" s="7" t="inlineStr"/>
      <c r="U6" s="40" t="n">
        <v>11</v>
      </c>
      <c r="V6" s="31" t="inlineStr"/>
      <c r="W6" s="7" t="inlineStr"/>
      <c r="X6" s="7" t="inlineStr"/>
      <c r="Y6" s="7" t="inlineStr"/>
      <c r="Z6" s="40" t="n">
        <v>4.014438454926297</v>
      </c>
      <c r="AA6" s="31" t="inlineStr"/>
      <c r="AB6" s="7" t="inlineStr"/>
      <c r="AC6" s="7" t="inlineStr"/>
      <c r="AD6" s="7" t="inlineStr"/>
      <c r="AE6" s="9" t="n">
        <v>47.45295258967633</v>
      </c>
      <c r="AF6" s="7" t="n">
        <v>48.22595381100371</v>
      </c>
      <c r="AG6" s="7" t="inlineStr"/>
      <c r="AH6" s="40" t="n">
        <v>1.466463687631584</v>
      </c>
      <c r="AI6" s="31" t="inlineStr"/>
      <c r="AJ6" s="7" t="inlineStr"/>
      <c r="AK6" s="7" t="inlineStr"/>
      <c r="AL6" s="7" t="inlineStr"/>
      <c r="AM6" s="40" t="n">
        <v>0.6220993207527001</v>
      </c>
      <c r="AN6" s="31" t="inlineStr"/>
      <c r="AO6" s="7" t="inlineStr"/>
      <c r="AP6" s="7" t="inlineStr"/>
      <c r="AQ6" s="7" t="inlineStr"/>
      <c r="AR6" s="40" t="n">
        <v>7.06867754558573</v>
      </c>
      <c r="AS6" s="31" t="inlineStr"/>
      <c r="AT6" s="7" t="inlineStr"/>
      <c r="AU6" s="7" t="inlineStr"/>
      <c r="AV6" s="7" t="inlineStr"/>
      <c r="AW6" s="40" t="n">
        <v>19.27479037627548</v>
      </c>
      <c r="AX6" s="31" t="inlineStr"/>
      <c r="AY6" s="7" t="inlineStr"/>
      <c r="AZ6" s="7" t="inlineStr"/>
      <c r="BA6" s="7" t="inlineStr"/>
      <c r="BB6" s="40" t="n">
        <v>135.5174028123871</v>
      </c>
      <c r="BC6" s="31" t="inlineStr"/>
      <c r="BD6" s="7" t="inlineStr"/>
      <c r="BE6" s="7" t="inlineStr"/>
      <c r="BF6" s="7" t="inlineStr"/>
      <c r="BG6" s="40" t="inlineStr"/>
      <c r="BH6" s="31" t="inlineStr"/>
      <c r="BI6" s="7" t="inlineStr"/>
      <c r="BJ6" s="7" t="inlineStr"/>
      <c r="BK6" s="7" t="inlineStr"/>
      <c r="BL6" s="40" t="n">
        <v>2.3</v>
      </c>
      <c r="BM6" s="40" t="inlineStr"/>
      <c r="BN6" s="40" t="inlineStr"/>
      <c r="BO6" s="40" t="inlineStr"/>
      <c r="BP6" s="40" t="inlineStr"/>
      <c r="BQ6" s="40" t="n">
        <v>19.72661599654485</v>
      </c>
      <c r="BR6" s="31" t="inlineStr"/>
      <c r="BS6" s="7" t="inlineStr"/>
      <c r="BT6" s="7" t="inlineStr"/>
      <c r="BU6" s="7" t="inlineStr"/>
      <c r="BV6" s="40" t="inlineStr"/>
      <c r="BW6" s="31" t="inlineStr"/>
      <c r="BX6" s="7" t="inlineStr"/>
      <c r="BY6" s="7" t="inlineStr"/>
      <c r="BZ6" s="7" t="inlineStr"/>
      <c r="CA6" s="41" t="inlineStr"/>
      <c r="CB6" s="31" t="inlineStr"/>
      <c r="CC6" s="7" t="inlineStr"/>
      <c r="CD6" s="7" t="inlineStr"/>
      <c r="CE6" s="7" t="inlineStr"/>
    </row>
    <row r="7">
      <c r="A7" s="254" t="n">
        <v>38443</v>
      </c>
      <c r="B7" s="3" t="n">
        <v>0</v>
      </c>
      <c r="C7" s="40" t="n">
        <v>18</v>
      </c>
      <c r="D7" s="31" t="inlineStr"/>
      <c r="E7" s="7" t="inlineStr"/>
      <c r="F7" s="7" t="inlineStr"/>
      <c r="G7" s="7" t="inlineStr"/>
      <c r="H7" s="40" t="n">
        <v>18.46387644978032</v>
      </c>
      <c r="I7" s="31" t="inlineStr"/>
      <c r="J7" s="7" t="inlineStr"/>
      <c r="K7" s="7" t="inlineStr"/>
      <c r="L7" s="7" t="inlineStr"/>
      <c r="M7" s="40" t="n">
        <v>15.82799217117724</v>
      </c>
      <c r="N7" s="31" t="n">
        <v>14.85162402525464</v>
      </c>
      <c r="O7" s="7" t="n">
        <v>14.27488730812767</v>
      </c>
      <c r="P7" s="40" t="n">
        <v>65.57886597938143</v>
      </c>
      <c r="Q7" s="31" t="inlineStr"/>
      <c r="R7" s="7" t="inlineStr"/>
      <c r="S7" s="7" t="inlineStr"/>
      <c r="T7" s="7" t="inlineStr"/>
      <c r="U7" s="40" t="n">
        <v>11</v>
      </c>
      <c r="V7" s="31" t="inlineStr"/>
      <c r="W7" s="7" t="inlineStr"/>
      <c r="X7" s="7" t="inlineStr"/>
      <c r="Y7" s="7" t="inlineStr"/>
      <c r="Z7" s="40" t="n">
        <v>4.397840579641049</v>
      </c>
      <c r="AA7" s="31" t="inlineStr"/>
      <c r="AB7" s="7" t="inlineStr"/>
      <c r="AC7" s="7" t="inlineStr"/>
      <c r="AD7" s="7" t="inlineStr"/>
      <c r="AE7" s="9" t="n">
        <v>46.77735578350246</v>
      </c>
      <c r="AF7" s="7" t="n">
        <v>47.77383468001784</v>
      </c>
      <c r="AG7" s="7" t="n">
        <v>48.27391195017162</v>
      </c>
      <c r="AH7" s="40" t="n">
        <v>1.835684881264745</v>
      </c>
      <c r="AI7" s="31" t="inlineStr"/>
      <c r="AJ7" s="7" t="inlineStr"/>
      <c r="AK7" s="7" t="inlineStr"/>
      <c r="AL7" s="7" t="inlineStr"/>
      <c r="AM7" s="40" t="n">
        <v>0.6338750346670133</v>
      </c>
      <c r="AN7" s="31" t="inlineStr"/>
      <c r="AO7" s="7" t="inlineStr"/>
      <c r="AP7" s="7" t="inlineStr"/>
      <c r="AQ7" s="7" t="inlineStr"/>
      <c r="AR7" s="40" t="n">
        <v>7.244923275141209</v>
      </c>
      <c r="AS7" s="31" t="inlineStr"/>
      <c r="AT7" s="7" t="inlineStr"/>
      <c r="AU7" s="7" t="inlineStr"/>
      <c r="AV7" s="7" t="inlineStr"/>
      <c r="AW7" s="40" t="n">
        <v>20.11483497726806</v>
      </c>
      <c r="AX7" s="31" t="inlineStr"/>
      <c r="AY7" s="7" t="inlineStr"/>
      <c r="AZ7" s="7" t="inlineStr"/>
      <c r="BA7" s="7" t="inlineStr"/>
      <c r="BB7" s="40" t="n">
        <v>135.5174028123871</v>
      </c>
      <c r="BC7" s="31" t="inlineStr"/>
      <c r="BD7" s="7" t="inlineStr"/>
      <c r="BE7" s="7" t="inlineStr"/>
      <c r="BF7" s="7" t="inlineStr"/>
      <c r="BG7" s="40" t="n">
        <v>6.608928095913011</v>
      </c>
      <c r="BH7" s="31" t="inlineStr"/>
      <c r="BI7" s="7" t="inlineStr"/>
      <c r="BJ7" s="7" t="inlineStr"/>
      <c r="BK7" s="7" t="inlineStr"/>
      <c r="BL7" s="40" t="n">
        <v>2.3</v>
      </c>
      <c r="BM7" s="40" t="inlineStr"/>
      <c r="BN7" s="40" t="inlineStr"/>
      <c r="BO7" s="40" t="inlineStr"/>
      <c r="BP7" s="40" t="inlineStr"/>
      <c r="BQ7" s="40" t="n">
        <v>19.67440921352051</v>
      </c>
      <c r="BR7" s="31" t="inlineStr"/>
      <c r="BS7" s="7" t="inlineStr"/>
      <c r="BT7" s="7" t="inlineStr"/>
      <c r="BU7" s="7" t="inlineStr"/>
      <c r="BV7" s="40" t="inlineStr"/>
      <c r="BW7" s="31" t="inlineStr"/>
      <c r="BX7" s="7" t="inlineStr"/>
      <c r="BY7" s="7" t="inlineStr"/>
      <c r="BZ7" s="7" t="inlineStr"/>
      <c r="CA7" s="41" t="inlineStr"/>
      <c r="CB7" s="31" t="inlineStr"/>
      <c r="CC7" s="7" t="inlineStr"/>
      <c r="CD7" s="7" t="inlineStr"/>
      <c r="CE7" s="7" t="inlineStr"/>
    </row>
    <row r="8">
      <c r="A8" s="254" t="n">
        <v>38534</v>
      </c>
      <c r="B8" s="3" t="n">
        <v>0</v>
      </c>
      <c r="C8" s="40" t="n">
        <v>18</v>
      </c>
      <c r="D8" s="31" t="inlineStr"/>
      <c r="E8" s="7" t="inlineStr"/>
      <c r="F8" s="7" t="inlineStr"/>
      <c r="G8" s="7" t="inlineStr"/>
      <c r="H8" s="40" t="n">
        <v>18.91165143796436</v>
      </c>
      <c r="I8" s="31" t="inlineStr"/>
      <c r="J8" s="7" t="inlineStr"/>
      <c r="K8" s="7" t="inlineStr"/>
      <c r="L8" s="7" t="inlineStr"/>
      <c r="M8" s="40" t="n">
        <v>16.52166610240783</v>
      </c>
      <c r="N8" s="31" t="n">
        <v>15.38084557186437</v>
      </c>
      <c r="O8" s="7" t="n">
        <v>14.66037345213086</v>
      </c>
      <c r="P8" s="40" t="n">
        <v>65.57886597938143</v>
      </c>
      <c r="Q8" s="31" t="inlineStr"/>
      <c r="R8" s="7" t="inlineStr"/>
      <c r="S8" s="7" t="inlineStr"/>
      <c r="T8" s="7" t="inlineStr"/>
      <c r="U8" s="40" t="n">
        <v>11</v>
      </c>
      <c r="V8" s="31" t="inlineStr"/>
      <c r="W8" s="7" t="inlineStr"/>
      <c r="X8" s="7" t="inlineStr"/>
      <c r="Y8" s="7" t="inlineStr"/>
      <c r="Z8" s="40" t="n">
        <v>4.781120387248576</v>
      </c>
      <c r="AA8" s="31" t="inlineStr"/>
      <c r="AB8" s="7" t="inlineStr"/>
      <c r="AC8" s="7" t="inlineStr"/>
      <c r="AD8" s="7" t="inlineStr"/>
      <c r="AE8" s="9" t="n">
        <v>45.97915887573799</v>
      </c>
      <c r="AF8" s="7" t="n">
        <v>47.21147425698427</v>
      </c>
      <c r="AG8" s="7" t="n">
        <v>47.88470822490907</v>
      </c>
      <c r="AH8" s="40" t="n">
        <v>2.220921049776581</v>
      </c>
      <c r="AI8" s="31" t="inlineStr"/>
      <c r="AJ8" s="7" t="inlineStr"/>
      <c r="AK8" s="7" t="inlineStr"/>
      <c r="AL8" s="7" t="inlineStr"/>
      <c r="AM8" s="40" t="n">
        <v>0.6459589104976191</v>
      </c>
      <c r="AN8" s="31" t="inlineStr"/>
      <c r="AO8" s="7" t="inlineStr"/>
      <c r="AP8" s="7" t="inlineStr"/>
      <c r="AQ8" s="7" t="inlineStr"/>
      <c r="AR8" s="40" t="n">
        <v>7.441671912961989</v>
      </c>
      <c r="AS8" s="31" t="inlineStr"/>
      <c r="AT8" s="7" t="inlineStr"/>
      <c r="AU8" s="7" t="inlineStr"/>
      <c r="AV8" s="7" t="inlineStr"/>
      <c r="AW8" s="40" t="n">
        <v>21.00408724815485</v>
      </c>
      <c r="AX8" s="31" t="inlineStr"/>
      <c r="AY8" s="7" t="inlineStr"/>
      <c r="AZ8" s="7" t="inlineStr"/>
      <c r="BA8" s="7" t="inlineStr"/>
      <c r="BB8" s="40" t="n">
        <v>135.5174028123871</v>
      </c>
      <c r="BC8" s="31" t="inlineStr"/>
      <c r="BD8" s="7" t="inlineStr"/>
      <c r="BE8" s="7" t="inlineStr"/>
      <c r="BF8" s="7" t="inlineStr"/>
      <c r="BG8" s="40" t="n">
        <v>6.608928095913011</v>
      </c>
      <c r="BH8" s="31" t="inlineStr"/>
      <c r="BI8" s="7" t="inlineStr"/>
      <c r="BJ8" s="7" t="inlineStr"/>
      <c r="BK8" s="7" t="inlineStr"/>
      <c r="BL8" s="40" t="n">
        <v>2.3</v>
      </c>
      <c r="BM8" s="40" t="inlineStr"/>
      <c r="BN8" s="40" t="inlineStr"/>
      <c r="BO8" s="40" t="inlineStr"/>
      <c r="BP8" s="40" t="inlineStr"/>
      <c r="BQ8" s="40" t="n">
        <v>19.71267579396412</v>
      </c>
      <c r="BR8" s="31" t="inlineStr"/>
      <c r="BS8" s="7" t="inlineStr"/>
      <c r="BT8" s="7" t="inlineStr"/>
      <c r="BU8" s="7" t="inlineStr"/>
      <c r="BV8" s="40" t="inlineStr"/>
      <c r="BW8" s="31" t="inlineStr"/>
      <c r="BX8" s="7" t="inlineStr"/>
      <c r="BY8" s="7" t="inlineStr"/>
      <c r="BZ8" s="7" t="inlineStr"/>
      <c r="CA8" s="40" t="inlineStr"/>
      <c r="CB8" s="31" t="inlineStr"/>
      <c r="CC8" s="7" t="inlineStr"/>
      <c r="CD8" s="7" t="inlineStr"/>
      <c r="CE8" s="7" t="inlineStr"/>
    </row>
    <row r="9">
      <c r="A9" s="254" t="n">
        <v>38626</v>
      </c>
      <c r="B9" s="3" t="n">
        <v>0</v>
      </c>
      <c r="C9" s="40" t="n">
        <v>18</v>
      </c>
      <c r="D9" s="31" t="inlineStr"/>
      <c r="E9" s="7" t="inlineStr"/>
      <c r="F9" s="7" t="inlineStr"/>
      <c r="G9" s="7" t="inlineStr"/>
      <c r="H9" s="40" t="n">
        <v>19.42245298250389</v>
      </c>
      <c r="I9" s="31" t="inlineStr"/>
      <c r="J9" s="7" t="inlineStr"/>
      <c r="K9" s="7" t="inlineStr"/>
      <c r="L9" s="7" t="inlineStr"/>
      <c r="M9" s="40" t="n">
        <v>17.28165905917092</v>
      </c>
      <c r="N9" s="31" t="n">
        <v>15.98347665464115</v>
      </c>
      <c r="O9" s="7" t="n">
        <v>15.1127899428512</v>
      </c>
      <c r="P9" s="40" t="n">
        <v>65.57886597938143</v>
      </c>
      <c r="Q9" s="31" t="inlineStr"/>
      <c r="R9" s="7" t="inlineStr"/>
      <c r="S9" s="7" t="inlineStr"/>
      <c r="T9" s="7" t="inlineStr"/>
      <c r="U9" s="40" t="n">
        <v>11</v>
      </c>
      <c r="V9" s="31" t="inlineStr"/>
      <c r="W9" s="7" t="inlineStr"/>
      <c r="X9" s="7" t="inlineStr"/>
      <c r="Y9" s="7" t="inlineStr"/>
      <c r="Z9" s="40" t="n">
        <v>5.163947198935825</v>
      </c>
      <c r="AA9" s="31" t="inlineStr"/>
      <c r="AB9" s="7" t="inlineStr"/>
      <c r="AC9" s="7" t="inlineStr"/>
      <c r="AD9" s="7" t="inlineStr"/>
      <c r="AE9" s="9" t="n">
        <v>45.05885916139698</v>
      </c>
      <c r="AF9" s="7" t="n">
        <v>46.53301662320416</v>
      </c>
      <c r="AG9" s="7" t="n">
        <v>47.40402910965796</v>
      </c>
      <c r="AH9" s="40" t="n">
        <v>2.266688505332308</v>
      </c>
      <c r="AI9" s="31" t="inlineStr"/>
      <c r="AJ9" s="7" t="inlineStr"/>
      <c r="AK9" s="7" t="inlineStr"/>
      <c r="AL9" s="7" t="inlineStr"/>
      <c r="AM9" s="40" t="n">
        <v>0.65861252671152</v>
      </c>
      <c r="AN9" s="31" t="inlineStr"/>
      <c r="AO9" s="7" t="inlineStr"/>
      <c r="AP9" s="7" t="inlineStr"/>
      <c r="AQ9" s="7" t="inlineStr"/>
      <c r="AR9" s="40" t="n">
        <v>7.664984082372006</v>
      </c>
      <c r="AS9" s="31" t="inlineStr"/>
      <c r="AT9" s="7" t="inlineStr"/>
      <c r="AU9" s="7" t="inlineStr"/>
      <c r="AV9" s="7" t="inlineStr"/>
      <c r="AW9" s="40" t="n">
        <v>21.94570785318128</v>
      </c>
      <c r="AX9" s="31" t="inlineStr"/>
      <c r="AY9" s="7" t="inlineStr"/>
      <c r="AZ9" s="7" t="inlineStr"/>
      <c r="BA9" s="7" t="inlineStr"/>
      <c r="BB9" s="40" t="n">
        <v>135.5174028123871</v>
      </c>
      <c r="BC9" s="31" t="inlineStr"/>
      <c r="BD9" s="7" t="inlineStr"/>
      <c r="BE9" s="7" t="inlineStr"/>
      <c r="BF9" s="7" t="inlineStr"/>
      <c r="BG9" s="40" t="n">
        <v>6.608928095913011</v>
      </c>
      <c r="BH9" s="31" t="inlineStr"/>
      <c r="BI9" s="7" t="inlineStr"/>
      <c r="BJ9" s="7" t="inlineStr"/>
      <c r="BK9" s="7" t="inlineStr"/>
      <c r="BL9" s="40" t="n">
        <v>2.3</v>
      </c>
      <c r="BM9" s="40" t="inlineStr"/>
      <c r="BN9" s="40" t="inlineStr"/>
      <c r="BO9" s="40" t="inlineStr"/>
      <c r="BP9" s="40" t="inlineStr"/>
      <c r="BQ9" s="40" t="n">
        <v>19.85242724252318</v>
      </c>
      <c r="BR9" s="31" t="inlineStr"/>
      <c r="BS9" s="7" t="inlineStr"/>
      <c r="BT9" s="7" t="inlineStr"/>
      <c r="BU9" s="7" t="inlineStr"/>
      <c r="BV9" s="40" t="n">
        <v>-5.622109247834893</v>
      </c>
      <c r="BW9" s="31" t="inlineStr"/>
      <c r="BX9" s="7" t="inlineStr"/>
      <c r="BY9" s="7" t="inlineStr"/>
      <c r="BZ9" s="7" t="inlineStr"/>
      <c r="CA9" s="40" t="inlineStr"/>
      <c r="CB9" s="31" t="inlineStr"/>
      <c r="CC9" s="7" t="inlineStr"/>
      <c r="CD9" s="7" t="inlineStr"/>
      <c r="CE9" s="7" t="inlineStr"/>
    </row>
    <row r="10">
      <c r="A10" s="254" t="n">
        <v>38718</v>
      </c>
      <c r="B10" s="3" t="n">
        <v>0</v>
      </c>
      <c r="C10" s="40" t="n">
        <v>18</v>
      </c>
      <c r="D10" s="31" t="n">
        <v>0</v>
      </c>
      <c r="E10" s="7" t="inlineStr"/>
      <c r="F10" s="7" t="inlineStr"/>
      <c r="G10" s="7" t="inlineStr"/>
      <c r="H10" s="40" t="n">
        <v>19.99962890357585</v>
      </c>
      <c r="I10" s="31" t="n">
        <v>1.925460468902262</v>
      </c>
      <c r="J10" s="7" t="inlineStr"/>
      <c r="K10" s="7" t="inlineStr"/>
      <c r="L10" s="7" t="inlineStr"/>
      <c r="M10" s="40" t="n">
        <v>18.08397393062796</v>
      </c>
      <c r="N10" s="31" t="n">
        <v>16.64914340625592</v>
      </c>
      <c r="O10" s="7" t="n">
        <v>15.62864353988046</v>
      </c>
      <c r="P10" s="40" t="n">
        <v>65.57886597938143</v>
      </c>
      <c r="Q10" s="31" t="n">
        <v>0</v>
      </c>
      <c r="R10" s="7" t="inlineStr"/>
      <c r="S10" s="7" t="inlineStr"/>
      <c r="T10" s="7" t="inlineStr"/>
      <c r="U10" s="40" t="n">
        <v>11</v>
      </c>
      <c r="V10" s="31" t="n">
        <v>0</v>
      </c>
      <c r="W10" s="7" t="inlineStr"/>
      <c r="X10" s="7" t="inlineStr"/>
      <c r="Y10" s="7" t="inlineStr"/>
      <c r="Z10" s="40" t="n">
        <v>5.545731412834351</v>
      </c>
      <c r="AA10" s="31" t="n">
        <v>1.531292957908054</v>
      </c>
      <c r="AB10" s="7" t="inlineStr"/>
      <c r="AC10" s="7" t="inlineStr"/>
      <c r="AD10" s="7" t="inlineStr"/>
      <c r="AE10" s="9" t="n">
        <v>44.01713453374407</v>
      </c>
      <c r="AF10" s="7" t="n">
        <v>45.7350435617102</v>
      </c>
      <c r="AG10" s="7" t="n">
        <v>46.82301405191716</v>
      </c>
      <c r="AH10" s="40" t="n">
        <v>2.320712804532681</v>
      </c>
      <c r="AI10" s="31" t="n">
        <v>0.8542491169010964</v>
      </c>
      <c r="AJ10" s="7" t="inlineStr"/>
      <c r="AK10" s="7" t="inlineStr"/>
      <c r="AL10" s="7" t="inlineStr"/>
      <c r="AM10" s="40" t="n">
        <v>0.6720737572539501</v>
      </c>
      <c r="AN10" s="31" t="n">
        <v>0.04997443650125</v>
      </c>
      <c r="AO10" s="7" t="inlineStr"/>
      <c r="AP10" s="7" t="inlineStr"/>
      <c r="AQ10" s="7" t="inlineStr"/>
      <c r="AR10" s="40" t="n">
        <v>7.920832253815619</v>
      </c>
      <c r="AS10" s="31" t="n">
        <v>0.8521547082298886</v>
      </c>
      <c r="AT10" s="7" t="inlineStr"/>
      <c r="AU10" s="7" t="inlineStr"/>
      <c r="AV10" s="7" t="inlineStr"/>
      <c r="AW10" s="40" t="n">
        <v>22.94143195179934</v>
      </c>
      <c r="AX10" s="31" t="n">
        <v>3.666641575523869</v>
      </c>
      <c r="AY10" s="7" t="inlineStr"/>
      <c r="AZ10" s="7" t="inlineStr"/>
      <c r="BA10" s="7" t="inlineStr"/>
      <c r="BB10" s="40" t="n">
        <v>135.5174028123871</v>
      </c>
      <c r="BC10" s="31" t="n">
        <v>0</v>
      </c>
      <c r="BD10" s="7" t="inlineStr"/>
      <c r="BE10" s="7" t="inlineStr"/>
      <c r="BF10" s="7" t="inlineStr"/>
      <c r="BG10" s="40" t="n">
        <v>6.608928095913011</v>
      </c>
      <c r="BH10" s="31" t="inlineStr"/>
      <c r="BI10" s="7" t="inlineStr"/>
      <c r="BJ10" s="7" t="inlineStr"/>
      <c r="BK10" s="7" t="inlineStr"/>
      <c r="BL10" s="40" t="n">
        <v>2.3</v>
      </c>
      <c r="BM10" s="40" t="n">
        <v>0</v>
      </c>
      <c r="BN10" s="40" t="inlineStr"/>
      <c r="BO10" s="40" t="inlineStr"/>
      <c r="BP10" s="40" t="inlineStr"/>
      <c r="BQ10" s="40" t="n">
        <v>20.10290285514258</v>
      </c>
      <c r="BR10" s="31" t="n">
        <v>0.3762868585977337</v>
      </c>
      <c r="BS10" s="7" t="inlineStr"/>
      <c r="BT10" s="7" t="inlineStr"/>
      <c r="BU10" s="7" t="inlineStr"/>
      <c r="BV10" s="40" t="n">
        <v>-3.042792695520468</v>
      </c>
      <c r="BW10" s="31" t="inlineStr"/>
      <c r="BX10" s="7" t="inlineStr"/>
      <c r="BY10" s="7" t="inlineStr"/>
      <c r="BZ10" s="7" t="inlineStr"/>
      <c r="CA10" s="40" t="inlineStr"/>
      <c r="CB10" s="31" t="inlineStr"/>
      <c r="CC10" s="7" t="inlineStr"/>
      <c r="CD10" s="7" t="inlineStr"/>
      <c r="CE10" s="7" t="inlineStr"/>
    </row>
    <row r="11">
      <c r="A11" s="254" t="n">
        <v>38808</v>
      </c>
      <c r="B11" s="3" t="n">
        <v>0</v>
      </c>
      <c r="C11" s="40" t="n">
        <v>18</v>
      </c>
      <c r="D11" s="31" t="n">
        <v>0</v>
      </c>
      <c r="E11" s="7" t="inlineStr"/>
      <c r="F11" s="7" t="inlineStr"/>
      <c r="G11" s="7" t="inlineStr"/>
      <c r="H11" s="40" t="n">
        <v>20.64459306949091</v>
      </c>
      <c r="I11" s="31" t="n">
        <v>2.180716619710587</v>
      </c>
      <c r="J11" s="7" t="inlineStr"/>
      <c r="K11" s="7" t="inlineStr"/>
      <c r="L11" s="7" t="inlineStr"/>
      <c r="M11" s="40" t="n">
        <v>18.89524988483345</v>
      </c>
      <c r="N11" s="31" t="n">
        <v>17.36162102800535</v>
      </c>
      <c r="O11" s="7" t="n">
        <v>16.19949931178091</v>
      </c>
      <c r="P11" s="40" t="n">
        <v>65.57886597938143</v>
      </c>
      <c r="Q11" s="31" t="n">
        <v>0</v>
      </c>
      <c r="R11" s="7" t="inlineStr"/>
      <c r="S11" s="7" t="inlineStr"/>
      <c r="T11" s="7" t="inlineStr"/>
      <c r="U11" s="40" t="n">
        <v>11</v>
      </c>
      <c r="V11" s="31" t="n">
        <v>0</v>
      </c>
      <c r="W11" s="7" t="inlineStr"/>
      <c r="X11" s="7" t="inlineStr"/>
      <c r="Y11" s="7" t="inlineStr"/>
      <c r="Z11" s="40" t="n">
        <v>5.925598163202063</v>
      </c>
      <c r="AA11" s="31" t="n">
        <v>1.527757583561014</v>
      </c>
      <c r="AB11" s="7" t="inlineStr"/>
      <c r="AC11" s="7" t="inlineStr"/>
      <c r="AD11" s="7" t="inlineStr"/>
      <c r="AE11" s="9" t="n">
        <v>42.85476069461981</v>
      </c>
      <c r="AF11" s="7" t="n">
        <v>44.81605823906114</v>
      </c>
      <c r="AG11" s="7" t="n">
        <v>46.13414335155183</v>
      </c>
      <c r="AH11" s="40" t="n">
        <v>2.384215958422654</v>
      </c>
      <c r="AI11" s="31" t="n">
        <v>0.5485310771579086</v>
      </c>
      <c r="AJ11" s="7" t="inlineStr"/>
      <c r="AK11" s="7" t="inlineStr"/>
      <c r="AL11" s="7" t="inlineStr"/>
      <c r="AM11" s="40" t="n">
        <v>0.6865109351580908</v>
      </c>
      <c r="AN11" s="31" t="n">
        <v>0.05263590049107747</v>
      </c>
      <c r="AO11" s="7" t="inlineStr"/>
      <c r="AP11" s="7" t="inlineStr"/>
      <c r="AQ11" s="7" t="inlineStr"/>
      <c r="AR11" s="40" t="n">
        <v>8.214920753410778</v>
      </c>
      <c r="AS11" s="31" t="n">
        <v>0.9699974782695691</v>
      </c>
      <c r="AT11" s="7" t="inlineStr"/>
      <c r="AU11" s="7" t="inlineStr"/>
      <c r="AV11" s="7" t="inlineStr"/>
      <c r="AW11" s="40" t="n">
        <v>23.99114744142528</v>
      </c>
      <c r="AX11" s="31" t="n">
        <v>3.876312464157213</v>
      </c>
      <c r="AY11" s="7" t="inlineStr"/>
      <c r="AZ11" s="7" t="inlineStr"/>
      <c r="BA11" s="7" t="inlineStr"/>
      <c r="BB11" s="40" t="n">
        <v>135.5174028123871</v>
      </c>
      <c r="BC11" s="31" t="n">
        <v>0</v>
      </c>
      <c r="BD11" s="7" t="inlineStr"/>
      <c r="BE11" s="7" t="inlineStr"/>
      <c r="BF11" s="7" t="inlineStr"/>
      <c r="BG11" s="40" t="n">
        <v>6.608928095913011</v>
      </c>
      <c r="BH11" s="31" t="n">
        <v>0</v>
      </c>
      <c r="BI11" s="7" t="inlineStr"/>
      <c r="BJ11" s="7" t="inlineStr"/>
      <c r="BK11" s="7" t="inlineStr"/>
      <c r="BL11" s="40" t="n">
        <v>2.3</v>
      </c>
      <c r="BM11" s="40" t="n">
        <v>0</v>
      </c>
      <c r="BN11" s="40" t="inlineStr"/>
      <c r="BO11" s="40" t="inlineStr"/>
      <c r="BP11" s="40" t="inlineStr"/>
      <c r="BQ11" s="40" t="n">
        <v>20.47123636136952</v>
      </c>
      <c r="BR11" s="31" t="n">
        <v>0.7968271478490045</v>
      </c>
      <c r="BS11" s="7" t="inlineStr"/>
      <c r="BT11" s="7" t="inlineStr"/>
      <c r="BU11" s="7" t="inlineStr"/>
      <c r="BV11" s="40" t="n">
        <v>-0.4881711981439516</v>
      </c>
      <c r="BW11" s="31" t="inlineStr"/>
      <c r="BX11" s="7" t="inlineStr"/>
      <c r="BY11" s="7" t="inlineStr"/>
      <c r="BZ11" s="7" t="inlineStr"/>
      <c r="CA11" s="40" t="n">
        <v>-24.78484796242119</v>
      </c>
      <c r="CB11" s="31" t="inlineStr"/>
      <c r="CC11" s="7" t="inlineStr"/>
      <c r="CD11" s="7" t="inlineStr"/>
      <c r="CE11" s="7" t="inlineStr"/>
    </row>
    <row r="12">
      <c r="A12" s="254" t="n">
        <v>38899</v>
      </c>
      <c r="B12" s="3" t="n">
        <v>0</v>
      </c>
      <c r="C12" s="40" t="n">
        <v>18</v>
      </c>
      <c r="D12" s="31" t="n">
        <v>0</v>
      </c>
      <c r="E12" s="7" t="inlineStr"/>
      <c r="F12" s="7" t="inlineStr"/>
      <c r="G12" s="7" t="inlineStr"/>
      <c r="H12" s="40" t="n">
        <v>21.35661910253515</v>
      </c>
      <c r="I12" s="31" t="n">
        <v>2.444967664570793</v>
      </c>
      <c r="J12" s="7" t="inlineStr"/>
      <c r="K12" s="7" t="inlineStr"/>
      <c r="L12" s="7" t="inlineStr"/>
      <c r="M12" s="40" t="n">
        <v>19.67996459458288</v>
      </c>
      <c r="N12" s="31" t="n">
        <v>18.10081534849536</v>
      </c>
      <c r="O12" s="7" t="n">
        <v>16.81388524610388</v>
      </c>
      <c r="P12" s="40" t="n">
        <v>65.57886597938143</v>
      </c>
      <c r="Q12" s="31" t="n">
        <v>0</v>
      </c>
      <c r="R12" s="7" t="inlineStr"/>
      <c r="S12" s="7" t="inlineStr"/>
      <c r="T12" s="7" t="inlineStr"/>
      <c r="U12" s="40" t="n">
        <v>11</v>
      </c>
      <c r="V12" s="31" t="n">
        <v>0</v>
      </c>
      <c r="W12" s="7" t="inlineStr"/>
      <c r="X12" s="7" t="inlineStr"/>
      <c r="Y12" s="7" t="inlineStr"/>
      <c r="Z12" s="40" t="n">
        <v>6.302357427967412</v>
      </c>
      <c r="AA12" s="31" t="n">
        <v>1.521237040718836</v>
      </c>
      <c r="AB12" s="7" t="inlineStr"/>
      <c r="AC12" s="7" t="inlineStr"/>
      <c r="AD12" s="7" t="inlineStr"/>
      <c r="AE12" s="9" t="n">
        <v>41.57307572047148</v>
      </c>
      <c r="AF12" s="7" t="n">
        <v>43.77611729810474</v>
      </c>
      <c r="AG12" s="7" t="n">
        <v>45.33200807814668</v>
      </c>
      <c r="AH12" s="40" t="n">
        <v>2.458307935267956</v>
      </c>
      <c r="AI12" s="31" t="n">
        <v>0.2373868854913757</v>
      </c>
      <c r="AJ12" s="7" t="inlineStr"/>
      <c r="AK12" s="7" t="inlineStr"/>
      <c r="AL12" s="7" t="inlineStr"/>
      <c r="AM12" s="40" t="n">
        <v>0.7020903438067865</v>
      </c>
      <c r="AN12" s="31" t="n">
        <v>0.05613143330916737</v>
      </c>
      <c r="AO12" s="7" t="inlineStr"/>
      <c r="AP12" s="7" t="inlineStr"/>
      <c r="AQ12" s="7" t="inlineStr"/>
      <c r="AR12" s="40" t="n">
        <v>8.552920699890814</v>
      </c>
      <c r="AS12" s="31" t="n">
        <v>1.111248786928825</v>
      </c>
      <c r="AT12" s="7" t="inlineStr"/>
      <c r="AU12" s="7" t="inlineStr"/>
      <c r="AV12" s="7" t="inlineStr"/>
      <c r="AW12" s="40" t="n">
        <v>25.092846297838</v>
      </c>
      <c r="AX12" s="31" t="n">
        <v>4.088759049683159</v>
      </c>
      <c r="AY12" s="7" t="inlineStr"/>
      <c r="AZ12" s="7" t="inlineStr"/>
      <c r="BA12" s="7" t="inlineStr"/>
      <c r="BB12" s="40" t="n">
        <v>135.5174028123871</v>
      </c>
      <c r="BC12" s="31" t="n">
        <v>0</v>
      </c>
      <c r="BD12" s="7" t="inlineStr"/>
      <c r="BE12" s="7" t="inlineStr"/>
      <c r="BF12" s="7" t="inlineStr"/>
      <c r="BG12" s="40" t="n">
        <v>6.608928095913011</v>
      </c>
      <c r="BH12" s="31" t="n">
        <v>0</v>
      </c>
      <c r="BI12" s="7" t="inlineStr"/>
      <c r="BJ12" s="7" t="inlineStr"/>
      <c r="BK12" s="7" t="inlineStr"/>
      <c r="BL12" s="40" t="n">
        <v>2.3</v>
      </c>
      <c r="BM12" s="40" t="n">
        <v>0</v>
      </c>
      <c r="BN12" s="40" t="inlineStr"/>
      <c r="BO12" s="40" t="inlineStr"/>
      <c r="BP12" s="40" t="inlineStr"/>
      <c r="BQ12" s="40" t="n">
        <v>20.96210411942612</v>
      </c>
      <c r="BR12" s="31" t="n">
        <v>1.249428325462006</v>
      </c>
      <c r="BS12" s="7" t="inlineStr"/>
      <c r="BT12" s="7" t="inlineStr"/>
      <c r="BU12" s="7" t="inlineStr"/>
      <c r="BV12" s="40" t="n">
        <v>1.998931452759955</v>
      </c>
      <c r="BW12" s="31" t="inlineStr"/>
      <c r="BX12" s="7" t="inlineStr"/>
      <c r="BY12" s="7" t="inlineStr"/>
      <c r="BZ12" s="7" t="inlineStr"/>
      <c r="CA12" s="40" t="n">
        <v>-23.30147488565074</v>
      </c>
      <c r="CB12" s="31" t="inlineStr"/>
      <c r="CC12" s="7" t="inlineStr"/>
      <c r="CD12" s="7" t="inlineStr"/>
      <c r="CE12" s="7" t="inlineStr"/>
    </row>
    <row r="13">
      <c r="A13" s="254" t="n">
        <v>38991</v>
      </c>
      <c r="B13" s="3" t="n">
        <v>0</v>
      </c>
      <c r="C13" s="40" t="n">
        <v>18</v>
      </c>
      <c r="D13" s="31" t="n">
        <v>0</v>
      </c>
      <c r="E13" s="7" t="inlineStr"/>
      <c r="F13" s="7" t="inlineStr"/>
      <c r="G13" s="7" t="inlineStr"/>
      <c r="H13" s="40" t="n">
        <v>22.13283778984935</v>
      </c>
      <c r="I13" s="31" t="n">
        <v>2.710384807345459</v>
      </c>
      <c r="J13" s="7" t="inlineStr"/>
      <c r="K13" s="7" t="inlineStr"/>
      <c r="L13" s="7" t="inlineStr"/>
      <c r="M13" s="40" t="n">
        <v>20.40110543700462</v>
      </c>
      <c r="N13" s="31" t="n">
        <v>18.84138224808777</v>
      </c>
      <c r="O13" s="7" t="n">
        <v>17.45601958209564</v>
      </c>
      <c r="P13" s="40" t="n">
        <v>65.57886597938143</v>
      </c>
      <c r="Q13" s="31" t="n">
        <v>0</v>
      </c>
      <c r="R13" s="7" t="inlineStr"/>
      <c r="S13" s="7" t="inlineStr"/>
      <c r="T13" s="7" t="inlineStr"/>
      <c r="U13" s="40" t="n">
        <v>11</v>
      </c>
      <c r="V13" s="31" t="n">
        <v>0</v>
      </c>
      <c r="W13" s="7" t="inlineStr"/>
      <c r="X13" s="7" t="inlineStr"/>
      <c r="Y13" s="7" t="inlineStr"/>
      <c r="Z13" s="40" t="n">
        <v>6.674493490391948</v>
      </c>
      <c r="AA13" s="31" t="n">
        <v>1.510546291456122</v>
      </c>
      <c r="AB13" s="7" t="inlineStr"/>
      <c r="AC13" s="7" t="inlineStr"/>
      <c r="AD13" s="7" t="inlineStr"/>
      <c r="AE13" s="9" t="n">
        <v>40.17457704451124</v>
      </c>
      <c r="AF13" s="7" t="n">
        <v>42.61671810295411</v>
      </c>
      <c r="AG13" s="7" t="n">
        <v>44.41353676363985</v>
      </c>
      <c r="AH13" s="40" t="n">
        <v>2.543938144803438</v>
      </c>
      <c r="AI13" s="31" t="n">
        <v>0.2772496394711306</v>
      </c>
      <c r="AJ13" s="7" t="inlineStr"/>
      <c r="AK13" s="7" t="inlineStr"/>
      <c r="AL13" s="7" t="inlineStr"/>
      <c r="AM13" s="40" t="n">
        <v>0.7188320444124245</v>
      </c>
      <c r="AN13" s="31" t="n">
        <v>0.0602195177009045</v>
      </c>
      <c r="AO13" s="7" t="inlineStr"/>
      <c r="AP13" s="7" t="inlineStr"/>
      <c r="AQ13" s="7" t="inlineStr"/>
      <c r="AR13" s="40" t="n">
        <v>8.940037446967635</v>
      </c>
      <c r="AS13" s="31" t="n">
        <v>1.275053364595629</v>
      </c>
      <c r="AT13" s="7" t="inlineStr"/>
      <c r="AU13" s="7" t="inlineStr"/>
      <c r="AV13" s="7" t="inlineStr"/>
      <c r="AW13" s="40" t="n">
        <v>26.24268734853493</v>
      </c>
      <c r="AX13" s="31" t="n">
        <v>4.296979495353646</v>
      </c>
      <c r="AY13" s="7" t="inlineStr"/>
      <c r="AZ13" s="7" t="inlineStr"/>
      <c r="BA13" s="7" t="inlineStr"/>
      <c r="BB13" s="40" t="n">
        <v>135.5174028123871</v>
      </c>
      <c r="BC13" s="31" t="n">
        <v>0</v>
      </c>
      <c r="BD13" s="7" t="inlineStr"/>
      <c r="BE13" s="7" t="inlineStr"/>
      <c r="BF13" s="7" t="inlineStr"/>
      <c r="BG13" s="40" t="n">
        <v>6.608928095913011</v>
      </c>
      <c r="BH13" s="31" t="n">
        <v>0</v>
      </c>
      <c r="BI13" s="7" t="inlineStr"/>
      <c r="BJ13" s="7" t="inlineStr"/>
      <c r="BK13" s="7" t="inlineStr"/>
      <c r="BL13" s="40" t="n">
        <v>2.3</v>
      </c>
      <c r="BM13" s="40" t="n">
        <v>0</v>
      </c>
      <c r="BN13" s="40" t="inlineStr"/>
      <c r="BO13" s="40" t="inlineStr"/>
      <c r="BP13" s="40" t="inlineStr"/>
      <c r="BQ13" s="40" t="n">
        <v>21.57727780980394</v>
      </c>
      <c r="BR13" s="31" t="n">
        <v>1.724850567280765</v>
      </c>
      <c r="BS13" s="7" t="inlineStr"/>
      <c r="BT13" s="7" t="inlineStr"/>
      <c r="BU13" s="7" t="inlineStr"/>
      <c r="BV13" s="40" t="n">
        <v>4.362622386027438</v>
      </c>
      <c r="BW13" s="31" t="n">
        <v>9.984731633862332</v>
      </c>
      <c r="BX13" s="7" t="inlineStr"/>
      <c r="BY13" s="7" t="inlineStr"/>
      <c r="BZ13" s="7" t="inlineStr"/>
      <c r="CA13" s="40" t="n">
        <v>-21.82892593320258</v>
      </c>
      <c r="CB13" s="31" t="inlineStr"/>
      <c r="CC13" s="7" t="inlineStr"/>
      <c r="CD13" s="7" t="inlineStr"/>
      <c r="CE13" s="7" t="inlineStr"/>
    </row>
    <row r="14">
      <c r="A14" s="254" t="n">
        <v>39083</v>
      </c>
      <c r="B14" s="3" t="n">
        <v>0</v>
      </c>
      <c r="C14" s="40" t="n">
        <v>18</v>
      </c>
      <c r="D14" s="31" t="n">
        <v>0</v>
      </c>
      <c r="E14" s="7" t="n">
        <v>0</v>
      </c>
      <c r="F14" s="7" t="n">
        <v>0</v>
      </c>
      <c r="G14" s="7" t="inlineStr"/>
      <c r="H14" s="40" t="n">
        <v>22.96858158455639</v>
      </c>
      <c r="I14" s="31" t="n">
        <v>2.968952680980539</v>
      </c>
      <c r="J14" s="7" t="n">
        <v>2.447206574941401</v>
      </c>
      <c r="K14" s="7" t="n">
        <v>3.092853063259714</v>
      </c>
      <c r="L14" s="7" t="inlineStr"/>
      <c r="M14" s="40" t="n">
        <v>21.02378131026535</v>
      </c>
      <c r="N14" s="31" t="n">
        <v>19.55387762044666</v>
      </c>
      <c r="O14" s="7" t="n">
        <v>18.10735604092573</v>
      </c>
      <c r="P14" s="40" t="n">
        <v>65.57886597938143</v>
      </c>
      <c r="Q14" s="31" t="n">
        <v>0</v>
      </c>
      <c r="R14" s="7" t="n">
        <v>0</v>
      </c>
      <c r="S14" s="7" t="n">
        <v>0</v>
      </c>
      <c r="T14" s="7" t="inlineStr"/>
      <c r="U14" s="40" t="n">
        <v>11</v>
      </c>
      <c r="V14" s="31" t="n">
        <v>0</v>
      </c>
      <c r="W14" s="7" t="n">
        <v>0</v>
      </c>
      <c r="X14" s="7" t="n">
        <v>0</v>
      </c>
      <c r="Y14" s="7" t="inlineStr"/>
      <c r="Z14" s="40" t="n">
        <v>7.040252078791696</v>
      </c>
      <c r="AA14" s="31" t="n">
        <v>1.494520665957345</v>
      </c>
      <c r="AB14" s="7" t="n">
        <v>1.512906811932699</v>
      </c>
      <c r="AC14" s="7" t="n">
        <v>1.689561189398256</v>
      </c>
      <c r="AD14" s="7" t="inlineStr"/>
      <c r="AE14" s="9" t="n">
        <v>38.66425088860831</v>
      </c>
      <c r="AF14" s="7" t="n">
        <v>41.34069271117619</v>
      </c>
      <c r="AG14" s="7" t="n">
        <v>43.37811267067624</v>
      </c>
      <c r="AH14" s="40" t="n">
        <v>2.641771664595024</v>
      </c>
      <c r="AI14" s="31" t="n">
        <v>0.3210588600623434</v>
      </c>
      <c r="AJ14" s="7" t="n">
        <v>0.5876539884817199</v>
      </c>
      <c r="AK14" s="7" t="n">
        <v>0.4546550437160306</v>
      </c>
      <c r="AL14" s="7" t="inlineStr"/>
      <c r="AM14" s="40" t="n">
        <v>0.7366181734185816</v>
      </c>
      <c r="AN14" s="31" t="n">
        <v>0.06454441616463147</v>
      </c>
      <c r="AO14" s="7" t="n">
        <v>0.05725942633294073</v>
      </c>
      <c r="AP14" s="7" t="n">
        <v>0.06911156426106857</v>
      </c>
      <c r="AQ14" s="7" t="inlineStr"/>
      <c r="AR14" s="40" t="n">
        <v>9.380785962072153</v>
      </c>
      <c r="AS14" s="31" t="n">
        <v>1.459953708256534</v>
      </c>
      <c r="AT14" s="7" t="n">
        <v>1.156054208243211</v>
      </c>
      <c r="AU14" s="7" t="n">
        <v>1.49966496580393</v>
      </c>
      <c r="AV14" s="7" t="inlineStr"/>
      <c r="AW14" s="40" t="n">
        <v>27.43523007979054</v>
      </c>
      <c r="AX14" s="31" t="n">
        <v>4.493798127991194</v>
      </c>
      <c r="AY14" s="7" t="n">
        <v>4.080219851757532</v>
      </c>
      <c r="AZ14" s="7" t="n">
        <v>4.859288392980886</v>
      </c>
      <c r="BA14" s="7" t="inlineStr"/>
      <c r="BB14" s="40" t="n">
        <v>135.5174028123871</v>
      </c>
      <c r="BC14" s="31" t="n">
        <v>0</v>
      </c>
      <c r="BD14" s="7" t="n">
        <v>0</v>
      </c>
      <c r="BE14" s="7" t="n">
        <v>0</v>
      </c>
      <c r="BF14" s="7" t="inlineStr"/>
      <c r="BG14" s="40" t="n">
        <v>6.608928095913011</v>
      </c>
      <c r="BH14" s="31" t="n">
        <v>0</v>
      </c>
      <c r="BI14" s="7" t="inlineStr"/>
      <c r="BJ14" s="7" t="inlineStr"/>
      <c r="BK14" s="7" t="inlineStr"/>
      <c r="BL14" s="40" t="n">
        <v>2.3</v>
      </c>
      <c r="BM14" s="40" t="n">
        <v>0</v>
      </c>
      <c r="BN14" s="40" t="n">
        <v>0</v>
      </c>
      <c r="BO14" s="40" t="n">
        <v>0</v>
      </c>
      <c r="BP14" s="40" t="inlineStr"/>
      <c r="BQ14" s="40" t="n">
        <v>22.31573283091665</v>
      </c>
      <c r="BR14" s="31" t="n">
        <v>2.212829975774067</v>
      </c>
      <c r="BS14" s="7" t="n">
        <v>1.2945584171859</v>
      </c>
      <c r="BT14" s="7" t="n">
        <v>2.0557766568798</v>
      </c>
      <c r="BU14" s="7" t="inlineStr"/>
      <c r="BV14" s="40" t="n">
        <v>6.565634550012896</v>
      </c>
      <c r="BW14" s="31" t="n">
        <v>9.608427245533363</v>
      </c>
      <c r="BX14" s="7" t="inlineStr"/>
      <c r="BY14" s="7" t="inlineStr"/>
      <c r="BZ14" s="7" t="inlineStr"/>
      <c r="CA14" s="40" t="n">
        <v>-20.38863038532101</v>
      </c>
      <c r="CB14" s="31" t="inlineStr"/>
      <c r="CC14" s="7" t="inlineStr"/>
      <c r="CD14" s="7" t="inlineStr"/>
      <c r="CE14" s="7" t="inlineStr"/>
    </row>
    <row r="15">
      <c r="A15" s="254" t="n">
        <v>39173</v>
      </c>
      <c r="B15" s="3" t="n">
        <v>0</v>
      </c>
      <c r="C15" s="40" t="n">
        <v>18</v>
      </c>
      <c r="D15" s="31" t="n">
        <v>0</v>
      </c>
      <c r="E15" s="7" t="n">
        <v>0</v>
      </c>
      <c r="F15" s="7" t="n">
        <v>0</v>
      </c>
      <c r="G15" s="7" t="inlineStr"/>
      <c r="H15" s="40" t="n">
        <v>23.85800129549882</v>
      </c>
      <c r="I15" s="31" t="n">
        <v>3.21340822600791</v>
      </c>
      <c r="J15" s="7" t="n">
        <v>2.697062422859249</v>
      </c>
      <c r="K15" s="7" t="n">
        <v>3.37047113046679</v>
      </c>
      <c r="L15" s="7" t="inlineStr"/>
      <c r="M15" s="40" t="n">
        <v>21.52015289581107</v>
      </c>
      <c r="N15" s="31" t="n">
        <v>20.20770139032226</v>
      </c>
      <c r="O15" s="7" t="n">
        <v>18.74779831727392</v>
      </c>
      <c r="P15" s="40" t="n">
        <v>65.57886597938143</v>
      </c>
      <c r="Q15" s="31" t="n">
        <v>0</v>
      </c>
      <c r="R15" s="7" t="n">
        <v>0</v>
      </c>
      <c r="S15" s="7" t="n">
        <v>0</v>
      </c>
      <c r="T15" s="7" t="inlineStr"/>
      <c r="U15" s="40" t="n">
        <v>11</v>
      </c>
      <c r="V15" s="31" t="n">
        <v>0</v>
      </c>
      <c r="W15" s="7" t="n">
        <v>0</v>
      </c>
      <c r="X15" s="7" t="n">
        <v>0</v>
      </c>
      <c r="Y15" s="7" t="inlineStr"/>
      <c r="Z15" s="40" t="n">
        <v>7.397749082808464</v>
      </c>
      <c r="AA15" s="31" t="n">
        <v>1.472150919606401</v>
      </c>
      <c r="AB15" s="7" t="n">
        <v>1.499954251583707</v>
      </c>
      <c r="AC15" s="7" t="n">
        <v>1.66883149043185</v>
      </c>
      <c r="AD15" s="7" t="inlineStr"/>
      <c r="AE15" s="9" t="n">
        <v>37.05008820258638</v>
      </c>
      <c r="AF15" s="7" t="n">
        <v>39.9524244486031</v>
      </c>
      <c r="AG15" s="7" t="n">
        <v>42.22740156023622</v>
      </c>
      <c r="AH15" s="40" t="n">
        <v>2.751987960157815</v>
      </c>
      <c r="AI15" s="31" t="n">
        <v>0.3677720017351609</v>
      </c>
      <c r="AJ15" s="7" t="n">
        <v>0.4581515394465348</v>
      </c>
      <c r="AK15" s="7" t="n">
        <v>0.4179578421583914</v>
      </c>
      <c r="AL15" s="7" t="inlineStr"/>
      <c r="AM15" s="40" t="n">
        <v>0.7553621740439647</v>
      </c>
      <c r="AN15" s="31" t="n">
        <v>0.06885123888587386</v>
      </c>
      <c r="AO15" s="7" t="n">
        <v>0.06074356968847566</v>
      </c>
      <c r="AP15" s="7" t="n">
        <v>0.07354070830321646</v>
      </c>
      <c r="AQ15" s="7" t="inlineStr"/>
      <c r="AR15" s="40" t="n">
        <v>9.879199238440769</v>
      </c>
      <c r="AS15" s="31" t="n">
        <v>1.664278485029991</v>
      </c>
      <c r="AT15" s="7" t="n">
        <v>1.31713798164978</v>
      </c>
      <c r="AU15" s="7" t="n">
        <v>1.709064690111743</v>
      </c>
      <c r="AV15" s="7" t="inlineStr"/>
      <c r="AW15" s="40" t="n">
        <v>28.66364956350483</v>
      </c>
      <c r="AX15" s="31" t="n">
        <v>4.672502122079557</v>
      </c>
      <c r="AY15" s="7" t="n">
        <v>4.274407293118385</v>
      </c>
      <c r="AZ15" s="7" t="n">
        <v>5.067652913755801</v>
      </c>
      <c r="BA15" s="7" t="inlineStr"/>
      <c r="BB15" s="40" t="n">
        <v>135.5174028123871</v>
      </c>
      <c r="BC15" s="31" t="n">
        <v>0</v>
      </c>
      <c r="BD15" s="7" t="n">
        <v>0</v>
      </c>
      <c r="BE15" s="7" t="n">
        <v>0</v>
      </c>
      <c r="BF15" s="7" t="inlineStr"/>
      <c r="BG15" s="40" t="n">
        <v>6.608928095913011</v>
      </c>
      <c r="BH15" s="31" t="n">
        <v>0</v>
      </c>
      <c r="BI15" s="7" t="n">
        <v>0</v>
      </c>
      <c r="BJ15" s="7" t="n">
        <v>0</v>
      </c>
      <c r="BK15" s="7" t="inlineStr"/>
      <c r="BL15" s="40" t="n">
        <v>2.3</v>
      </c>
      <c r="BM15" s="40" t="n">
        <v>0</v>
      </c>
      <c r="BN15" s="40" t="n">
        <v>0</v>
      </c>
      <c r="BO15" s="40" t="n">
        <v>0</v>
      </c>
      <c r="BP15" s="40" t="inlineStr"/>
      <c r="BQ15" s="40" t="n">
        <v>23.17395786767253</v>
      </c>
      <c r="BR15" s="31" t="n">
        <v>2.702721506303018</v>
      </c>
      <c r="BS15" s="7" t="n">
        <v>1.749774327076011</v>
      </c>
      <c r="BT15" s="7" t="n">
        <v>2.590362089339209</v>
      </c>
      <c r="BU15" s="7" t="inlineStr"/>
      <c r="BV15" s="40" t="n">
        <v>8.588316889457955</v>
      </c>
      <c r="BW15" s="31" t="n">
        <v>9.076488087601907</v>
      </c>
      <c r="BX15" s="7" t="inlineStr"/>
      <c r="BY15" s="7" t="inlineStr"/>
      <c r="BZ15" s="7" t="inlineStr"/>
      <c r="CA15" s="40" t="n">
        <v>-19.01240250560846</v>
      </c>
      <c r="CB15" s="31" t="n">
        <v>5.772445456812722</v>
      </c>
      <c r="CC15" s="7" t="inlineStr"/>
      <c r="CD15" s="7" t="inlineStr"/>
      <c r="CE15" s="7" t="inlineStr"/>
    </row>
    <row r="16">
      <c r="A16" s="254" t="n">
        <v>39264</v>
      </c>
      <c r="B16" s="3" t="n">
        <v>0</v>
      </c>
      <c r="C16" s="40" t="n">
        <v>18</v>
      </c>
      <c r="D16" s="31" t="n">
        <v>0</v>
      </c>
      <c r="E16" s="7" t="n">
        <v>0</v>
      </c>
      <c r="F16" s="7" t="n">
        <v>0</v>
      </c>
      <c r="G16" s="7" t="inlineStr"/>
      <c r="H16" s="40" t="n">
        <v>24.79459537783203</v>
      </c>
      <c r="I16" s="31" t="n">
        <v>3.437976275296879</v>
      </c>
      <c r="J16" s="7" t="n">
        <v>2.941471969933836</v>
      </c>
      <c r="K16" s="7" t="n">
        <v>3.63279960708519</v>
      </c>
      <c r="L16" s="7" t="inlineStr"/>
      <c r="M16" s="40" t="n">
        <v>21.87205130300526</v>
      </c>
      <c r="N16" s="31" t="n">
        <v>20.77600794879407</v>
      </c>
      <c r="O16" s="7" t="n">
        <v>19.35789399999866</v>
      </c>
      <c r="P16" s="40" t="n">
        <v>65.57886597938143</v>
      </c>
      <c r="Q16" s="31" t="n">
        <v>0</v>
      </c>
      <c r="R16" s="7" t="n">
        <v>0</v>
      </c>
      <c r="S16" s="7" t="n">
        <v>0</v>
      </c>
      <c r="T16" s="7" t="inlineStr"/>
      <c r="U16" s="40" t="n">
        <v>11</v>
      </c>
      <c r="V16" s="31" t="n">
        <v>0</v>
      </c>
      <c r="W16" s="7" t="n">
        <v>0</v>
      </c>
      <c r="X16" s="7" t="n">
        <v>0</v>
      </c>
      <c r="Y16" s="7" t="inlineStr"/>
      <c r="Z16" s="40" t="n">
        <v>7.744962213957374</v>
      </c>
      <c r="AA16" s="31" t="n">
        <v>1.442604785989961</v>
      </c>
      <c r="AB16" s="7" t="n">
        <v>1.481920913354399</v>
      </c>
      <c r="AC16" s="7" t="n">
        <v>1.641056058684832</v>
      </c>
      <c r="AD16" s="7" t="inlineStr"/>
      <c r="AE16" s="9" t="n">
        <v>35.34255491043518</v>
      </c>
      <c r="AF16" s="7" t="n">
        <v>38.45781531545333</v>
      </c>
      <c r="AG16" s="7" t="n">
        <v>40.96492983554822</v>
      </c>
      <c r="AH16" s="40" t="n">
        <v>2.87427884008002</v>
      </c>
      <c r="AI16" s="31" t="n">
        <v>0.4159709048120637</v>
      </c>
      <c r="AJ16" s="7" t="n">
        <v>0.3266788951517197</v>
      </c>
      <c r="AK16" s="7" t="n">
        <v>0.4257108372189626</v>
      </c>
      <c r="AL16" s="7" t="inlineStr"/>
      <c r="AM16" s="40" t="n">
        <v>0.774704589747226</v>
      </c>
      <c r="AN16" s="31" t="n">
        <v>0.07261424594043953</v>
      </c>
      <c r="AO16" s="7" t="n">
        <v>0.06437283962480345</v>
      </c>
      <c r="AP16" s="7" t="n">
        <v>0.07769723158435882</v>
      </c>
      <c r="AQ16" s="7" t="inlineStr"/>
      <c r="AR16" s="40" t="n">
        <v>10.43852157788094</v>
      </c>
      <c r="AS16" s="31" t="n">
        <v>1.885600877990123</v>
      </c>
      <c r="AT16" s="7" t="n">
        <v>1.498424832459474</v>
      </c>
      <c r="AU16" s="7" t="n">
        <v>1.939102534139467</v>
      </c>
      <c r="AV16" s="7" t="inlineStr"/>
      <c r="AW16" s="40" t="n">
        <v>29.92045408946428</v>
      </c>
      <c r="AX16" s="31" t="n">
        <v>4.827607791626271</v>
      </c>
      <c r="AY16" s="7" t="n">
        <v>4.458183420654715</v>
      </c>
      <c r="AZ16" s="7" t="n">
        <v>5.255855616435646</v>
      </c>
      <c r="BA16" s="7" t="inlineStr"/>
      <c r="BB16" s="40" t="n">
        <v>135.5174028123871</v>
      </c>
      <c r="BC16" s="31" t="n">
        <v>0</v>
      </c>
      <c r="BD16" s="7" t="n">
        <v>0</v>
      </c>
      <c r="BE16" s="7" t="n">
        <v>0</v>
      </c>
      <c r="BF16" s="7" t="inlineStr"/>
      <c r="BG16" s="40" t="n">
        <v>6.608928095913011</v>
      </c>
      <c r="BH16" s="31" t="n">
        <v>0</v>
      </c>
      <c r="BI16" s="7" t="n">
        <v>0</v>
      </c>
      <c r="BJ16" s="7" t="n">
        <v>0</v>
      </c>
      <c r="BK16" s="7" t="inlineStr"/>
      <c r="BL16" s="40" t="n">
        <v>2.3</v>
      </c>
      <c r="BM16" s="40" t="n">
        <v>0</v>
      </c>
      <c r="BN16" s="40" t="n">
        <v>0</v>
      </c>
      <c r="BO16" s="40" t="n">
        <v>0</v>
      </c>
      <c r="BP16" s="40" t="inlineStr"/>
      <c r="BQ16" s="40" t="n">
        <v>24.14645196720158</v>
      </c>
      <c r="BR16" s="31" t="n">
        <v>3.184347847775456</v>
      </c>
      <c r="BS16" s="7" t="n">
        <v>2.216888086618731</v>
      </c>
      <c r="BT16" s="7" t="n">
        <v>3.12541260709925</v>
      </c>
      <c r="BU16" s="7" t="inlineStr"/>
      <c r="BV16" s="40" t="n">
        <v>10.42522106055582</v>
      </c>
      <c r="BW16" s="31" t="n">
        <v>8.426289607795868</v>
      </c>
      <c r="BX16" s="7" t="inlineStr"/>
      <c r="BY16" s="7" t="inlineStr"/>
      <c r="BZ16" s="7" t="inlineStr"/>
      <c r="CA16" s="40" t="n">
        <v>-17.7390570455966</v>
      </c>
      <c r="CB16" s="31" t="n">
        <v>5.562417840054145</v>
      </c>
      <c r="CC16" s="7" t="inlineStr"/>
      <c r="CD16" s="7" t="inlineStr"/>
      <c r="CE16" s="7" t="inlineStr"/>
    </row>
    <row r="17">
      <c r="A17" s="254" t="n">
        <v>39356</v>
      </c>
      <c r="B17" s="3" t="n">
        <v>0</v>
      </c>
      <c r="C17" s="40" t="n">
        <v>18</v>
      </c>
      <c r="D17" s="31" t="n">
        <v>0</v>
      </c>
      <c r="E17" s="7" t="n">
        <v>0</v>
      </c>
      <c r="F17" s="7" t="n">
        <v>0</v>
      </c>
      <c r="G17" s="7" t="inlineStr"/>
      <c r="H17" s="40" t="n">
        <v>25.77135209373243</v>
      </c>
      <c r="I17" s="31" t="n">
        <v>3.638514303883081</v>
      </c>
      <c r="J17" s="7" t="n">
        <v>3.17444955561427</v>
      </c>
      <c r="K17" s="7" t="n">
        <v>3.874188330502136</v>
      </c>
      <c r="L17" s="7" t="inlineStr"/>
      <c r="M17" s="40" t="n">
        <v>22.07117332153166</v>
      </c>
      <c r="N17" s="31" t="n">
        <v>21.23613937926814</v>
      </c>
      <c r="O17" s="7" t="n">
        <v>19.91797927256907</v>
      </c>
      <c r="P17" s="40" t="n">
        <v>65.57886597938143</v>
      </c>
      <c r="Q17" s="31" t="n">
        <v>0</v>
      </c>
      <c r="R17" s="7" t="n">
        <v>0</v>
      </c>
      <c r="S17" s="7" t="n">
        <v>0</v>
      </c>
      <c r="T17" s="7" t="inlineStr"/>
      <c r="U17" s="40" t="n">
        <v>11</v>
      </c>
      <c r="V17" s="31" t="n">
        <v>0</v>
      </c>
      <c r="W17" s="7" t="n">
        <v>0</v>
      </c>
      <c r="X17" s="7" t="n">
        <v>0</v>
      </c>
      <c r="Y17" s="7" t="inlineStr"/>
      <c r="Z17" s="40" t="n">
        <v>8.079667855411856</v>
      </c>
      <c r="AA17" s="31" t="n">
        <v>1.405174365019908</v>
      </c>
      <c r="AB17" s="7" t="n">
        <v>1.457860328238015</v>
      </c>
      <c r="AC17" s="7" t="n">
        <v>1.605281471800715</v>
      </c>
      <c r="AD17" s="7" t="inlineStr"/>
      <c r="AE17" s="9" t="n">
        <v>33.55391497045684</v>
      </c>
      <c r="AF17" s="7" t="n">
        <v>36.86424600748404</v>
      </c>
      <c r="AG17" s="7" t="n">
        <v>39.59578372545502</v>
      </c>
      <c r="AH17" s="40" t="n">
        <v>3.007816259686634</v>
      </c>
      <c r="AI17" s="31" t="n">
        <v>0.4638781148831956</v>
      </c>
      <c r="AJ17" s="7" t="n">
        <v>0.3705638771771631</v>
      </c>
      <c r="AK17" s="7" t="n">
        <v>0.4775785330376467</v>
      </c>
      <c r="AL17" s="7" t="inlineStr"/>
      <c r="AM17" s="40" t="n">
        <v>0.7941837829042128</v>
      </c>
      <c r="AN17" s="31" t="n">
        <v>0.07535173849178822</v>
      </c>
      <c r="AO17" s="7" t="n">
        <v>0.06778562809634636</v>
      </c>
      <c r="AP17" s="7" t="n">
        <v>0.08108321483514469</v>
      </c>
      <c r="AQ17" s="7" t="inlineStr"/>
      <c r="AR17" s="40" t="n">
        <v>11.06046328650408</v>
      </c>
      <c r="AS17" s="31" t="n">
        <v>2.120425839536447</v>
      </c>
      <c r="AT17" s="7" t="n">
        <v>1.697739602066038</v>
      </c>
      <c r="AU17" s="7" t="n">
        <v>2.186438034647741</v>
      </c>
      <c r="AV17" s="7" t="inlineStr"/>
      <c r="AW17" s="40" t="n">
        <v>31.19742929412653</v>
      </c>
      <c r="AX17" s="31" t="n">
        <v>4.9547419455916</v>
      </c>
      <c r="AY17" s="7" t="n">
        <v>4.625860720472623</v>
      </c>
      <c r="AZ17" s="7" t="n">
        <v>5.41828496593422</v>
      </c>
      <c r="BA17" s="7" t="inlineStr"/>
      <c r="BB17" s="40" t="n">
        <v>135.5174028123871</v>
      </c>
      <c r="BC17" s="31" t="n">
        <v>0</v>
      </c>
      <c r="BD17" s="7" t="n">
        <v>0</v>
      </c>
      <c r="BE17" s="7" t="n">
        <v>0</v>
      </c>
      <c r="BF17" s="7" t="inlineStr"/>
      <c r="BG17" s="40" t="n">
        <v>6.608928095913011</v>
      </c>
      <c r="BH17" s="31" t="n">
        <v>0</v>
      </c>
      <c r="BI17" s="7" t="n">
        <v>0</v>
      </c>
      <c r="BJ17" s="7" t="n">
        <v>0</v>
      </c>
      <c r="BK17" s="7" t="inlineStr"/>
      <c r="BL17" s="40" t="n">
        <v>2.3</v>
      </c>
      <c r="BM17" s="40" t="n">
        <v>0</v>
      </c>
      <c r="BN17" s="40" t="n">
        <v>0</v>
      </c>
      <c r="BO17" s="40" t="n">
        <v>0</v>
      </c>
      <c r="BP17" s="40" t="inlineStr"/>
      <c r="BQ17" s="40" t="n">
        <v>25.22638701701277</v>
      </c>
      <c r="BR17" s="31" t="n">
        <v>3.649109207208824</v>
      </c>
      <c r="BS17" s="7" t="n">
        <v>2.686979887244794</v>
      </c>
      <c r="BT17" s="7" t="n">
        <v>3.651125635255752</v>
      </c>
      <c r="BU17" s="7" t="inlineStr"/>
      <c r="BV17" s="40" t="n">
        <v>12.08471382701888</v>
      </c>
      <c r="BW17" s="31" t="n">
        <v>7.722091440991437</v>
      </c>
      <c r="BX17" s="7" t="n">
        <v>8.853411537426885</v>
      </c>
      <c r="BY17" s="7" t="n">
        <v>9.236257177354531</v>
      </c>
      <c r="BZ17" s="7" t="inlineStr"/>
      <c r="CA17" s="40" t="n">
        <v>-16.60670998693276</v>
      </c>
      <c r="CB17" s="31" t="n">
        <v>5.22221594626982</v>
      </c>
      <c r="CC17" s="7" t="inlineStr"/>
      <c r="CD17" s="7" t="inlineStr"/>
      <c r="CE17" s="7" t="inlineStr"/>
    </row>
    <row r="18">
      <c r="A18" s="254" t="n">
        <v>39448</v>
      </c>
      <c r="B18" s="3" t="n">
        <v>0</v>
      </c>
      <c r="C18" s="40" t="n">
        <v>18</v>
      </c>
      <c r="D18" s="31" t="n">
        <v>0</v>
      </c>
      <c r="E18" s="7" t="n">
        <v>0</v>
      </c>
      <c r="F18" s="7" t="n">
        <v>0</v>
      </c>
      <c r="G18" s="7" t="n">
        <v>0</v>
      </c>
      <c r="H18" s="40" t="n">
        <v>26.78061392838793</v>
      </c>
      <c r="I18" s="31" t="n">
        <v>3.812032343831536</v>
      </c>
      <c r="J18" s="7" t="n">
        <v>3.390492512406038</v>
      </c>
      <c r="K18" s="7" t="n">
        <v>4.089837776254061</v>
      </c>
      <c r="L18" s="7" t="n">
        <v>5.414084051555168</v>
      </c>
      <c r="M18" s="40" t="n">
        <v>22.11705694654268</v>
      </c>
      <c r="N18" s="31" t="n">
        <v>21.57041912840401</v>
      </c>
      <c r="O18" s="7" t="n">
        <v>20.40827072914533</v>
      </c>
      <c r="P18" s="40" t="n">
        <v>65.57886597938143</v>
      </c>
      <c r="Q18" s="31" t="n">
        <v>0</v>
      </c>
      <c r="R18" s="7" t="n">
        <v>0</v>
      </c>
      <c r="S18" s="7" t="n">
        <v>0</v>
      </c>
      <c r="T18" s="7" t="n">
        <v>0</v>
      </c>
      <c r="U18" s="40" t="n">
        <v>11</v>
      </c>
      <c r="V18" s="31" t="n">
        <v>0</v>
      </c>
      <c r="W18" s="7" t="n">
        <v>0</v>
      </c>
      <c r="X18" s="7" t="n">
        <v>0</v>
      </c>
      <c r="Y18" s="7" t="n">
        <v>0</v>
      </c>
      <c r="Z18" s="40" t="n">
        <v>8.399438632188152</v>
      </c>
      <c r="AA18" s="31" t="n">
        <v>1.359186553396457</v>
      </c>
      <c r="AB18" s="7" t="n">
        <v>1.426853609676901</v>
      </c>
      <c r="AC18" s="7" t="n">
        <v>1.560587166517507</v>
      </c>
      <c r="AD18" s="7" t="n">
        <v>2.310425436678409</v>
      </c>
      <c r="AE18" s="9" t="n">
        <v>31.69602521664604</v>
      </c>
      <c r="AF18" s="7" t="n">
        <v>35.18013805262717</v>
      </c>
      <c r="AG18" s="7" t="n">
        <v>38.1258035463328</v>
      </c>
      <c r="AH18" s="40" t="n">
        <v>3.151098471297956</v>
      </c>
      <c r="AI18" s="31" t="n">
        <v>0.5093268067029317</v>
      </c>
      <c r="AJ18" s="7" t="n">
        <v>0.4151928333826376</v>
      </c>
      <c r="AK18" s="7" t="n">
        <v>0.5282197753546778</v>
      </c>
      <c r="AL18" s="7" t="n">
        <v>0.753366163668669</v>
      </c>
      <c r="AM18" s="40" t="n">
        <v>0.8131999232789201</v>
      </c>
      <c r="AN18" s="31" t="n">
        <v>0.0765817498603385</v>
      </c>
      <c r="AO18" s="7" t="n">
        <v>0.07056308301248498</v>
      </c>
      <c r="AP18" s="7" t="n">
        <v>0.08315294818576546</v>
      </c>
      <c r="AQ18" s="7" t="n">
        <v>0.1131231238310793</v>
      </c>
      <c r="AR18" s="40" t="n">
        <v>11.74477957443696</v>
      </c>
      <c r="AS18" s="31" t="n">
        <v>2.363993612364805</v>
      </c>
      <c r="AT18" s="7" t="n">
        <v>1.911973660310669</v>
      </c>
      <c r="AU18" s="7" t="n">
        <v>2.446319422064109</v>
      </c>
      <c r="AV18" s="7" t="n">
        <v>3.094118071516649</v>
      </c>
      <c r="AW18" s="40" t="n">
        <v>32.4853101811921</v>
      </c>
      <c r="AX18" s="31" t="n">
        <v>5.050080101401559</v>
      </c>
      <c r="AY18" s="7" t="n">
        <v>4.771939114696377</v>
      </c>
      <c r="AZ18" s="7" t="n">
        <v>5.549700672881631</v>
      </c>
      <c r="BA18" s="7" t="n">
        <v>7.666618804411815</v>
      </c>
      <c r="BB18" s="40" t="n">
        <v>135.5174028123871</v>
      </c>
      <c r="BC18" s="31" t="n">
        <v>0</v>
      </c>
      <c r="BD18" s="7" t="n">
        <v>0</v>
      </c>
      <c r="BE18" s="7" t="n">
        <v>0</v>
      </c>
      <c r="BF18" s="7" t="n">
        <v>0</v>
      </c>
      <c r="BG18" s="40" t="n">
        <v>6.608928095913011</v>
      </c>
      <c r="BH18" s="31" t="n">
        <v>0</v>
      </c>
      <c r="BI18" s="7" t="n">
        <v>0</v>
      </c>
      <c r="BJ18" s="7" t="n">
        <v>0</v>
      </c>
      <c r="BK18" s="7" t="inlineStr"/>
      <c r="BL18" s="40" t="n">
        <v>2.3</v>
      </c>
      <c r="BM18" s="40" t="n">
        <v>0</v>
      </c>
      <c r="BN18" s="40" t="n">
        <v>0</v>
      </c>
      <c r="BO18" s="40" t="n">
        <v>0</v>
      </c>
      <c r="BP18" s="40" t="n">
        <v>0</v>
      </c>
      <c r="BQ18" s="40" t="n">
        <v>26.40550932698105</v>
      </c>
      <c r="BR18" s="31" t="n">
        <v>4.089776496064399</v>
      </c>
      <c r="BS18" s="7" t="n">
        <v>3.151303235919233</v>
      </c>
      <c r="BT18" s="7" t="n">
        <v>4.15850297341284</v>
      </c>
      <c r="BU18" s="7" t="n">
        <v>4.993661070722855</v>
      </c>
      <c r="BV18" s="40" t="n">
        <v>13.56374421564484</v>
      </c>
      <c r="BW18" s="31" t="n">
        <v>6.998109665631948</v>
      </c>
      <c r="BX18" s="7" t="n">
        <v>8.303268455582657</v>
      </c>
      <c r="BY18" s="7" t="n">
        <v>8.50193468162378</v>
      </c>
      <c r="BZ18" s="7" t="inlineStr"/>
      <c r="CA18" s="40" t="n">
        <v>-15.64556904204565</v>
      </c>
      <c r="CB18" s="31" t="n">
        <v>4.743061343275363</v>
      </c>
      <c r="CC18" s="7" t="inlineStr"/>
      <c r="CD18" s="7" t="inlineStr"/>
      <c r="CE18" s="7" t="inlineStr"/>
    </row>
    <row r="19">
      <c r="A19" s="254" t="n">
        <v>39539</v>
      </c>
      <c r="B19" s="3" t="n">
        <v>0</v>
      </c>
      <c r="C19" s="40" t="n">
        <v>18</v>
      </c>
      <c r="D19" s="31" t="n">
        <v>0</v>
      </c>
      <c r="E19" s="7" t="n">
        <v>0</v>
      </c>
      <c r="F19" s="7" t="n">
        <v>0</v>
      </c>
      <c r="G19" s="7" t="n">
        <v>0</v>
      </c>
      <c r="H19" s="40" t="n">
        <v>27.8142665367416</v>
      </c>
      <c r="I19" s="31" t="n">
        <v>3.956265241242779</v>
      </c>
      <c r="J19" s="7" t="n">
        <v>3.584836733625345</v>
      </c>
      <c r="K19" s="7" t="n">
        <v>4.275867256506221</v>
      </c>
      <c r="L19" s="7" t="n">
        <v>5.722199535432644</v>
      </c>
      <c r="M19" s="40" t="n">
        <v>22.01233667299323</v>
      </c>
      <c r="N19" s="31" t="n">
        <v>21.76624478440215</v>
      </c>
      <c r="O19" s="7" t="n">
        <v>20.80924648454591</v>
      </c>
      <c r="P19" s="40" t="n">
        <v>65.57886597938143</v>
      </c>
      <c r="Q19" s="31" t="n">
        <v>0</v>
      </c>
      <c r="R19" s="7" t="n">
        <v>0</v>
      </c>
      <c r="S19" s="7" t="n">
        <v>0</v>
      </c>
      <c r="T19" s="7" t="n">
        <v>0</v>
      </c>
      <c r="U19" s="40" t="n">
        <v>11</v>
      </c>
      <c r="V19" s="31" t="n">
        <v>0</v>
      </c>
      <c r="W19" s="7" t="n">
        <v>0</v>
      </c>
      <c r="X19" s="7" t="n">
        <v>0</v>
      </c>
      <c r="Y19" s="7" t="n">
        <v>0</v>
      </c>
      <c r="Z19" s="40" t="n">
        <v>8.701667106621494</v>
      </c>
      <c r="AA19" s="31" t="n">
        <v>1.30391802381303</v>
      </c>
      <c r="AB19" s="7" t="n">
        <v>1.388034471709716</v>
      </c>
      <c r="AC19" s="7" t="n">
        <v>1.506102238531624</v>
      </c>
      <c r="AD19" s="7" t="n">
        <v>2.247237229673263</v>
      </c>
      <c r="AE19" s="9" t="n">
        <v>29.77777965486609</v>
      </c>
      <c r="AF19" s="7" t="n">
        <v>33.41393392872624</v>
      </c>
      <c r="AG19" s="7" t="n">
        <v>36.5608761840241</v>
      </c>
      <c r="AH19" s="40" t="n">
        <v>3.302016319858621</v>
      </c>
      <c r="AI19" s="31" t="n">
        <v>0.5500283597008062</v>
      </c>
      <c r="AJ19" s="7" t="n">
        <v>0.4589001807179836</v>
      </c>
      <c r="AK19" s="7" t="n">
        <v>0.575339415569684</v>
      </c>
      <c r="AL19" s="7" t="n">
        <v>0.7638977802571367</v>
      </c>
      <c r="AM19" s="40" t="n">
        <v>0.8312074401343384</v>
      </c>
      <c r="AN19" s="31" t="n">
        <v>0.07584526609037379</v>
      </c>
      <c r="AO19" s="7" t="n">
        <v>0.07234825248812382</v>
      </c>
      <c r="AP19" s="7" t="n">
        <v>0.08351969428806261</v>
      </c>
      <c r="AQ19" s="7" t="n">
        <v>0.1152055904759793</v>
      </c>
      <c r="AR19" s="40" t="n">
        <v>12.48953405224744</v>
      </c>
      <c r="AS19" s="31" t="n">
        <v>2.610334813806666</v>
      </c>
      <c r="AT19" s="7" t="n">
        <v>2.137306649418329</v>
      </c>
      <c r="AU19" s="7" t="n">
        <v>2.713080484796919</v>
      </c>
      <c r="AV19" s="7" t="n">
        <v>3.449197380256189</v>
      </c>
      <c r="AW19" s="40" t="n">
        <v>33.7736250955905</v>
      </c>
      <c r="AX19" s="31" t="n">
        <v>5.10997553208567</v>
      </c>
      <c r="AY19" s="7" t="n">
        <v>4.891238827082613</v>
      </c>
      <c r="AZ19" s="7" t="n">
        <v>5.645030808605942</v>
      </c>
      <c r="BA19" s="7" t="n">
        <v>7.854057068400497</v>
      </c>
      <c r="BB19" s="40" t="n">
        <v>135.5174028123871</v>
      </c>
      <c r="BC19" s="31" t="n">
        <v>0</v>
      </c>
      <c r="BD19" s="7" t="n">
        <v>0</v>
      </c>
      <c r="BE19" s="7" t="n">
        <v>0</v>
      </c>
      <c r="BF19" s="7" t="n">
        <v>0</v>
      </c>
      <c r="BG19" s="40" t="n">
        <v>6.608928095913011</v>
      </c>
      <c r="BH19" s="31" t="n">
        <v>0</v>
      </c>
      <c r="BI19" s="7" t="n">
        <v>0</v>
      </c>
      <c r="BJ19" s="7" t="n">
        <v>0</v>
      </c>
      <c r="BK19" s="7" t="n">
        <v>0</v>
      </c>
      <c r="BL19" s="40" t="n">
        <v>2.3</v>
      </c>
      <c r="BM19" s="40" t="n">
        <v>0</v>
      </c>
      <c r="BN19" s="40" t="n">
        <v>0</v>
      </c>
      <c r="BO19" s="40" t="n">
        <v>0</v>
      </c>
      <c r="BP19" s="40" t="n">
        <v>0</v>
      </c>
      <c r="BQ19" s="40" t="n">
        <v>27.67507005480323</v>
      </c>
      <c r="BR19" s="31" t="n">
        <v>4.501112187130698</v>
      </c>
      <c r="BS19" s="7" t="n">
        <v>3.601916846716858</v>
      </c>
      <c r="BT19" s="7" t="n">
        <v>4.640237892255211</v>
      </c>
      <c r="BU19" s="7" t="n">
        <v>5.706647354342017</v>
      </c>
      <c r="BV19" s="40" t="n">
        <v>14.85140255319553</v>
      </c>
      <c r="BW19" s="31" t="n">
        <v>6.263085663737575</v>
      </c>
      <c r="BX19" s="7" t="n">
        <v>7.669786875669741</v>
      </c>
      <c r="BY19" s="7" t="n">
        <v>7.713775905278801</v>
      </c>
      <c r="BZ19" s="7" t="inlineStr"/>
      <c r="CA19" s="40" t="n">
        <v>-14.87236132015502</v>
      </c>
      <c r="CB19" s="31" t="n">
        <v>4.140041185453448</v>
      </c>
      <c r="CC19" s="7" t="n">
        <v>4.956243321133085</v>
      </c>
      <c r="CD19" s="7" t="n">
        <v>5.041090898192358</v>
      </c>
      <c r="CE19" s="7" t="inlineStr"/>
    </row>
    <row r="20">
      <c r="A20" s="254" t="n">
        <v>39630</v>
      </c>
      <c r="B20" s="3" t="n">
        <v>0</v>
      </c>
      <c r="C20" s="40" t="n">
        <v>18</v>
      </c>
      <c r="D20" s="31" t="n">
        <v>0</v>
      </c>
      <c r="E20" s="7" t="n">
        <v>0</v>
      </c>
      <c r="F20" s="7" t="n">
        <v>0</v>
      </c>
      <c r="G20" s="7" t="n">
        <v>0</v>
      </c>
      <c r="H20" s="40" t="n">
        <v>28.86388954233771</v>
      </c>
      <c r="I20" s="31" t="n">
        <v>4.069294164505681</v>
      </c>
      <c r="J20" s="7" t="n">
        <v>3.75363521990128</v>
      </c>
      <c r="K20" s="7" t="n">
        <v>4.429281078695997</v>
      </c>
      <c r="L20" s="7" t="n">
        <v>5.992623367115321</v>
      </c>
      <c r="M20" s="40" t="n">
        <v>21.76098147341781</v>
      </c>
      <c r="N20" s="31" t="n">
        <v>21.81651638821154</v>
      </c>
      <c r="O20" s="7" t="n">
        <v>21.10433245700199</v>
      </c>
      <c r="P20" s="40" t="n">
        <v>65.57886597938143</v>
      </c>
      <c r="Q20" s="31" t="n">
        <v>0</v>
      </c>
      <c r="R20" s="7" t="n">
        <v>0</v>
      </c>
      <c r="S20" s="7" t="n">
        <v>0</v>
      </c>
      <c r="T20" s="7" t="n">
        <v>0</v>
      </c>
      <c r="U20" s="40" t="n">
        <v>11</v>
      </c>
      <c r="V20" s="31" t="n">
        <v>0</v>
      </c>
      <c r="W20" s="7" t="n">
        <v>0</v>
      </c>
      <c r="X20" s="7" t="n">
        <v>0</v>
      </c>
      <c r="Y20" s="7" t="n">
        <v>0</v>
      </c>
      <c r="Z20" s="40" t="n">
        <v>8.983502794280394</v>
      </c>
      <c r="AA20" s="31" t="n">
        <v>1.23854058032302</v>
      </c>
      <c r="AB20" s="7" t="n">
        <v>1.340572683156491</v>
      </c>
      <c r="AC20" s="7" t="n">
        <v>1.440929308263094</v>
      </c>
      <c r="AD20" s="7" t="n">
        <v>2.17042070675046</v>
      </c>
      <c r="AE20" s="9" t="n">
        <v>27.8044362284661</v>
      </c>
      <c r="AF20" s="7" t="n">
        <v>31.57349556945064</v>
      </c>
      <c r="AG20" s="7" t="n">
        <v>34.90668895312425</v>
      </c>
      <c r="AH20" s="40" t="n">
        <v>3.45844240557502</v>
      </c>
      <c r="AI20" s="31" t="n">
        <v>0.5841635654949999</v>
      </c>
      <c r="AJ20" s="7" t="n">
        <v>0.5000672351535318</v>
      </c>
      <c r="AK20" s="7" t="n">
        <v>0.617040456106587</v>
      </c>
      <c r="AL20" s="7" t="n">
        <v>0.7981295794240459</v>
      </c>
      <c r="AM20" s="40" t="n">
        <v>0.8480383947992398</v>
      </c>
      <c r="AN20" s="31" t="n">
        <v>0.07333380505201381</v>
      </c>
      <c r="AO20" s="7" t="n">
        <v>0.07297402549622667</v>
      </c>
      <c r="AP20" s="7" t="n">
        <v>0.08226358583093296</v>
      </c>
      <c r="AQ20" s="7" t="n">
        <v>0.1155921780186037</v>
      </c>
      <c r="AR20" s="40" t="n">
        <v>13.29215399241448</v>
      </c>
      <c r="AS20" s="31" t="n">
        <v>2.853632414533543</v>
      </c>
      <c r="AT20" s="7" t="n">
        <v>2.369616646261833</v>
      </c>
      <c r="AU20" s="7" t="n">
        <v>2.981373762609383</v>
      </c>
      <c r="AV20" s="7" t="n">
        <v>3.814766422331049</v>
      </c>
      <c r="AW20" s="40" t="n">
        <v>35.050338065834</v>
      </c>
      <c r="AX20" s="31" t="n">
        <v>5.129883976369729</v>
      </c>
      <c r="AY20" s="7" t="n">
        <v>4.978745883998</v>
      </c>
      <c r="AZ20" s="7" t="n">
        <v>5.698934072078792</v>
      </c>
      <c r="BA20" s="7" t="n">
        <v>7.992537528783796</v>
      </c>
      <c r="BB20" s="40" t="n">
        <v>135.5174028123871</v>
      </c>
      <c r="BC20" s="31" t="n">
        <v>0</v>
      </c>
      <c r="BD20" s="7" t="n">
        <v>0</v>
      </c>
      <c r="BE20" s="7" t="n">
        <v>0</v>
      </c>
      <c r="BF20" s="7" t="n">
        <v>0</v>
      </c>
      <c r="BG20" s="40" t="n">
        <v>6.608928095913011</v>
      </c>
      <c r="BH20" s="31" t="n">
        <v>0</v>
      </c>
      <c r="BI20" s="7" t="n">
        <v>0</v>
      </c>
      <c r="BJ20" s="7" t="n">
        <v>0</v>
      </c>
      <c r="BK20" s="7" t="n">
        <v>0</v>
      </c>
      <c r="BL20" s="40" t="n">
        <v>2.3</v>
      </c>
      <c r="BM20" s="40" t="n">
        <v>0</v>
      </c>
      <c r="BN20" s="40" t="n">
        <v>0</v>
      </c>
      <c r="BO20" s="40" t="n">
        <v>0</v>
      </c>
      <c r="BP20" s="40" t="n">
        <v>0</v>
      </c>
      <c r="BQ20" s="40" t="n">
        <v>29.02680309072248</v>
      </c>
      <c r="BR20" s="31" t="n">
        <v>4.880351123520899</v>
      </c>
      <c r="BS20" s="7" t="n">
        <v>4.032349485648178</v>
      </c>
      <c r="BT20" s="7" t="n">
        <v>5.091491716495245</v>
      </c>
      <c r="BU20" s="7" t="n">
        <v>6.391658653487706</v>
      </c>
      <c r="BV20" s="40" t="n">
        <v>15.93244879018806</v>
      </c>
      <c r="BW20" s="31" t="n">
        <v>5.507227729632238</v>
      </c>
      <c r="BX20" s="7" t="n">
        <v>6.966758668714053</v>
      </c>
      <c r="BY20" s="7" t="n">
        <v>6.877375423353895</v>
      </c>
      <c r="BZ20" s="7" t="inlineStr"/>
      <c r="CA20" s="40" t="n">
        <v>-14.28855897566524</v>
      </c>
      <c r="CB20" s="31" t="n">
        <v>3.45049806993136</v>
      </c>
      <c r="CC20" s="7" t="n">
        <v>4.506457954992753</v>
      </c>
      <c r="CD20" s="7" t="n">
        <v>4.385832412398862</v>
      </c>
      <c r="CE20" s="7" t="inlineStr"/>
    </row>
    <row r="21" customFormat="1" s="179">
      <c r="A21" s="254" t="n">
        <v>39722</v>
      </c>
      <c r="B21" s="77" t="n">
        <v>0</v>
      </c>
      <c r="C21" s="78" t="n">
        <v>18</v>
      </c>
      <c r="D21" s="82" t="n">
        <v>0</v>
      </c>
      <c r="E21" s="83" t="n">
        <v>0</v>
      </c>
      <c r="F21" s="83" t="n">
        <v>0</v>
      </c>
      <c r="G21" s="83" t="n">
        <v>0</v>
      </c>
      <c r="H21" s="78" t="n">
        <v>29.9203313861389</v>
      </c>
      <c r="I21" s="82" t="n">
        <v>4.148979292406466</v>
      </c>
      <c r="J21" s="83" t="n">
        <v>3.893746798144774</v>
      </c>
      <c r="K21" s="83" t="n">
        <v>4.547314117521868</v>
      </c>
      <c r="L21" s="83" t="n">
        <v>6.21971203555206</v>
      </c>
      <c r="M21" s="78" t="n">
        <v>21.36418213540514</v>
      </c>
      <c r="N21" s="82" t="n">
        <v>21.7176777284684</v>
      </c>
      <c r="O21" s="83" t="n">
        <v>21.27882029798047</v>
      </c>
      <c r="P21" s="78" t="n">
        <v>65.57886597938143</v>
      </c>
      <c r="Q21" s="82" t="n">
        <v>0</v>
      </c>
      <c r="R21" s="83" t="n">
        <v>0</v>
      </c>
      <c r="S21" s="83" t="n">
        <v>0</v>
      </c>
      <c r="T21" s="83" t="n">
        <v>0</v>
      </c>
      <c r="U21" s="40" t="n">
        <v>11</v>
      </c>
      <c r="V21" s="82" t="n">
        <v>0</v>
      </c>
      <c r="W21" s="83" t="n">
        <v>0</v>
      </c>
      <c r="X21" s="83" t="n">
        <v>0</v>
      </c>
      <c r="Y21" s="83" t="n">
        <v>0</v>
      </c>
      <c r="Z21" s="40" t="n">
        <v>9.241838034929694</v>
      </c>
      <c r="AA21" s="82" t="n">
        <v>1.162170179517839</v>
      </c>
      <c r="AB21" s="83" t="n">
        <v>1.283672272268873</v>
      </c>
      <c r="AC21" s="83" t="n">
        <v>1.364121378123272</v>
      </c>
      <c r="AD21" s="83" t="n">
        <v>2.078557413480442</v>
      </c>
      <c r="AE21" s="9" t="n">
        <v>25.77899730253796</v>
      </c>
      <c r="AF21" s="7" t="n">
        <v>29.6664561364974</v>
      </c>
      <c r="AG21" s="7" t="n">
        <v>33.16916310583535</v>
      </c>
      <c r="AH21" s="40" t="n">
        <v>3.61810046203258</v>
      </c>
      <c r="AI21" s="82" t="n">
        <v>0.6102842023459463</v>
      </c>
      <c r="AJ21" s="83" t="n">
        <v>0.537081158614571</v>
      </c>
      <c r="AK21" s="83" t="n">
        <v>0.6516817037757638</v>
      </c>
      <c r="AL21" s="83" t="n">
        <v>0.8546608562317362</v>
      </c>
      <c r="AM21" s="40" t="n">
        <v>0.8638128277000096</v>
      </c>
      <c r="AN21" s="82" t="n">
        <v>0.06962904479579679</v>
      </c>
      <c r="AO21" s="83" t="n">
        <v>0.07249039164379251</v>
      </c>
      <c r="AP21" s="83" t="n">
        <v>0.07979451235764612</v>
      </c>
      <c r="AQ21" s="83" t="n">
        <v>0.1145266538942382</v>
      </c>
      <c r="AR21" s="78" t="n">
        <v>14.14853414511948</v>
      </c>
      <c r="AS21" s="82" t="n">
        <v>3.088070858615396</v>
      </c>
      <c r="AT21" s="83" t="n">
        <v>2.604248349075921</v>
      </c>
      <c r="AU21" s="83" t="n">
        <v>3.245349753748922</v>
      </c>
      <c r="AV21" s="83" t="n">
        <v>4.183606401748337</v>
      </c>
      <c r="AW21" s="40" t="n">
        <v>36.30208311700662</v>
      </c>
      <c r="AX21" s="82" t="n">
        <v>5.104653822880096</v>
      </c>
      <c r="AY21" s="83" t="n">
        <v>5.029697884235848</v>
      </c>
      <c r="AZ21" s="83" t="n">
        <v>5.705992652251911</v>
      </c>
      <c r="BA21" s="83" t="n">
        <v>8.073761678483155</v>
      </c>
      <c r="BB21" s="40" t="n">
        <v>135.5174028123871</v>
      </c>
      <c r="BC21" s="82" t="n">
        <v>0</v>
      </c>
      <c r="BD21" s="83" t="n">
        <v>0</v>
      </c>
      <c r="BE21" s="83" t="n">
        <v>0</v>
      </c>
      <c r="BF21" s="83" t="n">
        <v>0</v>
      </c>
      <c r="BG21" s="40" t="n">
        <v>6.608928095913011</v>
      </c>
      <c r="BH21" s="82" t="n">
        <v>0</v>
      </c>
      <c r="BI21" s="83" t="n">
        <v>0</v>
      </c>
      <c r="BJ21" s="83" t="n">
        <v>0</v>
      </c>
      <c r="BK21" s="83" t="n">
        <v>0</v>
      </c>
      <c r="BL21" s="40" t="n">
        <v>2.3</v>
      </c>
      <c r="BM21" s="78" t="n">
        <v>0</v>
      </c>
      <c r="BN21" s="78" t="n">
        <v>0</v>
      </c>
      <c r="BO21" s="78" t="n">
        <v>0</v>
      </c>
      <c r="BP21" s="78" t="n">
        <v>0</v>
      </c>
      <c r="BQ21" s="78" t="n">
        <v>30.45184105192976</v>
      </c>
      <c r="BR21" s="82" t="n">
        <v>5.225454034916993</v>
      </c>
      <c r="BS21" s="83" t="n">
        <v>4.437281621062908</v>
      </c>
      <c r="BT21" s="83" t="n">
        <v>5.508442306290476</v>
      </c>
      <c r="BU21" s="83" t="n">
        <v>7.040519339965122</v>
      </c>
      <c r="BV21" s="78" t="n">
        <v>16.78786584915079</v>
      </c>
      <c r="BW21" s="82" t="n">
        <v>4.703152022131912</v>
      </c>
      <c r="BX21" s="83" t="n">
        <v>6.212621731561674</v>
      </c>
      <c r="BY21" s="83" t="n">
        <v>5.99110281513811</v>
      </c>
      <c r="BZ21" s="83" t="n">
        <v>10.18620230053728</v>
      </c>
      <c r="CA21" s="40" t="n">
        <v>-13.88305822623412</v>
      </c>
      <c r="CB21" s="82" t="n">
        <v>2.723651760698639</v>
      </c>
      <c r="CC21" s="83" t="n">
        <v>3.972933853484229</v>
      </c>
      <c r="CD21" s="83" t="n">
        <v>3.664718673081792</v>
      </c>
      <c r="CE21" s="83" t="inlineStr"/>
    </row>
    <row r="22">
      <c r="A22" s="254" t="n">
        <v>39814</v>
      </c>
      <c r="B22" s="3" t="n">
        <v>1</v>
      </c>
      <c r="C22" s="40" t="n">
        <v>18</v>
      </c>
      <c r="D22" s="31" t="n">
        <v>0</v>
      </c>
      <c r="E22" s="7" t="n">
        <v>0</v>
      </c>
      <c r="F22" s="7" t="n">
        <v>0</v>
      </c>
      <c r="G22" s="7" t="n">
        <v>0</v>
      </c>
      <c r="H22" s="40" t="n">
        <v>30.97293119980385</v>
      </c>
      <c r="I22" s="31" t="n">
        <v>4.19231727141592</v>
      </c>
      <c r="J22" s="7" t="n">
        <v>4.002174807623728</v>
      </c>
      <c r="K22" s="7" t="n">
        <v>4.626477231650622</v>
      </c>
      <c r="L22" s="7" t="n">
        <v>6.397488648914088</v>
      </c>
      <c r="M22" s="40" t="n">
        <v>20.81975401598663</v>
      </c>
      <c r="N22" s="31" t="n">
        <v>21.46840548126465</v>
      </c>
      <c r="O22" s="7" t="n">
        <v>21.32019742426489</v>
      </c>
      <c r="P22" s="40" t="n">
        <v>65.57886597938143</v>
      </c>
      <c r="Q22" s="31" t="n">
        <v>0</v>
      </c>
      <c r="R22" s="7" t="n">
        <v>0</v>
      </c>
      <c r="S22" s="7" t="n">
        <v>0</v>
      </c>
      <c r="T22" s="7" t="n">
        <v>0</v>
      </c>
      <c r="U22" s="40" t="n">
        <v>11</v>
      </c>
      <c r="V22" s="31" t="n">
        <v>0</v>
      </c>
      <c r="W22" s="7" t="n">
        <v>0</v>
      </c>
      <c r="X22" s="7" t="n">
        <v>0</v>
      </c>
      <c r="Y22" s="7" t="n">
        <v>0</v>
      </c>
      <c r="Z22" s="40" t="n">
        <v>9.473372596839386</v>
      </c>
      <c r="AA22" s="31" t="n">
        <v>1.073933964651234</v>
      </c>
      <c r="AB22" s="7" t="n">
        <v>1.216560259023845</v>
      </c>
      <c r="AC22" s="7" t="n">
        <v>1.274737871965746</v>
      </c>
      <c r="AD22" s="7" t="n">
        <v>1.97026773905731</v>
      </c>
      <c r="AE22" s="9" t="n">
        <v>23.70555107340954</v>
      </c>
      <c r="AF22" s="7" t="n">
        <v>27.70078814502779</v>
      </c>
      <c r="AG22" s="7" t="n">
        <v>31.35527572622129</v>
      </c>
      <c r="AH22" s="40" t="n">
        <v>3.77843515270493</v>
      </c>
      <c r="AI22" s="31" t="n">
        <v>0.6273366814069736</v>
      </c>
      <c r="AJ22" s="7" t="n">
        <v>0.5683317440549527</v>
      </c>
      <c r="AK22" s="7" t="n">
        <v>0.6777461047944708</v>
      </c>
      <c r="AL22" s="7" t="n">
        <v>0.9023778838457299</v>
      </c>
      <c r="AM22" s="40" t="n">
        <v>0.8789743742547188</v>
      </c>
      <c r="AN22" s="31" t="n">
        <v>0.0657744509757987</v>
      </c>
      <c r="AO22" s="7" t="n">
        <v>0.0711781004180686</v>
      </c>
      <c r="AP22" s="7" t="n">
        <v>0.07683346100140709</v>
      </c>
      <c r="AQ22" s="7" t="n">
        <v>0.1125881753665734</v>
      </c>
      <c r="AR22" s="40" t="n">
        <v>15.05193857520492</v>
      </c>
      <c r="AS22" s="31" t="n">
        <v>3.307159000767962</v>
      </c>
      <c r="AT22" s="7" t="n">
        <v>2.835576306566383</v>
      </c>
      <c r="AU22" s="7" t="n">
        <v>3.497692096565384</v>
      </c>
      <c r="AV22" s="7" t="n">
        <v>4.546714993271491</v>
      </c>
      <c r="AW22" s="40" t="n">
        <v>37.51402706931909</v>
      </c>
      <c r="AX22" s="31" t="n">
        <v>5.028716888126993</v>
      </c>
      <c r="AY22" s="7" t="n">
        <v>5.039398494764276</v>
      </c>
      <c r="AZ22" s="7" t="n">
        <v>5.660512133505414</v>
      </c>
      <c r="BA22" s="7" t="n">
        <v>8.089341025476845</v>
      </c>
      <c r="BB22" s="40" t="n">
        <v>135.5174028123871</v>
      </c>
      <c r="BC22" s="31" t="n">
        <v>0</v>
      </c>
      <c r="BD22" s="7" t="n">
        <v>0</v>
      </c>
      <c r="BE22" s="7" t="n">
        <v>0</v>
      </c>
      <c r="BF22" s="7" t="n">
        <v>0</v>
      </c>
      <c r="BG22" s="40" t="n">
        <v>6.608928095913011</v>
      </c>
      <c r="BH22" s="31" t="n">
        <v>0</v>
      </c>
      <c r="BI22" s="7" t="n">
        <v>0</v>
      </c>
      <c r="BJ22" s="7" t="n">
        <v>0</v>
      </c>
      <c r="BK22" s="7" t="n">
        <v>0</v>
      </c>
      <c r="BL22" s="40" t="n">
        <v>2.3</v>
      </c>
      <c r="BM22" s="40" t="n">
        <v>0</v>
      </c>
      <c r="BN22" s="40" t="n">
        <v>0</v>
      </c>
      <c r="BO22" s="40" t="n">
        <v>0</v>
      </c>
      <c r="BP22" s="40" t="n">
        <v>0</v>
      </c>
      <c r="BQ22" s="40" t="n">
        <v>31.9387564221093</v>
      </c>
      <c r="BR22" s="31" t="n">
        <v>5.533247095128246</v>
      </c>
      <c r="BS22" s="7" t="n">
        <v>4.811511795596322</v>
      </c>
      <c r="BT22" s="7" t="n">
        <v>5.886037271204291</v>
      </c>
      <c r="BU22" s="7" t="n">
        <v>7.644150226027442</v>
      </c>
      <c r="BV22" s="40" t="n">
        <v>17.39923110965731</v>
      </c>
      <c r="BW22" s="31" t="n">
        <v>3.835486894012467</v>
      </c>
      <c r="BX22" s="7" t="n">
        <v>5.416798279822208</v>
      </c>
      <c r="BY22" s="7" t="n">
        <v>5.049312642754213</v>
      </c>
      <c r="BZ22" s="7" t="n">
        <v>8.930069636294999</v>
      </c>
      <c r="CA22" s="40" t="n">
        <v>-13.63568375030633</v>
      </c>
      <c r="CB22" s="31" t="n">
        <v>2.009885291739314</v>
      </c>
      <c r="CC22" s="7" t="n">
        <v>3.376473317507338</v>
      </c>
      <c r="CD22" s="7" t="n">
        <v>2.918859685638523</v>
      </c>
      <c r="CE22" s="7" t="inlineStr"/>
    </row>
    <row r="23">
      <c r="A23" s="254" t="n">
        <v>39904</v>
      </c>
      <c r="B23" s="3" t="n">
        <v>0</v>
      </c>
      <c r="C23" s="40" t="n">
        <v>18</v>
      </c>
      <c r="D23" s="31" t="n">
        <v>0</v>
      </c>
      <c r="E23" s="7" t="n">
        <v>0</v>
      </c>
      <c r="F23" s="7" t="n">
        <v>0</v>
      </c>
      <c r="G23" s="7" t="n">
        <v>0</v>
      </c>
      <c r="H23" s="40" t="n">
        <v>32.00948400818543</v>
      </c>
      <c r="I23" s="31" t="n">
        <v>4.195217471443836</v>
      </c>
      <c r="J23" s="7" t="n">
        <v>4.075741356343308</v>
      </c>
      <c r="K23" s="7" t="n">
        <v>4.662486338126278</v>
      </c>
      <c r="L23" s="7" t="n">
        <v>6.519599599276678</v>
      </c>
      <c r="M23" s="40" t="n">
        <v>20.12635412918405</v>
      </c>
      <c r="N23" s="31" t="n">
        <v>21.06934540108864</v>
      </c>
      <c r="O23" s="7" t="n">
        <v>21.21961456599611</v>
      </c>
      <c r="P23" s="40" t="n">
        <v>65.57886597938143</v>
      </c>
      <c r="Q23" s="31" t="n">
        <v>0</v>
      </c>
      <c r="R23" s="7" t="n">
        <v>0</v>
      </c>
      <c r="S23" s="7" t="n">
        <v>0</v>
      </c>
      <c r="T23" s="7" t="n">
        <v>0</v>
      </c>
      <c r="U23" s="40" t="n">
        <v>11</v>
      </c>
      <c r="V23" s="31" t="n">
        <v>0</v>
      </c>
      <c r="W23" s="7" t="n">
        <v>0</v>
      </c>
      <c r="X23" s="7" t="n">
        <v>0</v>
      </c>
      <c r="Y23" s="7" t="n">
        <v>0</v>
      </c>
      <c r="Z23" s="40" t="n">
        <v>9.674806895705816</v>
      </c>
      <c r="AA23" s="31" t="n">
        <v>0.9731397890843212</v>
      </c>
      <c r="AB23" s="7" t="n">
        <v>1.138528906448676</v>
      </c>
      <c r="AC23" s="7" t="n">
        <v>1.172032106076214</v>
      </c>
      <c r="AD23" s="7" t="n">
        <v>1.844398605923321</v>
      </c>
      <c r="AE23" s="9" t="n">
        <v>21.5923884524683</v>
      </c>
      <c r="AF23" s="7" t="n">
        <v>25.6850840536672</v>
      </c>
      <c r="AG23" s="7" t="n">
        <v>29.47341876997359</v>
      </c>
      <c r="AH23" s="40" t="n">
        <v>3.936666420178473</v>
      </c>
      <c r="AI23" s="31" t="n">
        <v>0.6346501003198517</v>
      </c>
      <c r="AJ23" s="7" t="n">
        <v>0.592339230010329</v>
      </c>
      <c r="AK23" s="7" t="n">
        <v>0.6938944362542756</v>
      </c>
      <c r="AL23" s="7" t="n">
        <v>0.9391322889715856</v>
      </c>
      <c r="AM23" s="40" t="n">
        <v>0.8940277931546712</v>
      </c>
      <c r="AN23" s="31" t="n">
        <v>0.06282035302033273</v>
      </c>
      <c r="AO23" s="7" t="n">
        <v>0.06933280955535326</v>
      </c>
      <c r="AP23" s="7" t="n">
        <v>0.0740923547968424</v>
      </c>
      <c r="AQ23" s="7" t="n">
        <v>0.1103998761831283</v>
      </c>
      <c r="AR23" s="40" t="n">
        <v>15.99297872002733</v>
      </c>
      <c r="AS23" s="31" t="n">
        <v>3.503444667779897</v>
      </c>
      <c r="AT23" s="7" t="n">
        <v>3.056889740793282</v>
      </c>
      <c r="AU23" s="7" t="n">
        <v>3.729838164746202</v>
      </c>
      <c r="AV23" s="7" t="n">
        <v>4.89349627797813</v>
      </c>
      <c r="AW23" s="40" t="n">
        <v>38.66987250906864</v>
      </c>
      <c r="AX23" s="31" t="n">
        <v>4.896247413478136</v>
      </c>
      <c r="AY23" s="7" t="n">
        <v>5.003111472781903</v>
      </c>
      <c r="AZ23" s="7" t="n">
        <v>5.556507949563894</v>
      </c>
      <c r="BA23" s="7" t="n">
        <v>8.03080353876641</v>
      </c>
      <c r="BB23" s="40" t="n">
        <v>135.5174028123871</v>
      </c>
      <c r="BC23" s="31" t="n">
        <v>0</v>
      </c>
      <c r="BD23" s="7" t="n">
        <v>0</v>
      </c>
      <c r="BE23" s="7" t="n">
        <v>0</v>
      </c>
      <c r="BF23" s="7" t="n">
        <v>0</v>
      </c>
      <c r="BG23" s="40" t="n">
        <v>6.608928095913011</v>
      </c>
      <c r="BH23" s="31" t="n">
        <v>0</v>
      </c>
      <c r="BI23" s="7" t="n">
        <v>0</v>
      </c>
      <c r="BJ23" s="7" t="n">
        <v>0</v>
      </c>
      <c r="BK23" s="7" t="n">
        <v>0</v>
      </c>
      <c r="BL23" s="40" t="n">
        <v>2.3</v>
      </c>
      <c r="BM23" s="40" t="n">
        <v>0</v>
      </c>
      <c r="BN23" s="40" t="n">
        <v>0</v>
      </c>
      <c r="BO23" s="40" t="n">
        <v>0</v>
      </c>
      <c r="BP23" s="40" t="n">
        <v>0</v>
      </c>
      <c r="BQ23" s="40" t="n">
        <v>33.47236190007997</v>
      </c>
      <c r="BR23" s="31" t="n">
        <v>5.797291845276742</v>
      </c>
      <c r="BS23" s="7" t="n">
        <v>5.14920201620372</v>
      </c>
      <c r="BT23" s="7" t="n">
        <v>6.216764800275886</v>
      </c>
      <c r="BU23" s="7" t="n">
        <v>8.191434573417563</v>
      </c>
      <c r="BV23" s="40" t="n">
        <v>17.75444436340547</v>
      </c>
      <c r="BW23" s="31" t="n">
        <v>2.903041810209935</v>
      </c>
      <c r="BX23" s="7" t="n">
        <v>4.583063736973755</v>
      </c>
      <c r="BY23" s="7" t="n">
        <v>4.050326326546816</v>
      </c>
      <c r="BZ23" s="7" t="n">
        <v>7.581780906278338</v>
      </c>
      <c r="CA23" s="40" t="n">
        <v>-13.52008753804899</v>
      </c>
      <c r="CB23" s="31" t="n">
        <v>1.352273782106025</v>
      </c>
      <c r="CC23" s="7" t="n">
        <v>2.746157483779736</v>
      </c>
      <c r="CD23" s="7" t="n">
        <v>2.19033756851903</v>
      </c>
      <c r="CE23" s="7" t="n">
        <v>4.478852463545984</v>
      </c>
    </row>
    <row r="24">
      <c r="A24" s="254" t="n">
        <v>39995</v>
      </c>
      <c r="B24" s="3" t="n">
        <v>0</v>
      </c>
      <c r="C24" s="40" t="n">
        <v>18</v>
      </c>
      <c r="D24" s="31" t="n">
        <v>0</v>
      </c>
      <c r="E24" s="7" t="n">
        <v>0</v>
      </c>
      <c r="F24" s="7" t="n">
        <v>0</v>
      </c>
      <c r="G24" s="7" t="n">
        <v>0</v>
      </c>
      <c r="H24" s="40" t="n">
        <v>33.01753342498103</v>
      </c>
      <c r="I24" s="31" t="n">
        <v>4.153643882643323</v>
      </c>
      <c r="J24" s="7" t="n">
        <v>4.111469023574502</v>
      </c>
      <c r="K24" s="7" t="n">
        <v>4.65160041583605</v>
      </c>
      <c r="L24" s="7" t="n">
        <v>6.580574771181066</v>
      </c>
      <c r="M24" s="40" t="n">
        <v>19.28900966946946</v>
      </c>
      <c r="N24" s="31" t="n">
        <v>20.52499557144364</v>
      </c>
      <c r="O24" s="7" t="n">
        <v>20.97401414863085</v>
      </c>
      <c r="P24" s="40" t="n">
        <v>65.57886597938143</v>
      </c>
      <c r="Q24" s="31" t="n">
        <v>0</v>
      </c>
      <c r="R24" s="7" t="n">
        <v>0</v>
      </c>
      <c r="S24" s="7" t="n">
        <v>0</v>
      </c>
      <c r="T24" s="7" t="n">
        <v>0</v>
      </c>
      <c r="U24" s="40" t="n">
        <v>11</v>
      </c>
      <c r="V24" s="31" t="n">
        <v>0</v>
      </c>
      <c r="W24" s="7" t="n">
        <v>0</v>
      </c>
      <c r="X24" s="7" t="n">
        <v>0</v>
      </c>
      <c r="Y24" s="7" t="n">
        <v>0</v>
      </c>
      <c r="Z24" s="40" t="n">
        <v>9.84310048589335</v>
      </c>
      <c r="AA24" s="31" t="n">
        <v>0.8595976916129562</v>
      </c>
      <c r="AB24" s="7" t="n">
        <v>1.049069135967988</v>
      </c>
      <c r="AC24" s="7" t="n">
        <v>1.05569346965158</v>
      </c>
      <c r="AD24" s="7" t="n">
        <v>1.700258135068877</v>
      </c>
      <c r="AE24" s="9" t="n">
        <v>19.45263630998488</v>
      </c>
      <c r="AF24" s="7" t="n">
        <v>23.62853626922549</v>
      </c>
      <c r="AG24" s="7" t="n">
        <v>27.53320914962872</v>
      </c>
      <c r="AH24" s="40" t="n">
        <v>4.090164948929679</v>
      </c>
      <c r="AI24" s="31" t="n">
        <v>0.6317225433546585</v>
      </c>
      <c r="AJ24" s="7" t="n">
        <v>0.6079430544248292</v>
      </c>
      <c r="AK24" s="7" t="n">
        <v>0.6993081575028994</v>
      </c>
      <c r="AL24" s="7" t="n">
        <v>0.9632599459098059</v>
      </c>
      <c r="AM24" s="40" t="n">
        <v>0.9075550230669879</v>
      </c>
      <c r="AN24" s="31" t="n">
        <v>0.05951662826774806</v>
      </c>
      <c r="AO24" s="7" t="n">
        <v>0.06642521665988094</v>
      </c>
      <c r="AP24" s="7" t="n">
        <v>0.07028638232032081</v>
      </c>
      <c r="AQ24" s="7" t="n">
        <v>0.1066340345957301</v>
      </c>
      <c r="AR24" s="40" t="n">
        <v>16.9620566422653</v>
      </c>
      <c r="AS24" s="31" t="n">
        <v>3.669902649850822</v>
      </c>
      <c r="AT24" s="7" t="n">
        <v>3.261767532192183</v>
      </c>
      <c r="AU24" s="7" t="n">
        <v>3.93469365178585</v>
      </c>
      <c r="AV24" s="7" t="n">
        <v>5.214402702998052</v>
      </c>
      <c r="AW24" s="40" t="n">
        <v>39.75390040142351</v>
      </c>
      <c r="AX24" s="31" t="n">
        <v>4.703562335589503</v>
      </c>
      <c r="AY24" s="7" t="n">
        <v>4.916723155979616</v>
      </c>
      <c r="AZ24" s="7" t="n">
        <v>5.389757973723285</v>
      </c>
      <c r="BA24" s="7" t="n">
        <v>7.891604342151002</v>
      </c>
      <c r="BB24" s="40" t="n">
        <v>135.5174028123871</v>
      </c>
      <c r="BC24" s="31" t="n">
        <v>0</v>
      </c>
      <c r="BD24" s="7" t="n">
        <v>0</v>
      </c>
      <c r="BE24" s="7" t="n">
        <v>0</v>
      </c>
      <c r="BF24" s="7" t="n">
        <v>0</v>
      </c>
      <c r="BG24" s="40" t="n">
        <v>6.608928095913011</v>
      </c>
      <c r="BH24" s="31" t="n">
        <v>0</v>
      </c>
      <c r="BI24" s="7" t="n">
        <v>0</v>
      </c>
      <c r="BJ24" s="7" t="n">
        <v>0</v>
      </c>
      <c r="BK24" s="7" t="n">
        <v>0</v>
      </c>
      <c r="BL24" s="40" t="n">
        <v>2.3</v>
      </c>
      <c r="BM24" s="40" t="n">
        <v>0</v>
      </c>
      <c r="BN24" s="40" t="n">
        <v>0</v>
      </c>
      <c r="BO24" s="40" t="n">
        <v>0</v>
      </c>
      <c r="BP24" s="40" t="n">
        <v>0</v>
      </c>
      <c r="BQ24" s="40" t="n">
        <v>35.03423612720705</v>
      </c>
      <c r="BR24" s="31" t="n">
        <v>6.007433036484574</v>
      </c>
      <c r="BS24" s="7" t="n">
        <v>5.443892080002737</v>
      </c>
      <c r="BT24" s="7" t="n">
        <v>6.491338523352034</v>
      </c>
      <c r="BU24" s="7" t="n">
        <v>8.669881672318766</v>
      </c>
      <c r="BV24" s="40" t="n">
        <v>17.85747725525436</v>
      </c>
      <c r="BW24" s="31" t="n">
        <v>1.925028465066303</v>
      </c>
      <c r="BX24" s="7" t="n">
        <v>3.71612809734927</v>
      </c>
      <c r="BY24" s="7" t="n">
        <v>3.007593284152275</v>
      </c>
      <c r="BZ24" s="7" t="n">
        <v>6.164595834664784</v>
      </c>
      <c r="CA24" s="40" t="n">
        <v>-13.50386491065675</v>
      </c>
      <c r="CB24" s="31" t="n">
        <v>0.7846940650084875</v>
      </c>
      <c r="CC24" s="7" t="n">
        <v>2.117596067469924</v>
      </c>
      <c r="CD24" s="7" t="n">
        <v>1.520020824966339</v>
      </c>
      <c r="CE24" s="7" t="n">
        <v>3.556345055573875</v>
      </c>
    </row>
    <row r="25">
      <c r="A25" s="254" t="n">
        <v>40087</v>
      </c>
      <c r="B25" s="3" t="n">
        <v>0</v>
      </c>
      <c r="C25" s="40" t="n">
        <v>18</v>
      </c>
      <c r="D25" s="31" t="n">
        <v>0</v>
      </c>
      <c r="E25" s="7" t="n">
        <v>0</v>
      </c>
      <c r="F25" s="7" t="n">
        <v>0</v>
      </c>
      <c r="G25" s="7" t="n">
        <v>0</v>
      </c>
      <c r="H25" s="40" t="n">
        <v>33.98537094165918</v>
      </c>
      <c r="I25" s="31" t="n">
        <v>4.065039555520286</v>
      </c>
      <c r="J25" s="7" t="n">
        <v>4.107009423963376</v>
      </c>
      <c r="K25" s="7" t="n">
        <v>4.591570676620577</v>
      </c>
      <c r="L25" s="7" t="n">
        <v>6.576669427655393</v>
      </c>
      <c r="M25" s="40" t="n">
        <v>18.3211550239796</v>
      </c>
      <c r="N25" s="31" t="n">
        <v>19.84266857969237</v>
      </c>
      <c r="O25" s="7" t="n">
        <v>20.5855034936388</v>
      </c>
      <c r="P25" s="40" t="n">
        <v>65.57886597938143</v>
      </c>
      <c r="Q25" s="31" t="n">
        <v>0</v>
      </c>
      <c r="R25" s="7" t="n">
        <v>0</v>
      </c>
      <c r="S25" s="7" t="n">
        <v>0</v>
      </c>
      <c r="T25" s="7" t="n">
        <v>0</v>
      </c>
      <c r="U25" s="40" t="n">
        <v>11</v>
      </c>
      <c r="V25" s="31" t="n">
        <v>0</v>
      </c>
      <c r="W25" s="7" t="n">
        <v>0</v>
      </c>
      <c r="X25" s="7" t="n">
        <v>0</v>
      </c>
      <c r="Y25" s="7" t="n">
        <v>0</v>
      </c>
      <c r="Z25" s="40" t="n">
        <v>9.975643705036433</v>
      </c>
      <c r="AA25" s="31" t="n">
        <v>0.7338056701067384</v>
      </c>
      <c r="AB25" s="7" t="n">
        <v>0.9479879248122884</v>
      </c>
      <c r="AC25" s="7" t="n">
        <v>0.9259694048026645</v>
      </c>
      <c r="AD25" s="7" t="n">
        <v>1.537739432718132</v>
      </c>
      <c r="AE25" s="9" t="n">
        <v>17.30347885634058</v>
      </c>
      <c r="AF25" s="7" t="n">
        <v>21.54123807943927</v>
      </c>
      <c r="AG25" s="7" t="n">
        <v>25.54546370977846</v>
      </c>
      <c r="AH25" s="40" t="n">
        <v>4.236487222880235</v>
      </c>
      <c r="AI25" s="31" t="n">
        <v>0.6183867608476552</v>
      </c>
      <c r="AJ25" s="7" t="n">
        <v>0.6143354815968007</v>
      </c>
      <c r="AK25" s="7" t="n">
        <v>0.693644667847249</v>
      </c>
      <c r="AL25" s="7" t="n">
        <v>0.9735941353885535</v>
      </c>
      <c r="AM25" s="40" t="n">
        <v>0.9176281806223822</v>
      </c>
      <c r="AN25" s="31" t="n">
        <v>0.05381535292237261</v>
      </c>
      <c r="AO25" s="7" t="n">
        <v>0.0617221988590847</v>
      </c>
      <c r="AP25" s="7" t="n">
        <v>0.06375323571074487</v>
      </c>
      <c r="AQ25" s="7" t="n">
        <v>0.09958513554610748</v>
      </c>
      <c r="AR25" s="40" t="n">
        <v>17.94934842871227</v>
      </c>
      <c r="AS25" s="31" t="n">
        <v>3.800814283592793</v>
      </c>
      <c r="AT25" s="7" t="n">
        <v>3.444442571104094</v>
      </c>
      <c r="AU25" s="7" t="n">
        <v>4.106543555184771</v>
      </c>
      <c r="AV25" s="7" t="n">
        <v>5.500933160913815</v>
      </c>
      <c r="AW25" s="40" t="n">
        <v>40.7513559195074</v>
      </c>
      <c r="AX25" s="31" t="n">
        <v>4.449272802500772</v>
      </c>
      <c r="AY25" s="7" t="n">
        <v>4.776963312690434</v>
      </c>
      <c r="AZ25" s="7" t="n">
        <v>5.158032702812271</v>
      </c>
      <c r="BA25" s="7" t="n">
        <v>7.667305351602764</v>
      </c>
      <c r="BB25" s="40" t="n">
        <v>135.5174028123871</v>
      </c>
      <c r="BC25" s="31" t="n">
        <v>0</v>
      </c>
      <c r="BD25" s="7" t="n">
        <v>0</v>
      </c>
      <c r="BE25" s="7" t="n">
        <v>0</v>
      </c>
      <c r="BF25" s="7" t="n">
        <v>0</v>
      </c>
      <c r="BG25" s="40" t="n">
        <v>6.608928095913011</v>
      </c>
      <c r="BH25" s="31" t="n">
        <v>0</v>
      </c>
      <c r="BI25" s="7" t="n">
        <v>0</v>
      </c>
      <c r="BJ25" s="7" t="n">
        <v>0</v>
      </c>
      <c r="BK25" s="7" t="n">
        <v>0</v>
      </c>
      <c r="BL25" s="40" t="n">
        <v>2.3</v>
      </c>
      <c r="BM25" s="40" t="n">
        <v>0</v>
      </c>
      <c r="BN25" s="40" t="n">
        <v>0</v>
      </c>
      <c r="BO25" s="40" t="n">
        <v>0</v>
      </c>
      <c r="BP25" s="40" t="n">
        <v>0</v>
      </c>
      <c r="BQ25" s="40" t="n">
        <v>36.60406624549328</v>
      </c>
      <c r="BR25" s="31" t="n">
        <v>6.15222519356352</v>
      </c>
      <c r="BS25" s="7" t="n">
        <v>5.688839614240257</v>
      </c>
      <c r="BT25" s="7" t="n">
        <v>6.700195621637576</v>
      </c>
      <c r="BU25" s="7" t="n">
        <v>9.067034123289922</v>
      </c>
      <c r="BV25" s="40" t="n">
        <v>17.73143572559005</v>
      </c>
      <c r="BW25" s="31" t="n">
        <v>0.943569876439259</v>
      </c>
      <c r="BX25" s="7" t="n">
        <v>2.823360949285585</v>
      </c>
      <c r="BY25" s="7" t="n">
        <v>1.952519730150643</v>
      </c>
      <c r="BZ25" s="7" t="n">
        <v>4.717008821459267</v>
      </c>
      <c r="CA25" s="40" t="n">
        <v>-13.55033738531854</v>
      </c>
      <c r="CB25" s="31" t="n">
        <v>0.3327208409155862</v>
      </c>
      <c r="CC25" s="7" t="n">
        <v>1.528186300807112</v>
      </c>
      <c r="CD25" s="7" t="n">
        <v>0.9441493334370712</v>
      </c>
      <c r="CE25" s="7" t="n">
        <v>2.693405082995923</v>
      </c>
    </row>
    <row r="26">
      <c r="A26" s="254" t="n">
        <v>40179</v>
      </c>
      <c r="B26" s="3" t="n">
        <v>0</v>
      </c>
      <c r="C26" s="40" t="n">
        <v>18</v>
      </c>
      <c r="D26" s="31" t="n">
        <v>0</v>
      </c>
      <c r="E26" s="7" t="n">
        <v>0</v>
      </c>
      <c r="F26" s="7" t="n">
        <v>0</v>
      </c>
      <c r="G26" s="7" t="n">
        <v>0</v>
      </c>
      <c r="H26" s="40" t="n">
        <v>34.90272250891679</v>
      </c>
      <c r="I26" s="31" t="n">
        <v>3.929791309112943</v>
      </c>
      <c r="J26" s="7" t="n">
        <v>4.061054290264432</v>
      </c>
      <c r="K26" s="7" t="n">
        <v>4.482169887887338</v>
      </c>
      <c r="L26" s="7" t="n">
        <v>6.506309898928851</v>
      </c>
      <c r="M26" s="40" t="n">
        <v>17.24404296437774</v>
      </c>
      <c r="N26" s="31" t="n">
        <v>19.03189849018219</v>
      </c>
      <c r="O26" s="7" t="n">
        <v>20.06028464230235</v>
      </c>
      <c r="P26" s="40" t="n">
        <v>65.57886597938143</v>
      </c>
      <c r="Q26" s="31" t="n">
        <v>0</v>
      </c>
      <c r="R26" s="7" t="n">
        <v>0</v>
      </c>
      <c r="S26" s="7" t="n">
        <v>0</v>
      </c>
      <c r="T26" s="7" t="n">
        <v>0</v>
      </c>
      <c r="U26" s="40" t="n">
        <v>11</v>
      </c>
      <c r="V26" s="31" t="n">
        <v>0</v>
      </c>
      <c r="W26" s="7" t="n">
        <v>0</v>
      </c>
      <c r="X26" s="7" t="n">
        <v>0</v>
      </c>
      <c r="Y26" s="7" t="n">
        <v>0</v>
      </c>
      <c r="Z26" s="40" t="n">
        <v>10.07030252555293</v>
      </c>
      <c r="AA26" s="31" t="n">
        <v>0.5969299287135463</v>
      </c>
      <c r="AB26" s="7" t="n">
        <v>0.8354319466823901</v>
      </c>
      <c r="AC26" s="7" t="n">
        <v>0.7836312441160924</v>
      </c>
      <c r="AD26" s="7" t="n">
        <v>1.357302402014257</v>
      </c>
      <c r="AE26" s="9" t="n">
        <v>15.1624890154086</v>
      </c>
      <c r="AF26" s="7" t="n">
        <v>19.43402004440907</v>
      </c>
      <c r="AG26" s="7" t="n">
        <v>23.52135510182139</v>
      </c>
      <c r="AH26" s="40" t="n">
        <v>4.373471046127243</v>
      </c>
      <c r="AI26" s="31" t="n">
        <v>0.5950358934223132</v>
      </c>
      <c r="AJ26" s="7" t="n">
        <v>0.6111862874146434</v>
      </c>
      <c r="AK26" s="7" t="n">
        <v>0.6770446206950558</v>
      </c>
      <c r="AL26" s="7" t="n">
        <v>0.9695322021291606</v>
      </c>
      <c r="AM26" s="40" t="n">
        <v>0.922593830907256</v>
      </c>
      <c r="AN26" s="31" t="n">
        <v>0.04361945665253719</v>
      </c>
      <c r="AO26" s="7" t="n">
        <v>0.05469695381416795</v>
      </c>
      <c r="AP26" s="7" t="n">
        <v>0.0532883362808475</v>
      </c>
      <c r="AQ26" s="7" t="n">
        <v>0.08798444114681825</v>
      </c>
      <c r="AR26" s="40" t="n">
        <v>18.9456403061388</v>
      </c>
      <c r="AS26" s="31" t="n">
        <v>3.893701730933879</v>
      </c>
      <c r="AT26" s="7" t="n">
        <v>3.60043036585092</v>
      </c>
      <c r="AU26" s="7" t="n">
        <v>4.241724789835278</v>
      </c>
      <c r="AV26" s="7" t="n">
        <v>5.746449123194957</v>
      </c>
      <c r="AW26" s="40" t="n">
        <v>41.6491058930914</v>
      </c>
      <c r="AX26" s="31" t="n">
        <v>4.135078823772304</v>
      </c>
      <c r="AY26" s="7" t="n">
        <v>4.581897855949649</v>
      </c>
      <c r="AZ26" s="7" t="n">
        <v>4.861541848223659</v>
      </c>
      <c r="BA26" s="7" t="n">
        <v>7.355999610939058</v>
      </c>
      <c r="BB26" s="40" t="n">
        <v>135.5174028123871</v>
      </c>
      <c r="BC26" s="31" t="n">
        <v>0</v>
      </c>
      <c r="BD26" s="7" t="n">
        <v>0</v>
      </c>
      <c r="BE26" s="7" t="n">
        <v>0</v>
      </c>
      <c r="BF26" s="7" t="n">
        <v>0</v>
      </c>
      <c r="BG26" s="40" t="n">
        <v>6.608928095913011</v>
      </c>
      <c r="BH26" s="31" t="n">
        <v>0</v>
      </c>
      <c r="BI26" s="7" t="n">
        <v>0</v>
      </c>
      <c r="BJ26" s="7" t="n">
        <v>0</v>
      </c>
      <c r="BK26" s="7" t="n">
        <v>0</v>
      </c>
      <c r="BL26" s="40" t="n">
        <v>2.3</v>
      </c>
      <c r="BM26" s="40" t="n">
        <v>0</v>
      </c>
      <c r="BN26" s="40" t="n">
        <v>0</v>
      </c>
      <c r="BO26" s="40" t="n">
        <v>0</v>
      </c>
      <c r="BP26" s="40" t="n">
        <v>0</v>
      </c>
      <c r="BQ26" s="40" t="n">
        <v>38.16189104653257</v>
      </c>
      <c r="BR26" s="31" t="n">
        <v>6.22313462442327</v>
      </c>
      <c r="BS26" s="7" t="n">
        <v>5.878190859775758</v>
      </c>
      <c r="BT26" s="7" t="n">
        <v>6.835810519116801</v>
      </c>
      <c r="BU26" s="7" t="n">
        <v>9.372626554688431</v>
      </c>
      <c r="BV26" s="40" t="n">
        <v>17.41499388451373</v>
      </c>
      <c r="BW26" s="31" t="n">
        <v>0.01576277485641597</v>
      </c>
      <c r="BX26" s="7" t="n">
        <v>1.925624834434442</v>
      </c>
      <c r="BY26" s="7" t="n">
        <v>0.9302376517529254</v>
      </c>
      <c r="BZ26" s="7" t="n">
        <v>3.286499202086063</v>
      </c>
      <c r="CA26" s="40" t="n">
        <v>-13.62087525622402</v>
      </c>
      <c r="CB26" s="31" t="n">
        <v>0.01480849408230966</v>
      </c>
      <c r="CC26" s="7" t="n">
        <v>1.012346892910812</v>
      </c>
      <c r="CD26" s="7" t="n">
        <v>0.4915648873298064</v>
      </c>
      <c r="CE26" s="7" t="n">
        <v>1.932984833100098</v>
      </c>
    </row>
    <row r="27">
      <c r="A27" s="254" t="n">
        <v>40269</v>
      </c>
      <c r="B27" s="3" t="n">
        <v>0</v>
      </c>
      <c r="C27" s="40" t="n">
        <v>18</v>
      </c>
      <c r="D27" s="31" t="n">
        <v>0</v>
      </c>
      <c r="E27" s="7" t="n">
        <v>0</v>
      </c>
      <c r="F27" s="7" t="n">
        <v>0</v>
      </c>
      <c r="G27" s="7" t="n">
        <v>0</v>
      </c>
      <c r="H27" s="40" t="n">
        <v>35.7612306341826</v>
      </c>
      <c r="I27" s="31" t="n">
        <v>3.751746625997171</v>
      </c>
      <c r="J27" s="7" t="n">
        <v>3.973482048720504</v>
      </c>
      <c r="K27" s="7" t="n">
        <v>4.325414440587043</v>
      </c>
      <c r="L27" s="7" t="n">
        <v>6.37030628049796</v>
      </c>
      <c r="M27" s="40" t="n">
        <v>16.08519298155716</v>
      </c>
      <c r="N27" s="31" t="n">
        <v>18.1057735553706</v>
      </c>
      <c r="O27" s="7" t="n">
        <v>19.40796126124481</v>
      </c>
      <c r="P27" s="40" t="n">
        <v>65.57886597938143</v>
      </c>
      <c r="Q27" s="31" t="n">
        <v>0</v>
      </c>
      <c r="R27" s="7" t="n">
        <v>0</v>
      </c>
      <c r="S27" s="7" t="n">
        <v>0</v>
      </c>
      <c r="T27" s="7" t="n">
        <v>0</v>
      </c>
      <c r="U27" s="40" t="n">
        <v>11</v>
      </c>
      <c r="V27" s="31" t="n">
        <v>0</v>
      </c>
      <c r="W27" s="7" t="n">
        <v>0</v>
      </c>
      <c r="X27" s="7" t="n">
        <v>0</v>
      </c>
      <c r="Y27" s="7" t="n">
        <v>0</v>
      </c>
      <c r="Z27" s="40" t="n">
        <v>10.1255091395097</v>
      </c>
      <c r="AA27" s="31" t="n">
        <v>0.4507022438038835</v>
      </c>
      <c r="AB27" s="7" t="n">
        <v>0.7119210164441023</v>
      </c>
      <c r="AC27" s="7" t="n">
        <v>0.6299798714022611</v>
      </c>
      <c r="AD27" s="7" t="n">
        <v>1.160004812074254</v>
      </c>
      <c r="AE27" s="9" t="n">
        <v>13.0461392748706</v>
      </c>
      <c r="AF27" s="7" t="n">
        <v>17.31926386366945</v>
      </c>
      <c r="AG27" s="7" t="n">
        <v>21.472102460735</v>
      </c>
      <c r="AH27" s="40" t="n">
        <v>4.499210179656625</v>
      </c>
      <c r="AI27" s="31" t="n">
        <v>0.5625437594781526</v>
      </c>
      <c r="AJ27" s="7" t="n">
        <v>0.5985969298990022</v>
      </c>
      <c r="AK27" s="7" t="n">
        <v>0.6499871823707775</v>
      </c>
      <c r="AL27" s="7" t="n">
        <v>0.9509630538641916</v>
      </c>
      <c r="AM27" s="40" t="n">
        <v>0.9206977271472091</v>
      </c>
      <c r="AN27" s="31" t="n">
        <v>0.02666993399253792</v>
      </c>
      <c r="AO27" s="7" t="n">
        <v>0.04474514350643533</v>
      </c>
      <c r="AP27" s="7" t="n">
        <v>0.03771799406725862</v>
      </c>
      <c r="AQ27" s="7" t="n">
        <v>0.07059036592938184</v>
      </c>
      <c r="AR27" s="40" t="n">
        <v>19.94346441506113</v>
      </c>
      <c r="AS27" s="31" t="n">
        <v>3.950485695033793</v>
      </c>
      <c r="AT27" s="7" t="n">
        <v>3.726965181406845</v>
      </c>
      <c r="AU27" s="7" t="n">
        <v>4.339441307294875</v>
      </c>
      <c r="AV27" s="7" t="n">
        <v>5.947202036778396</v>
      </c>
      <c r="AW27" s="40" t="n">
        <v>42.43594968373823</v>
      </c>
      <c r="AX27" s="31" t="n">
        <v>3.76607717466959</v>
      </c>
      <c r="AY27" s="7" t="n">
        <v>4.331162294073863</v>
      </c>
      <c r="AZ27" s="7" t="n">
        <v>4.502911174883081</v>
      </c>
      <c r="BA27" s="7" t="n">
        <v>6.958353750477492</v>
      </c>
      <c r="BB27" s="40" t="n">
        <v>135.5174028123871</v>
      </c>
      <c r="BC27" s="31" t="n">
        <v>0</v>
      </c>
      <c r="BD27" s="7" t="n">
        <v>0</v>
      </c>
      <c r="BE27" s="7" t="n">
        <v>0</v>
      </c>
      <c r="BF27" s="7" t="n">
        <v>0</v>
      </c>
      <c r="BG27" s="40" t="n">
        <v>6.608928095913011</v>
      </c>
      <c r="BH27" s="31" t="n">
        <v>0</v>
      </c>
      <c r="BI27" s="7" t="n">
        <v>0</v>
      </c>
      <c r="BJ27" s="7" t="n">
        <v>0</v>
      </c>
      <c r="BK27" s="7" t="n">
        <v>0</v>
      </c>
      <c r="BL27" s="40" t="n">
        <v>2.3</v>
      </c>
      <c r="BM27" s="40" t="n">
        <v>0</v>
      </c>
      <c r="BN27" s="40" t="n">
        <v>0</v>
      </c>
      <c r="BO27" s="40" t="n">
        <v>0</v>
      </c>
      <c r="BP27" s="40" t="n">
        <v>0</v>
      </c>
      <c r="BQ27" s="40" t="n">
        <v>39.69114517145417</v>
      </c>
      <c r="BR27" s="31" t="n">
        <v>6.2187832713742</v>
      </c>
      <c r="BS27" s="7" t="n">
        <v>6.008037558325471</v>
      </c>
      <c r="BT27" s="7" t="n">
        <v>6.89551692909447</v>
      </c>
      <c r="BU27" s="7" t="n">
        <v>9.581367494975378</v>
      </c>
      <c r="BV27" s="40" t="n">
        <v>16.95555212374222</v>
      </c>
      <c r="BW27" s="31" t="n">
        <v>-0.7988922396632425</v>
      </c>
      <c r="BX27" s="7" t="n">
        <v>1.052074785273346</v>
      </c>
      <c r="BY27" s="7" t="n">
        <v>-0.01061031762718656</v>
      </c>
      <c r="BZ27" s="7" t="n">
        <v>1.922944163439489</v>
      </c>
      <c r="CA27" s="40" t="n">
        <v>-13.67757872705282</v>
      </c>
      <c r="CB27" s="31" t="n">
        <v>-0.1574911890038333</v>
      </c>
      <c r="CC27" s="7" t="n">
        <v>0.5973912965510957</v>
      </c>
      <c r="CD27" s="7" t="n">
        <v>0.1817746932733026</v>
      </c>
      <c r="CE27" s="7" t="n">
        <v>1.31230176817988</v>
      </c>
    </row>
    <row r="28">
      <c r="A28" s="254" t="n">
        <v>40360</v>
      </c>
      <c r="B28" s="3" t="n">
        <v>0</v>
      </c>
      <c r="C28" s="40" t="n">
        <v>18</v>
      </c>
      <c r="D28" s="31" t="n">
        <v>0</v>
      </c>
      <c r="E28" s="7" t="n">
        <v>0</v>
      </c>
      <c r="F28" s="7" t="n">
        <v>0</v>
      </c>
      <c r="G28" s="7" t="n">
        <v>0</v>
      </c>
      <c r="H28" s="40" t="n">
        <v>36.55460437999047</v>
      </c>
      <c r="I28" s="31" t="n">
        <v>3.53707095500944</v>
      </c>
      <c r="J28" s="7" t="n">
        <v>3.845357418826381</v>
      </c>
      <c r="K28" s="7" t="n">
        <v>4.125417674214788</v>
      </c>
      <c r="L28" s="7" t="n">
        <v>6.171744248082181</v>
      </c>
      <c r="M28" s="40" t="n">
        <v>14.87653565789174</v>
      </c>
      <c r="N28" s="31" t="n">
        <v>17.0827726636806</v>
      </c>
      <c r="O28" s="7" t="n">
        <v>18.64217560025967</v>
      </c>
      <c r="P28" s="40" t="n">
        <v>65.57886597938143</v>
      </c>
      <c r="Q28" s="31" t="n">
        <v>0</v>
      </c>
      <c r="R28" s="7" t="n">
        <v>0</v>
      </c>
      <c r="S28" s="7" t="n">
        <v>0</v>
      </c>
      <c r="T28" s="7" t="n">
        <v>0</v>
      </c>
      <c r="U28" s="40" t="n">
        <v>11</v>
      </c>
      <c r="V28" s="31" t="n">
        <v>0</v>
      </c>
      <c r="W28" s="7" t="n">
        <v>0</v>
      </c>
      <c r="X28" s="7" t="n">
        <v>0</v>
      </c>
      <c r="Y28" s="7" t="n">
        <v>0</v>
      </c>
      <c r="Z28" s="40" t="n">
        <v>10.14043512657619</v>
      </c>
      <c r="AA28" s="31" t="n">
        <v>0.297334640682843</v>
      </c>
      <c r="AB28" s="7" t="n">
        <v>0.5784661661478996</v>
      </c>
      <c r="AC28" s="7" t="n">
        <v>0.4669256043577299</v>
      </c>
      <c r="AD28" s="7" t="n">
        <v>0.9476174610823112</v>
      </c>
      <c r="AE28" s="9" t="n">
        <v>10.97157108379258</v>
      </c>
      <c r="AF28" s="7" t="n">
        <v>15.21210369688873</v>
      </c>
      <c r="AG28" s="7" t="n">
        <v>19.40954787408119</v>
      </c>
      <c r="AH28" s="40" t="n">
        <v>4.612256970125495</v>
      </c>
      <c r="AI28" s="31" t="n">
        <v>0.5220920211958164</v>
      </c>
      <c r="AJ28" s="7" t="n">
        <v>0.5769072822752375</v>
      </c>
      <c r="AK28" s="7" t="n">
        <v>0.6133847403648969</v>
      </c>
      <c r="AL28" s="7" t="n">
        <v>0.9184079927081599</v>
      </c>
      <c r="AM28" s="40" t="n">
        <v>0.9098430725899095</v>
      </c>
      <c r="AN28" s="31" t="n">
        <v>0.002288049522921609</v>
      </c>
      <c r="AO28" s="7" t="n">
        <v>0.03090233889533484</v>
      </c>
      <c r="AP28" s="7" t="n">
        <v>0.01567705363335026</v>
      </c>
      <c r="AQ28" s="7" t="n">
        <v>0.04595774861347834</v>
      </c>
      <c r="AR28" s="40" t="n">
        <v>20.93700105571068</v>
      </c>
      <c r="AS28" s="31" t="n">
        <v>3.974944413445375</v>
      </c>
      <c r="AT28" s="7" t="n">
        <v>3.822423531648099</v>
      </c>
      <c r="AU28" s="7" t="n">
        <v>4.401236652592715</v>
      </c>
      <c r="AV28" s="7" t="n">
        <v>6.102049912709585</v>
      </c>
      <c r="AW28" s="40" t="n">
        <v>43.10334516472024</v>
      </c>
      <c r="AX28" s="31" t="n">
        <v>3.349444763296731</v>
      </c>
      <c r="AY28" s="7" t="n">
        <v>4.026503549443117</v>
      </c>
      <c r="AZ28" s="7" t="n">
        <v>4.087516082346632</v>
      </c>
      <c r="BA28" s="7" t="n">
        <v>6.478057554773379</v>
      </c>
      <c r="BB28" s="40" t="n">
        <v>135.5174028123871</v>
      </c>
      <c r="BC28" s="31" t="n">
        <v>0</v>
      </c>
      <c r="BD28" s="7" t="n">
        <v>0</v>
      </c>
      <c r="BE28" s="7" t="n">
        <v>0</v>
      </c>
      <c r="BF28" s="7" t="n">
        <v>0</v>
      </c>
      <c r="BG28" s="40" t="n">
        <v>6.608928095913011</v>
      </c>
      <c r="BH28" s="31" t="n">
        <v>0</v>
      </c>
      <c r="BI28" s="7" t="n">
        <v>0</v>
      </c>
      <c r="BJ28" s="7" t="n">
        <v>0</v>
      </c>
      <c r="BK28" s="7" t="n">
        <v>0</v>
      </c>
      <c r="BL28" s="40" t="n">
        <v>2.3</v>
      </c>
      <c r="BM28" s="40" t="n">
        <v>0</v>
      </c>
      <c r="BN28" s="40" t="n">
        <v>0</v>
      </c>
      <c r="BO28" s="40" t="n">
        <v>0</v>
      </c>
      <c r="BP28" s="40" t="n">
        <v>0</v>
      </c>
      <c r="BQ28" s="40" t="n">
        <v>41.17894692314552</v>
      </c>
      <c r="BR28" s="31" t="n">
        <v>6.144710795938465</v>
      </c>
      <c r="BS28" s="7" t="n">
        <v>6.07607191621152</v>
      </c>
      <c r="BT28" s="7" t="n">
        <v>6.881309291204445</v>
      </c>
      <c r="BU28" s="7" t="n">
        <v>9.692736971351582</v>
      </c>
      <c r="BV28" s="40" t="n">
        <v>16.39681898915227</v>
      </c>
      <c r="BW28" s="31" t="n">
        <v>-1.460658266102097</v>
      </c>
      <c r="BX28" s="7" t="n">
        <v>0.2321850994821029</v>
      </c>
      <c r="BY28" s="7" t="n">
        <v>-0.8323621485354806</v>
      </c>
      <c r="BZ28" s="7" t="n">
        <v>0.6669414259925102</v>
      </c>
      <c r="CA28" s="40" t="n">
        <v>-13.68669998155364</v>
      </c>
      <c r="CB28" s="31" t="n">
        <v>-0.1828350708968873</v>
      </c>
      <c r="CC28" s="7" t="n">
        <v>0.3009294970558001</v>
      </c>
      <c r="CD28" s="7" t="n">
        <v>0.02330561463471525</v>
      </c>
      <c r="CE28" s="7" t="n">
        <v>0.8586118654660986</v>
      </c>
    </row>
    <row r="29">
      <c r="A29" s="254" t="n">
        <v>40452</v>
      </c>
      <c r="B29" s="3" t="n">
        <v>0</v>
      </c>
      <c r="C29" s="40" t="n">
        <v>18</v>
      </c>
      <c r="D29" s="31" t="n">
        <v>0</v>
      </c>
      <c r="E29" s="7" t="n">
        <v>0</v>
      </c>
      <c r="F29" s="7" t="n">
        <v>0</v>
      </c>
      <c r="G29" s="7" t="n">
        <v>0</v>
      </c>
      <c r="H29" s="40" t="n">
        <v>37.27806687763557</v>
      </c>
      <c r="I29" s="31" t="n">
        <v>3.29269593597639</v>
      </c>
      <c r="J29" s="7" t="n">
        <v>3.678867745748338</v>
      </c>
      <c r="K29" s="7" t="n">
        <v>3.887540817153294</v>
      </c>
      <c r="L29" s="7" t="n">
        <v>5.915205995547414</v>
      </c>
      <c r="M29" s="40" t="n">
        <v>13.65073426810523</v>
      </c>
      <c r="N29" s="31" t="n">
        <v>15.98594464604241</v>
      </c>
      <c r="O29" s="7" t="n">
        <v>17.77869047582999</v>
      </c>
      <c r="P29" s="40" t="n">
        <v>65.57886597938143</v>
      </c>
      <c r="Q29" s="31" t="n">
        <v>0</v>
      </c>
      <c r="R29" s="7" t="n">
        <v>0</v>
      </c>
      <c r="S29" s="7" t="n">
        <v>0</v>
      </c>
      <c r="T29" s="7" t="n">
        <v>0</v>
      </c>
      <c r="U29" s="40" t="n">
        <v>11</v>
      </c>
      <c r="V29" s="31" t="n">
        <v>0</v>
      </c>
      <c r="W29" s="7" t="n">
        <v>0</v>
      </c>
      <c r="X29" s="7" t="n">
        <v>0</v>
      </c>
      <c r="Y29" s="7" t="n">
        <v>0</v>
      </c>
      <c r="Z29" s="40" t="n">
        <v>10.11516201080953</v>
      </c>
      <c r="AA29" s="31" t="n">
        <v>0.1395183057731018</v>
      </c>
      <c r="AB29" s="7" t="n">
        <v>0.4366619879399201</v>
      </c>
      <c r="AC29" s="7" t="n">
        <v>0.2970359470540949</v>
      </c>
      <c r="AD29" s="7" t="n">
        <v>0.722721602597419</v>
      </c>
      <c r="AE29" s="9" t="n">
        <v>8.958094267507249</v>
      </c>
      <c r="AF29" s="7" t="n">
        <v>13.13078656192391</v>
      </c>
      <c r="AG29" s="7" t="n">
        <v>17.34685680879526</v>
      </c>
      <c r="AH29" s="40" t="n">
        <v>4.711590334973615</v>
      </c>
      <c r="AI29" s="31" t="n">
        <v>0.4751031120933797</v>
      </c>
      <c r="AJ29" s="7" t="n">
        <v>0.5467449364705175</v>
      </c>
      <c r="AK29" s="7" t="n">
        <v>0.5684912846442076</v>
      </c>
      <c r="AL29" s="7" t="n">
        <v>0.8729098467191578</v>
      </c>
      <c r="AM29" s="40" t="n">
        <v>0.8881212299540385</v>
      </c>
      <c r="AN29" s="31" t="n">
        <v>-0.02950695066834363</v>
      </c>
      <c r="AO29" s="7" t="n">
        <v>0.01215420112701449</v>
      </c>
      <c r="AP29" s="7" t="n">
        <v>-0.01377037372635448</v>
      </c>
      <c r="AQ29" s="7" t="n">
        <v>0.0129743657407172</v>
      </c>
      <c r="AR29" s="40" t="n">
        <v>21.92160674536108</v>
      </c>
      <c r="AS29" s="31" t="n">
        <v>3.972258316648809</v>
      </c>
      <c r="AT29" s="7" t="n">
        <v>3.886536300120801</v>
      </c>
      <c r="AU29" s="7" t="n">
        <v>4.430236459331091</v>
      </c>
      <c r="AV29" s="7" t="n">
        <v>6.211782312540839</v>
      </c>
      <c r="AW29" s="40" t="n">
        <v>43.64592786406349</v>
      </c>
      <c r="AX29" s="31" t="n">
        <v>2.894571944556098</v>
      </c>
      <c r="AY29" s="7" t="n">
        <v>3.671922373528435</v>
      </c>
      <c r="AZ29" s="7" t="n">
        <v>3.623472894329105</v>
      </c>
      <c r="BA29" s="7" t="n">
        <v>5.922065997845301</v>
      </c>
      <c r="BB29" s="40" t="n">
        <v>135.5174028123871</v>
      </c>
      <c r="BC29" s="31" t="n">
        <v>0</v>
      </c>
      <c r="BD29" s="7" t="n">
        <v>0</v>
      </c>
      <c r="BE29" s="7" t="n">
        <v>0</v>
      </c>
      <c r="BF29" s="7" t="n">
        <v>0</v>
      </c>
      <c r="BG29" s="40" t="n">
        <v>6.608928095913011</v>
      </c>
      <c r="BH29" s="31" t="n">
        <v>0</v>
      </c>
      <c r="BI29" s="7" t="n">
        <v>0</v>
      </c>
      <c r="BJ29" s="7" t="n">
        <v>0</v>
      </c>
      <c r="BK29" s="7" t="n">
        <v>0</v>
      </c>
      <c r="BL29" s="40" t="n">
        <v>2.3</v>
      </c>
      <c r="BM29" s="40" t="n">
        <v>0</v>
      </c>
      <c r="BN29" s="40" t="n">
        <v>0</v>
      </c>
      <c r="BO29" s="40" t="n">
        <v>0</v>
      </c>
      <c r="BP29" s="40" t="n">
        <v>0</v>
      </c>
      <c r="BQ29" s="40" t="n">
        <v>42.6149134835495</v>
      </c>
      <c r="BR29" s="31" t="n">
        <v>6.010847238056222</v>
      </c>
      <c r="BS29" s="7" t="n">
        <v>6.081536215809871</v>
      </c>
      <c r="BT29" s="7" t="n">
        <v>6.798257872555553</v>
      </c>
      <c r="BU29" s="7" t="n">
        <v>9.709328952093578</v>
      </c>
      <c r="BV29" s="40" t="n">
        <v>15.77399429193382</v>
      </c>
      <c r="BW29" s="31" t="n">
        <v>-1.95744143365623</v>
      </c>
      <c r="BX29" s="7" t="n">
        <v>-0.5069357786084856</v>
      </c>
      <c r="BY29" s="7" t="n">
        <v>-1.513233120624458</v>
      </c>
      <c r="BZ29" s="7" t="n">
        <v>-0.4535164319423099</v>
      </c>
      <c r="CA29" s="40" t="n">
        <v>-13.61928254558352</v>
      </c>
      <c r="CB29" s="31" t="n">
        <v>-0.06894516026498643</v>
      </c>
      <c r="CC29" s="7" t="n">
        <v>0.1318878403252999</v>
      </c>
      <c r="CD29" s="7" t="n">
        <v>0.0154906763408782</v>
      </c>
      <c r="CE29" s="7" t="n">
        <v>0.5883328794326346</v>
      </c>
    </row>
    <row r="30">
      <c r="A30" s="254" t="n">
        <v>40544</v>
      </c>
      <c r="B30" s="3" t="n">
        <v>0</v>
      </c>
      <c r="C30" s="40" t="n">
        <v>18</v>
      </c>
      <c r="D30" s="31" t="n">
        <v>0</v>
      </c>
      <c r="E30" s="7" t="n">
        <v>0</v>
      </c>
      <c r="F30" s="7" t="n">
        <v>0</v>
      </c>
      <c r="G30" s="7" t="n">
        <v>0</v>
      </c>
      <c r="H30" s="40" t="n">
        <v>37.92850530211274</v>
      </c>
      <c r="I30" s="31" t="n">
        <v>3.025782793195951</v>
      </c>
      <c r="J30" s="7" t="n">
        <v>3.477787051154447</v>
      </c>
      <c r="K30" s="7" t="n">
        <v>3.618262305193369</v>
      </c>
      <c r="L30" s="7" t="n">
        <v>5.606751521365986</v>
      </c>
      <c r="M30" s="40" t="n">
        <v>12.43993770777342</v>
      </c>
      <c r="N30" s="31" t="n">
        <v>14.84199033607558</v>
      </c>
      <c r="O30" s="7" t="n">
        <v>16.83457822937926</v>
      </c>
      <c r="P30" s="40" t="n">
        <v>65.57886597938143</v>
      </c>
      <c r="Q30" s="31" t="n">
        <v>0</v>
      </c>
      <c r="R30" s="7" t="n">
        <v>0</v>
      </c>
      <c r="S30" s="7" t="n">
        <v>0</v>
      </c>
      <c r="T30" s="7" t="n">
        <v>0</v>
      </c>
      <c r="U30" s="40" t="n">
        <v>11</v>
      </c>
      <c r="V30" s="31" t="n">
        <v>0</v>
      </c>
      <c r="W30" s="7" t="n">
        <v>0</v>
      </c>
      <c r="X30" s="7" t="n">
        <v>0</v>
      </c>
      <c r="Y30" s="7" t="n">
        <v>0</v>
      </c>
      <c r="Z30" s="40" t="n">
        <v>10.05092199404073</v>
      </c>
      <c r="AA30" s="31" t="n">
        <v>-0.01938053151220487</v>
      </c>
      <c r="AB30" s="7" t="n">
        <v>0.2887746986006707</v>
      </c>
      <c r="AC30" s="7" t="n">
        <v>0.1236304333003098</v>
      </c>
      <c r="AD30" s="7" t="n">
        <v>0.4888570728788029</v>
      </c>
      <c r="AE30" s="9" t="n">
        <v>7.030576150675188</v>
      </c>
      <c r="AF30" s="7" t="n">
        <v>11.09653258304189</v>
      </c>
      <c r="AG30" s="7" t="n">
        <v>15.29953874649777</v>
      </c>
      <c r="AH30" s="40" t="n">
        <v>4.79659189985001</v>
      </c>
      <c r="AI30" s="31" t="n">
        <v>0.4231208537227671</v>
      </c>
      <c r="AJ30" s="7" t="n">
        <v>0.5090783735725402</v>
      </c>
      <c r="AK30" s="7" t="n">
        <v>0.5168066154029729</v>
      </c>
      <c r="AL30" s="7" t="n">
        <v>0.8159302386549707</v>
      </c>
      <c r="AM30" s="40" t="n">
        <v>0.8558276593318306</v>
      </c>
      <c r="AN30" s="31" t="n">
        <v>-0.06676617157542541</v>
      </c>
      <c r="AO30" s="7" t="n">
        <v>-0.01157335746144411</v>
      </c>
      <c r="AP30" s="7" t="n">
        <v>-0.04910249463031613</v>
      </c>
      <c r="AQ30" s="7" t="n">
        <v>-0.02714732546897614</v>
      </c>
      <c r="AR30" s="40" t="n">
        <v>22.89323677743086</v>
      </c>
      <c r="AS30" s="31" t="n">
        <v>3.947596471292066</v>
      </c>
      <c r="AT30" s="7" t="n">
        <v>3.920649101112972</v>
      </c>
      <c r="AU30" s="7" t="n">
        <v>4.430232416370679</v>
      </c>
      <c r="AV30" s="7" t="n">
        <v>6.278317056372543</v>
      </c>
      <c r="AW30" s="40" t="n">
        <v>44.06221795067395</v>
      </c>
      <c r="AX30" s="31" t="n">
        <v>2.413112057582552</v>
      </c>
      <c r="AY30" s="7" t="n">
        <v>3.274095440677428</v>
      </c>
      <c r="AZ30" s="7" t="n">
        <v>3.121782387557445</v>
      </c>
      <c r="BA30" s="7" t="n">
        <v>5.300981203627678</v>
      </c>
      <c r="BB30" s="40" t="n">
        <v>135.5174028123871</v>
      </c>
      <c r="BC30" s="31" t="n">
        <v>0</v>
      </c>
      <c r="BD30" s="7" t="n">
        <v>0</v>
      </c>
      <c r="BE30" s="7" t="n">
        <v>0</v>
      </c>
      <c r="BF30" s="7" t="n">
        <v>0</v>
      </c>
      <c r="BG30" s="40" t="n">
        <v>6.608928095913011</v>
      </c>
      <c r="BH30" s="31" t="n">
        <v>0</v>
      </c>
      <c r="BI30" s="7" t="n">
        <v>0</v>
      </c>
      <c r="BJ30" s="7" t="n">
        <v>0</v>
      </c>
      <c r="BK30" s="7" t="n">
        <v>0</v>
      </c>
      <c r="BL30" s="40" t="n">
        <v>2.3</v>
      </c>
      <c r="BM30" s="40" t="n">
        <v>0</v>
      </c>
      <c r="BN30" s="40" t="n">
        <v>0</v>
      </c>
      <c r="BO30" s="40" t="n">
        <v>0</v>
      </c>
      <c r="BP30" s="40" t="n">
        <v>0</v>
      </c>
      <c r="BQ30" s="40" t="n">
        <v>43.99098436814511</v>
      </c>
      <c r="BR30" s="31" t="n">
        <v>5.82909332161254</v>
      </c>
      <c r="BS30" s="7" t="n">
        <v>6.026113973017905</v>
      </c>
      <c r="BT30" s="7" t="n">
        <v>6.65394470319869</v>
      </c>
      <c r="BU30" s="7" t="n">
        <v>9.636355964477787</v>
      </c>
      <c r="BV30" s="40" t="n">
        <v>15.11626036218838</v>
      </c>
      <c r="BW30" s="31" t="n">
        <v>-2.298733522325351</v>
      </c>
      <c r="BX30" s="7" t="n">
        <v>-1.141485373734468</v>
      </c>
      <c r="BY30" s="7" t="n">
        <v>-2.044233105717774</v>
      </c>
      <c r="BZ30" s="7" t="n">
        <v>-1.418690400430661</v>
      </c>
      <c r="CA30" s="40" t="n">
        <v>-13.45170517736619</v>
      </c>
      <c r="CB30" s="31" t="n">
        <v>0.1691700788578316</v>
      </c>
      <c r="CC30" s="7" t="n">
        <v>0.09198928647007065</v>
      </c>
      <c r="CD30" s="7" t="n">
        <v>0.1500960844768873</v>
      </c>
      <c r="CE30" s="7" t="n">
        <v>0.5069579608708619</v>
      </c>
    </row>
    <row r="31">
      <c r="A31" s="254" t="n">
        <v>40634</v>
      </c>
      <c r="B31" s="3" t="n">
        <v>1</v>
      </c>
      <c r="C31" s="40" t="n">
        <v>18</v>
      </c>
      <c r="D31" s="31" t="n">
        <v>0</v>
      </c>
      <c r="E31" s="7" t="n">
        <v>0</v>
      </c>
      <c r="F31" s="7" t="n">
        <v>0</v>
      </c>
      <c r="G31" s="7" t="n">
        <v>0</v>
      </c>
      <c r="H31" s="40" t="n">
        <v>38.50514317774903</v>
      </c>
      <c r="I31" s="31" t="n">
        <v>2.743912543566431</v>
      </c>
      <c r="J31" s="7" t="n">
        <v>3.247829584781801</v>
      </c>
      <c r="K31" s="7" t="n">
        <v>3.32545341804105</v>
      </c>
      <c r="L31" s="7" t="n">
        <v>5.254398449191875</v>
      </c>
      <c r="M31" s="40" t="n">
        <v>11.27685143786221</v>
      </c>
      <c r="N31" s="31" t="n">
        <v>13.68102220970968</v>
      </c>
      <c r="O31" s="7" t="n">
        <v>15.8294661828678</v>
      </c>
      <c r="P31" s="40" t="n">
        <v>65.57886597938143</v>
      </c>
      <c r="Q31" s="31" t="n">
        <v>0</v>
      </c>
      <c r="R31" s="7" t="n">
        <v>0</v>
      </c>
      <c r="S31" s="7" t="n">
        <v>0</v>
      </c>
      <c r="T31" s="7" t="n">
        <v>0</v>
      </c>
      <c r="U31" s="40" t="n">
        <v>11</v>
      </c>
      <c r="V31" s="31" t="n">
        <v>0</v>
      </c>
      <c r="W31" s="7" t="n">
        <v>0</v>
      </c>
      <c r="X31" s="7" t="n">
        <v>0</v>
      </c>
      <c r="Y31" s="7" t="n">
        <v>0</v>
      </c>
      <c r="Z31" s="40" t="n">
        <v>9.950466922421285</v>
      </c>
      <c r="AA31" s="31" t="n">
        <v>-0.1750422170884143</v>
      </c>
      <c r="AB31" s="7" t="n">
        <v>0.1378300133577346</v>
      </c>
      <c r="AC31" s="7" t="n">
        <v>-0.04901831296930226</v>
      </c>
      <c r="AD31" s="7" t="n">
        <v>0.2507783877716481</v>
      </c>
      <c r="AE31" s="9" t="n">
        <v>5.222641376459478</v>
      </c>
      <c r="AF31" s="7" t="n">
        <v>9.134390325665038</v>
      </c>
      <c r="AG31" s="7" t="n">
        <v>13.28705636793279</v>
      </c>
      <c r="AH31" s="40" t="n">
        <v>4.867024059537174</v>
      </c>
      <c r="AI31" s="31" t="n">
        <v>0.3678138798805488</v>
      </c>
      <c r="AJ31" s="7" t="n">
        <v>0.4651788196793507</v>
      </c>
      <c r="AK31" s="7" t="n">
        <v>0.4599691816970024</v>
      </c>
      <c r="AL31" s="7" t="n">
        <v>0.7492379459627969</v>
      </c>
      <c r="AM31" s="40" t="n">
        <v>0.8139066026120119</v>
      </c>
      <c r="AN31" s="31" t="n">
        <v>-0.1067911245351972</v>
      </c>
      <c r="AO31" s="7" t="n">
        <v>-0.04006059527132966</v>
      </c>
      <c r="AP31" s="7" t="n">
        <v>-0.08813021198477378</v>
      </c>
      <c r="AQ31" s="7" t="n">
        <v>-0.07262069352653744</v>
      </c>
      <c r="AR31" s="40" t="n">
        <v>23.84783545417346</v>
      </c>
      <c r="AS31" s="31" t="n">
        <v>3.904371039112338</v>
      </c>
      <c r="AT31" s="7" t="n">
        <v>3.927428367073065</v>
      </c>
      <c r="AU31" s="7" t="n">
        <v>4.404668817835034</v>
      </c>
      <c r="AV31" s="7" t="n">
        <v>6.30387763286565</v>
      </c>
      <c r="AW31" s="40" t="n">
        <v>44.35546575288169</v>
      </c>
      <c r="AX31" s="31" t="n">
        <v>1.919516069143462</v>
      </c>
      <c r="AY31" s="7" t="n">
        <v>2.842796621906526</v>
      </c>
      <c r="AZ31" s="7" t="n">
        <v>2.59650632959584</v>
      </c>
      <c r="BA31" s="7" t="n">
        <v>4.629486691711932</v>
      </c>
      <c r="BB31" s="40" t="n">
        <v>135.5174028123871</v>
      </c>
      <c r="BC31" s="31" t="n">
        <v>0</v>
      </c>
      <c r="BD31" s="7" t="n">
        <v>0</v>
      </c>
      <c r="BE31" s="7" t="n">
        <v>0</v>
      </c>
      <c r="BF31" s="7" t="n">
        <v>0</v>
      </c>
      <c r="BG31" s="40" t="n">
        <v>6.608928095913011</v>
      </c>
      <c r="BH31" s="31" t="n">
        <v>0</v>
      </c>
      <c r="BI31" s="7" t="n">
        <v>0</v>
      </c>
      <c r="BJ31" s="7" t="n">
        <v>0</v>
      </c>
      <c r="BK31" s="7" t="n">
        <v>0</v>
      </c>
      <c r="BL31" s="40" t="n">
        <v>2.3</v>
      </c>
      <c r="BM31" s="40" t="n">
        <v>0</v>
      </c>
      <c r="BN31" s="40" t="n">
        <v>0</v>
      </c>
      <c r="BO31" s="40" t="n">
        <v>0</v>
      </c>
      <c r="BP31" s="40" t="n">
        <v>0</v>
      </c>
      <c r="BQ31" s="40" t="n">
        <v>45.30200228901332</v>
      </c>
      <c r="BR31" s="31" t="n">
        <v>5.610857117559142</v>
      </c>
      <c r="BS31" s="7" t="n">
        <v>5.914820194466671</v>
      </c>
      <c r="BT31" s="7" t="n">
        <v>6.458434130812421</v>
      </c>
      <c r="BU31" s="7" t="n">
        <v>9.481917631915657</v>
      </c>
      <c r="BV31" s="40" t="n">
        <v>14.45470600896994</v>
      </c>
      <c r="BW31" s="31" t="n">
        <v>-2.500846114772282</v>
      </c>
      <c r="BX31" s="7" t="n">
        <v>-1.649869177217762</v>
      </c>
      <c r="BY31" s="7" t="n">
        <v>-2.420416115502592</v>
      </c>
      <c r="BZ31" s="7" t="n">
        <v>-2.209621099194392</v>
      </c>
      <c r="CA31" s="40" t="n">
        <v>-13.16661630327646</v>
      </c>
      <c r="CB31" s="31" t="n">
        <v>0.510962423776359</v>
      </c>
      <c r="CC31" s="7" t="n">
        <v>0.1767356173862629</v>
      </c>
      <c r="CD31" s="7" t="n">
        <v>0.412187636949092</v>
      </c>
      <c r="CE31" s="7" t="n">
        <v>0.6092248462373</v>
      </c>
    </row>
    <row r="32">
      <c r="A32" s="254" t="n">
        <v>40725</v>
      </c>
      <c r="B32" s="3" t="n">
        <v>0</v>
      </c>
      <c r="C32" s="40" t="n">
        <v>18</v>
      </c>
      <c r="D32" s="31" t="n">
        <v>0</v>
      </c>
      <c r="E32" s="7" t="n">
        <v>0</v>
      </c>
      <c r="F32" s="7" t="n">
        <v>0</v>
      </c>
      <c r="G32" s="7" t="n">
        <v>0</v>
      </c>
      <c r="H32" s="40" t="n">
        <v>39.00971533748525</v>
      </c>
      <c r="I32" s="31" t="n">
        <v>2.455110957494774</v>
      </c>
      <c r="J32" s="7" t="n">
        <v>2.996090956252107</v>
      </c>
      <c r="K32" s="7" t="n">
        <v>3.018068181581818</v>
      </c>
      <c r="L32" s="7" t="n">
        <v>4.868064222177473</v>
      </c>
      <c r="M32" s="40" t="n">
        <v>10.19203176516044</v>
      </c>
      <c r="N32" s="31" t="n">
        <v>12.53428371152609</v>
      </c>
      <c r="O32" s="7" t="n">
        <v>14.78585903084055</v>
      </c>
      <c r="P32" s="40" t="n">
        <v>65.57886597938143</v>
      </c>
      <c r="Q32" s="31" t="n">
        <v>0</v>
      </c>
      <c r="R32" s="7" t="n">
        <v>0</v>
      </c>
      <c r="S32" s="7" t="n">
        <v>0</v>
      </c>
      <c r="T32" s="7" t="n">
        <v>0</v>
      </c>
      <c r="U32" s="40" t="n">
        <v>11</v>
      </c>
      <c r="V32" s="31" t="n">
        <v>0</v>
      </c>
      <c r="W32" s="7" t="n">
        <v>0</v>
      </c>
      <c r="X32" s="7" t="n">
        <v>0</v>
      </c>
      <c r="Y32" s="7" t="n">
        <v>0</v>
      </c>
      <c r="Z32" s="40" t="n">
        <v>9.818336327896613</v>
      </c>
      <c r="AA32" s="31" t="n">
        <v>-0.3220987986795798</v>
      </c>
      <c r="AB32" s="7" t="n">
        <v>-0.01238207899836841</v>
      </c>
      <c r="AC32" s="7" t="n">
        <v>-0.2156064108334075</v>
      </c>
      <c r="AD32" s="7" t="n">
        <v>0.01458114193032678</v>
      </c>
      <c r="AE32" s="9" t="n">
        <v>3.579304908315521</v>
      </c>
      <c r="AF32" s="7" t="n">
        <v>7.275437996054052</v>
      </c>
      <c r="AG32" s="7" t="n">
        <v>11.33450410069766</v>
      </c>
      <c r="AH32" s="40" t="n">
        <v>3.986748517958773</v>
      </c>
      <c r="AI32" s="31" t="n">
        <v>-0.6255084521667218</v>
      </c>
      <c r="AJ32" s="7" t="n">
        <v>-0.05170821548545268</v>
      </c>
      <c r="AK32" s="7" t="n">
        <v>-0.5366010648012365</v>
      </c>
      <c r="AL32" s="7" t="n">
        <v>-0.2614549072554837</v>
      </c>
      <c r="AM32" s="40" t="n">
        <v>0.763322136386439</v>
      </c>
      <c r="AN32" s="31" t="n">
        <v>-0.1465209362034705</v>
      </c>
      <c r="AO32" s="7" t="n">
        <v>-0.07211644334027445</v>
      </c>
      <c r="AP32" s="7" t="n">
        <v>-0.1286995293925143</v>
      </c>
      <c r="AQ32" s="7" t="n">
        <v>-0.1217634232919165</v>
      </c>
      <c r="AR32" s="40" t="n">
        <v>24.78096830099937</v>
      </c>
      <c r="AS32" s="31" t="n">
        <v>3.843967245288692</v>
      </c>
      <c r="AT32" s="7" t="n">
        <v>3.909455829367033</v>
      </c>
      <c r="AU32" s="7" t="n">
        <v>4.355944572892671</v>
      </c>
      <c r="AV32" s="7" t="n">
        <v>6.290485362864384</v>
      </c>
      <c r="AW32" s="40" t="n">
        <v>44.53395738761305</v>
      </c>
      <c r="AX32" s="31" t="n">
        <v>1.430612222892812</v>
      </c>
      <c r="AY32" s="7" t="n">
        <v>2.390028493094771</v>
      </c>
      <c r="AZ32" s="7" t="n">
        <v>2.064298808850566</v>
      </c>
      <c r="BA32" s="7" t="n">
        <v>3.926158271669031</v>
      </c>
      <c r="BB32" s="40" t="n">
        <v>135.5174028123871</v>
      </c>
      <c r="BC32" s="31" t="n">
        <v>0</v>
      </c>
      <c r="BD32" s="7" t="n">
        <v>0</v>
      </c>
      <c r="BE32" s="7" t="n">
        <v>0</v>
      </c>
      <c r="BF32" s="7" t="n">
        <v>0</v>
      </c>
      <c r="BG32" s="40" t="n">
        <v>6.608928095913011</v>
      </c>
      <c r="BH32" s="31" t="n">
        <v>0</v>
      </c>
      <c r="BI32" s="7" t="n">
        <v>0</v>
      </c>
      <c r="BJ32" s="7" t="n">
        <v>0</v>
      </c>
      <c r="BK32" s="7" t="n">
        <v>0</v>
      </c>
      <c r="BL32" s="40" t="n">
        <v>2.3</v>
      </c>
      <c r="BM32" s="40" t="n">
        <v>0</v>
      </c>
      <c r="BN32" s="40" t="n">
        <v>0</v>
      </c>
      <c r="BO32" s="40" t="n">
        <v>0</v>
      </c>
      <c r="BP32" s="40" t="n">
        <v>0</v>
      </c>
      <c r="BQ32" s="40" t="n">
        <v>46.54594018412817</v>
      </c>
      <c r="BR32" s="31" t="n">
        <v>5.366993260982653</v>
      </c>
      <c r="BS32" s="7" t="n">
        <v>5.755852028460559</v>
      </c>
      <c r="BT32" s="7" t="n">
        <v>6.2236669773106</v>
      </c>
      <c r="BU32" s="7" t="n">
        <v>9.256944507513005</v>
      </c>
      <c r="BV32" s="40" t="n">
        <v>13.82114514330353</v>
      </c>
      <c r="BW32" s="31" t="n">
        <v>-2.57567384584874</v>
      </c>
      <c r="BX32" s="7" t="n">
        <v>-2.018166055975419</v>
      </c>
      <c r="BY32" s="7" t="n">
        <v>-2.64150968686457</v>
      </c>
      <c r="BZ32" s="7" t="n">
        <v>-2.810123919508673</v>
      </c>
      <c r="CA32" s="40" t="n">
        <v>-12.75523545999043</v>
      </c>
      <c r="CB32" s="31" t="n">
        <v>0.9314645215632034</v>
      </c>
      <c r="CC32" s="7" t="n">
        <v>0.374314725333158</v>
      </c>
      <c r="CD32" s="7" t="n">
        <v>0.7793845758885602</v>
      </c>
      <c r="CE32" s="7" t="n">
        <v>0.8784602714501215</v>
      </c>
    </row>
    <row r="33">
      <c r="A33" s="254" t="n">
        <v>40817</v>
      </c>
      <c r="B33" s="3" t="n">
        <v>0</v>
      </c>
      <c r="C33" s="40" t="n">
        <v>18</v>
      </c>
      <c r="D33" s="31" t="n">
        <v>0</v>
      </c>
      <c r="E33" s="7" t="n">
        <v>0</v>
      </c>
      <c r="F33" s="7" t="n">
        <v>0</v>
      </c>
      <c r="G33" s="7" t="n">
        <v>0</v>
      </c>
      <c r="H33" s="40" t="n">
        <v>39.44754412109628</v>
      </c>
      <c r="I33" s="31" t="n">
        <v>2.169477243460705</v>
      </c>
      <c r="J33" s="7" t="n">
        <v>2.731086589718547</v>
      </c>
      <c r="K33" s="7" t="n">
        <v>2.70687422612982</v>
      </c>
      <c r="L33" s="7" t="n">
        <v>4.460407522859541</v>
      </c>
      <c r="M33" s="40" t="n">
        <v>9.212929799257608</v>
      </c>
      <c r="N33" s="31" t="n">
        <v>11.43183203368142</v>
      </c>
      <c r="O33" s="7" t="n">
        <v>13.72827303044748</v>
      </c>
      <c r="P33" s="40" t="n">
        <v>65.57886597938143</v>
      </c>
      <c r="Q33" s="31" t="n">
        <v>0</v>
      </c>
      <c r="R33" s="7" t="n">
        <v>0</v>
      </c>
      <c r="S33" s="7" t="n">
        <v>0</v>
      </c>
      <c r="T33" s="7" t="n">
        <v>0</v>
      </c>
      <c r="U33" s="40" t="n">
        <v>11</v>
      </c>
      <c r="V33" s="31" t="n">
        <v>0</v>
      </c>
      <c r="W33" s="7" t="n">
        <v>0</v>
      </c>
      <c r="X33" s="7" t="n">
        <v>0</v>
      </c>
      <c r="Y33" s="7" t="n">
        <v>0</v>
      </c>
      <c r="Z33" s="40" t="n">
        <v>9.660684514504249</v>
      </c>
      <c r="AA33" s="31" t="n">
        <v>-0.4544774963052856</v>
      </c>
      <c r="AB33" s="7" t="n">
        <v>-0.1574795952660919</v>
      </c>
      <c r="AC33" s="7" t="n">
        <v>-0.3701627044761775</v>
      </c>
      <c r="AD33" s="7" t="n">
        <v>-0.2126401325967233</v>
      </c>
      <c r="AE33" s="9" t="n">
        <v>2.150351040812211</v>
      </c>
      <c r="AF33" s="7" t="n">
        <v>5.55422265415973</v>
      </c>
      <c r="AG33" s="7" t="n">
        <v>9.470641388220011</v>
      </c>
      <c r="AH33" s="40" t="n">
        <v>4.020710786830852</v>
      </c>
      <c r="AI33" s="31" t="n">
        <v>-0.690879548142763</v>
      </c>
      <c r="AJ33" s="7" t="n">
        <v>-0.1078882180246916</v>
      </c>
      <c r="AK33" s="7" t="n">
        <v>-0.4897117420577946</v>
      </c>
      <c r="AL33" s="7" t="n">
        <v>-0.2715181477487176</v>
      </c>
      <c r="AM33" s="40" t="n">
        <v>0.705374479191334</v>
      </c>
      <c r="AN33" s="31" t="n">
        <v>-0.1827467507627045</v>
      </c>
      <c r="AO33" s="7" t="n">
        <v>-0.1061268507155241</v>
      </c>
      <c r="AP33" s="7" t="n">
        <v>-0.1686180757525506</v>
      </c>
      <c r="AQ33" s="7" t="n">
        <v>-0.1726513922859546</v>
      </c>
      <c r="AR33" s="40" t="n">
        <v>25.6892576964669</v>
      </c>
      <c r="AS33" s="31" t="n">
        <v>3.767650951105818</v>
      </c>
      <c r="AT33" s="7" t="n">
        <v>3.869954633877313</v>
      </c>
      <c r="AU33" s="7" t="n">
        <v>4.28687001101844</v>
      </c>
      <c r="AV33" s="7" t="n">
        <v>6.241373565949839</v>
      </c>
      <c r="AW33" s="40" t="n">
        <v>44.61185755980036</v>
      </c>
      <c r="AX33" s="31" t="n">
        <v>0.965929695736861</v>
      </c>
      <c r="AY33" s="7" t="n">
        <v>1.93025082014648</v>
      </c>
      <c r="AZ33" s="7" t="n">
        <v>1.544691857764178</v>
      </c>
      <c r="BA33" s="7" t="n">
        <v>3.213756833708082</v>
      </c>
      <c r="BB33" s="40" t="n">
        <v>135.5174028123871</v>
      </c>
      <c r="BC33" s="31" t="n">
        <v>0</v>
      </c>
      <c r="BD33" s="7" t="n">
        <v>0</v>
      </c>
      <c r="BE33" s="7" t="n">
        <v>0</v>
      </c>
      <c r="BF33" s="7" t="n">
        <v>0</v>
      </c>
      <c r="BG33" s="40" t="n">
        <v>6.608928095913011</v>
      </c>
      <c r="BH33" s="31" t="n">
        <v>0</v>
      </c>
      <c r="BI33" s="7" t="n">
        <v>0</v>
      </c>
      <c r="BJ33" s="7" t="n">
        <v>0</v>
      </c>
      <c r="BK33" s="7" t="n">
        <v>0</v>
      </c>
      <c r="BL33" s="40" t="n">
        <v>2.3</v>
      </c>
      <c r="BM33" s="40" t="n">
        <v>0</v>
      </c>
      <c r="BN33" s="40" t="n">
        <v>0</v>
      </c>
      <c r="BO33" s="40" t="n">
        <v>0</v>
      </c>
      <c r="BP33" s="40" t="n">
        <v>0</v>
      </c>
      <c r="BQ33" s="40" t="n">
        <v>47.7234564429372</v>
      </c>
      <c r="BR33" s="31" t="n">
        <v>5.108542959387698</v>
      </c>
      <c r="BS33" s="7" t="n">
        <v>5.55969509872196</v>
      </c>
      <c r="BT33" s="7" t="n">
        <v>5.962220229004494</v>
      </c>
      <c r="BU33" s="7" t="n">
        <v>8.974532675204891</v>
      </c>
      <c r="BV33" s="40" t="n">
        <v>13.24869960142173</v>
      </c>
      <c r="BW33" s="31" t="n">
        <v>-2.525294690512085</v>
      </c>
      <c r="BX33" s="7" t="n">
        <v>-2.241368062084158</v>
      </c>
      <c r="BY33" s="7" t="n">
        <v>-2.709413714752509</v>
      </c>
      <c r="BZ33" s="7" t="n">
        <v>-3.206627490816757</v>
      </c>
      <c r="CA33" s="40" t="n">
        <v>-12.21666335970294</v>
      </c>
      <c r="CB33" s="31" t="n">
        <v>1.402619185880578</v>
      </c>
      <c r="CC33" s="7" t="n">
        <v>0.6668370128077958</v>
      </c>
      <c r="CD33" s="7" t="n">
        <v>1.22437799484276</v>
      </c>
      <c r="CE33" s="7" t="n">
        <v>1.289255412098042</v>
      </c>
    </row>
    <row r="34">
      <c r="A34" s="254" t="n">
        <v>40909</v>
      </c>
      <c r="B34" s="3" t="n">
        <v>0</v>
      </c>
      <c r="C34" s="40" t="n">
        <v>18</v>
      </c>
      <c r="D34" s="31" t="n">
        <v>0</v>
      </c>
      <c r="E34" s="7" t="n">
        <v>0</v>
      </c>
      <c r="F34" s="7" t="n">
        <v>0</v>
      </c>
      <c r="G34" s="7" t="n">
        <v>0</v>
      </c>
      <c r="H34" s="40" t="n">
        <v>39.82731115322891</v>
      </c>
      <c r="I34" s="31" t="n">
        <v>1.898805851116165</v>
      </c>
      <c r="J34" s="7" t="n">
        <v>2.462294322156058</v>
      </c>
      <c r="K34" s="7" t="n">
        <v>2.403869610832814</v>
      </c>
      <c r="L34" s="7" t="n">
        <v>4.046240160412388</v>
      </c>
      <c r="M34" s="40" t="n">
        <v>8.362096779727381</v>
      </c>
      <c r="N34" s="31" t="n">
        <v>10.4010172437504</v>
      </c>
      <c r="O34" s="7" t="n">
        <v>12.68202581729285</v>
      </c>
      <c r="P34" s="40" t="n">
        <v>65.57886597938143</v>
      </c>
      <c r="Q34" s="31" t="n">
        <v>0</v>
      </c>
      <c r="R34" s="7" t="n">
        <v>0</v>
      </c>
      <c r="S34" s="7" t="n">
        <v>0</v>
      </c>
      <c r="T34" s="7" t="n">
        <v>0</v>
      </c>
      <c r="U34" s="40" t="n">
        <v>11</v>
      </c>
      <c r="V34" s="31" t="n">
        <v>0</v>
      </c>
      <c r="W34" s="7" t="n">
        <v>0</v>
      </c>
      <c r="X34" s="7" t="n">
        <v>0</v>
      </c>
      <c r="Y34" s="7" t="n">
        <v>0</v>
      </c>
      <c r="Z34" s="40" t="n">
        <v>9.484834777606308</v>
      </c>
      <c r="AA34" s="31" t="n">
        <v>-0.5660872164344202</v>
      </c>
      <c r="AB34" s="7" t="n">
        <v>-0.2927338739733125</v>
      </c>
      <c r="AC34" s="7" t="n">
        <v>-0.5066425425575964</v>
      </c>
      <c r="AD34" s="7" t="n">
        <v>-0.4233937427925429</v>
      </c>
      <c r="AE34" s="9" t="n">
        <v>0.9782610359077353</v>
      </c>
      <c r="AF34" s="7" t="n">
        <v>4.004418593291462</v>
      </c>
      <c r="AG34" s="7" t="n">
        <v>7.72377540066384</v>
      </c>
      <c r="AH34" s="40" t="n">
        <v>4.044064334477374</v>
      </c>
      <c r="AI34" s="31" t="n">
        <v>-0.7525275653726355</v>
      </c>
      <c r="AJ34" s="7" t="n">
        <v>-0.1647033558249342</v>
      </c>
      <c r="AK34" s="7" t="n">
        <v>-0.4393861399050989</v>
      </c>
      <c r="AL34" s="7" t="n">
        <v>-0.2817154605020518</v>
      </c>
      <c r="AM34" s="40" t="n">
        <v>0.6411769962764297</v>
      </c>
      <c r="AN34" s="31" t="n">
        <v>-0.2146506630554009</v>
      </c>
      <c r="AO34" s="7" t="n">
        <v>-0.1407084173154132</v>
      </c>
      <c r="AP34" s="7" t="n">
        <v>-0.2062838459885739</v>
      </c>
      <c r="AQ34" s="7" t="n">
        <v>-0.2236456794918027</v>
      </c>
      <c r="AR34" s="40" t="n">
        <v>26.56982182855669</v>
      </c>
      <c r="AS34" s="31" t="n">
        <v>3.67658505112583</v>
      </c>
      <c r="AT34" s="7" t="n">
        <v>3.812090761208948</v>
      </c>
      <c r="AU34" s="7" t="n">
        <v>4.199945484638913</v>
      </c>
      <c r="AV34" s="7" t="n">
        <v>6.160210735427352</v>
      </c>
      <c r="AW34" s="40" t="n">
        <v>44.60837790718268</v>
      </c>
      <c r="AX34" s="31" t="n">
        <v>0.5461599565087312</v>
      </c>
      <c r="AY34" s="7" t="n">
        <v>1.479636007045642</v>
      </c>
      <c r="AZ34" s="7" t="n">
        <v>1.05864950010988</v>
      </c>
      <c r="BA34" s="7" t="n">
        <v>2.517795977524258</v>
      </c>
      <c r="BB34" s="40" t="n">
        <v>135.5174028123871</v>
      </c>
      <c r="BC34" s="31" t="n">
        <v>0</v>
      </c>
      <c r="BD34" s="7" t="n">
        <v>0</v>
      </c>
      <c r="BE34" s="7" t="n">
        <v>0</v>
      </c>
      <c r="BF34" s="7" t="n">
        <v>0</v>
      </c>
      <c r="BG34" s="40" t="n">
        <v>6.608928095913011</v>
      </c>
      <c r="BH34" s="31" t="n">
        <v>0</v>
      </c>
      <c r="BI34" s="7" t="n">
        <v>0</v>
      </c>
      <c r="BJ34" s="7" t="n">
        <v>0</v>
      </c>
      <c r="BK34" s="7" t="n">
        <v>0</v>
      </c>
      <c r="BL34" s="40" t="n">
        <v>2.3</v>
      </c>
      <c r="BM34" s="40" t="n">
        <v>0</v>
      </c>
      <c r="BN34" s="40" t="n">
        <v>0</v>
      </c>
      <c r="BO34" s="40" t="n">
        <v>0</v>
      </c>
      <c r="BP34" s="40" t="n">
        <v>0</v>
      </c>
      <c r="BQ34" s="40" t="n">
        <v>48.83762549221165</v>
      </c>
      <c r="BR34" s="31" t="n">
        <v>4.846641124066544</v>
      </c>
      <c r="BS34" s="7" t="n">
        <v>5.337867222839542</v>
      </c>
      <c r="BT34" s="7" t="n">
        <v>5.686465503598455</v>
      </c>
      <c r="BU34" s="7" t="n">
        <v>8.649400441895388</v>
      </c>
      <c r="BV34" s="40" t="n">
        <v>12.76654644941587</v>
      </c>
      <c r="BW34" s="31" t="n">
        <v>-2.349713912772504</v>
      </c>
      <c r="BX34" s="7" t="n">
        <v>-2.324223717548928</v>
      </c>
      <c r="BY34" s="7" t="n">
        <v>-2.631224851237329</v>
      </c>
      <c r="BZ34" s="7" t="n">
        <v>-3.393850122178529</v>
      </c>
      <c r="CA34" s="40" t="n">
        <v>-11.55703118737521</v>
      </c>
      <c r="CB34" s="31" t="n">
        <v>1.894673989990977</v>
      </c>
      <c r="CC34" s="7" t="n">
        <v>1.031922034424404</v>
      </c>
      <c r="CD34" s="7" t="n">
        <v>1.717300913968542</v>
      </c>
      <c r="CE34" s="7" t="n">
        <v>1.810021345548174</v>
      </c>
    </row>
    <row r="35">
      <c r="A35" s="254" t="n">
        <v>41000</v>
      </c>
      <c r="B35" s="3" t="n">
        <v>0</v>
      </c>
      <c r="C35" s="40" t="n">
        <v>18</v>
      </c>
      <c r="D35" s="31" t="n">
        <v>0</v>
      </c>
      <c r="E35" s="7" t="n">
        <v>0</v>
      </c>
      <c r="F35" s="7" t="n">
        <v>0</v>
      </c>
      <c r="G35" s="7" t="n">
        <v>0</v>
      </c>
      <c r="H35" s="40" t="n">
        <v>40.16098582576678</v>
      </c>
      <c r="I35" s="31" t="n">
        <v>1.655842648017746</v>
      </c>
      <c r="J35" s="7" t="n">
        <v>2.199877595792088</v>
      </c>
      <c r="K35" s="7" t="n">
        <v>2.121970702831675</v>
      </c>
      <c r="L35" s="7" t="n">
        <v>3.642049836831504</v>
      </c>
      <c r="M35" s="40" t="n">
        <v>7.646781193368042</v>
      </c>
      <c r="N35" s="31" t="n">
        <v>9.461816315615124</v>
      </c>
      <c r="O35" s="7" t="n">
        <v>11.6696085375958</v>
      </c>
      <c r="P35" s="40" t="n">
        <v>65.57886597938143</v>
      </c>
      <c r="Q35" s="31" t="n">
        <v>0</v>
      </c>
      <c r="R35" s="7" t="n">
        <v>0</v>
      </c>
      <c r="S35" s="7" t="n">
        <v>0</v>
      </c>
      <c r="T35" s="7" t="n">
        <v>0</v>
      </c>
      <c r="U35" s="40" t="n">
        <v>11</v>
      </c>
      <c r="V35" s="31" t="n">
        <v>0</v>
      </c>
      <c r="W35" s="7" t="n">
        <v>0</v>
      </c>
      <c r="X35" s="7" t="n">
        <v>0</v>
      </c>
      <c r="Y35" s="7" t="n">
        <v>0</v>
      </c>
      <c r="Z35" s="40" t="n">
        <v>9.298354016460703</v>
      </c>
      <c r="AA35" s="31" t="n">
        <v>-0.6521129059605819</v>
      </c>
      <c r="AB35" s="7" t="n">
        <v>-0.4135775615244981</v>
      </c>
      <c r="AC35" s="7" t="n">
        <v>-0.6199398352098733</v>
      </c>
      <c r="AD35" s="7" t="n">
        <v>-0.6108296856687243</v>
      </c>
      <c r="AE35" s="9" t="n">
        <v>0.08324538767340073</v>
      </c>
      <c r="AF35" s="7" t="n">
        <v>2.652943382066439</v>
      </c>
      <c r="AG35" s="7" t="n">
        <v>6.117342013001159</v>
      </c>
      <c r="AH35" s="40" t="n">
        <v>4.057878377795634</v>
      </c>
      <c r="AI35" s="31" t="n">
        <v>-0.8091456817415397</v>
      </c>
      <c r="AJ35" s="7" t="n">
        <v>-0.2206659009304954</v>
      </c>
      <c r="AK35" s="7" t="n">
        <v>-0.3843962576306055</v>
      </c>
      <c r="AL35" s="7" t="n">
        <v>-0.2900371823314947</v>
      </c>
      <c r="AM35" s="40" t="n">
        <v>0.5720482321034432</v>
      </c>
      <c r="AN35" s="31" t="n">
        <v>-0.2418583705085686</v>
      </c>
      <c r="AO35" s="7" t="n">
        <v>-0.1743247475218829</v>
      </c>
      <c r="AP35" s="7" t="n">
        <v>-0.240235505832707</v>
      </c>
      <c r="AQ35" s="7" t="n">
        <v>-0.2729579954999317</v>
      </c>
      <c r="AR35" s="40" t="n">
        <v>27.4235856441351</v>
      </c>
      <c r="AS35" s="31" t="n">
        <v>3.575750189961639</v>
      </c>
      <c r="AT35" s="7" t="n">
        <v>3.740060614536988</v>
      </c>
      <c r="AU35" s="7" t="n">
        <v>4.10068660991508</v>
      </c>
      <c r="AV35" s="7" t="n">
        <v>6.054150946559776</v>
      </c>
      <c r="AW35" s="40" t="n">
        <v>44.5459142368798</v>
      </c>
      <c r="AX35" s="31" t="n">
        <v>0.1904484839981109</v>
      </c>
      <c r="AY35" s="7" t="n">
        <v>1.054982276570787</v>
      </c>
      <c r="AZ35" s="7" t="n">
        <v>0.6262768280455902</v>
      </c>
      <c r="BA35" s="7" t="n">
        <v>1.864136404066087</v>
      </c>
      <c r="BB35" s="40" t="n">
        <v>135.5174028123871</v>
      </c>
      <c r="BC35" s="31" t="n">
        <v>0</v>
      </c>
      <c r="BD35" s="7" t="n">
        <v>0</v>
      </c>
      <c r="BE35" s="7" t="n">
        <v>0</v>
      </c>
      <c r="BF35" s="7" t="n">
        <v>0</v>
      </c>
      <c r="BG35" s="40" t="n">
        <v>6.608928095913011</v>
      </c>
      <c r="BH35" s="31" t="n">
        <v>0</v>
      </c>
      <c r="BI35" s="7" t="n">
        <v>0</v>
      </c>
      <c r="BJ35" s="7" t="n">
        <v>0</v>
      </c>
      <c r="BK35" s="7" t="n">
        <v>0</v>
      </c>
      <c r="BL35" s="40" t="n">
        <v>2.3</v>
      </c>
      <c r="BM35" s="40" t="n">
        <v>0</v>
      </c>
      <c r="BN35" s="40" t="n">
        <v>0</v>
      </c>
      <c r="BO35" s="40" t="n">
        <v>0</v>
      </c>
      <c r="BP35" s="40" t="n">
        <v>0</v>
      </c>
      <c r="BQ35" s="40" t="n">
        <v>49.89466364046292</v>
      </c>
      <c r="BR35" s="31" t="n">
        <v>4.5926613514496</v>
      </c>
      <c r="BS35" s="7" t="n">
        <v>5.101759234504371</v>
      </c>
      <c r="BT35" s="7" t="n">
        <v>5.409036846139834</v>
      </c>
      <c r="BU35" s="7" t="n">
        <v>8.298199500971457</v>
      </c>
      <c r="BV35" s="40" t="n">
        <v>12.39215386192144</v>
      </c>
      <c r="BW35" s="31" t="n">
        <v>-2.062552147048505</v>
      </c>
      <c r="BX35" s="7" t="n">
        <v>-2.281699130910393</v>
      </c>
      <c r="BY35" s="7" t="n">
        <v>-2.424561509344532</v>
      </c>
      <c r="BZ35" s="7" t="n">
        <v>-3.382185654652844</v>
      </c>
      <c r="CA35" s="40" t="n">
        <v>-10.78553700191735</v>
      </c>
      <c r="CB35" s="31" t="n">
        <v>2.38107930135911</v>
      </c>
      <c r="CC35" s="7" t="n">
        <v>1.446020862567734</v>
      </c>
      <c r="CD35" s="7" t="n">
        <v>2.230814590820298</v>
      </c>
      <c r="CE35" s="7" t="n">
        <v>2.408294484095103</v>
      </c>
    </row>
    <row r="36">
      <c r="A36" s="254" t="n">
        <v>41091</v>
      </c>
      <c r="B36" s="3" t="n">
        <v>0</v>
      </c>
      <c r="C36" s="40" t="n">
        <v>18</v>
      </c>
      <c r="D36" s="31" t="n">
        <v>0</v>
      </c>
      <c r="E36" s="7" t="n">
        <v>0</v>
      </c>
      <c r="F36" s="7" t="n">
        <v>0</v>
      </c>
      <c r="G36" s="7" t="n">
        <v>0</v>
      </c>
      <c r="H36" s="40" t="n">
        <v>40.46232380600442</v>
      </c>
      <c r="I36" s="31" t="n">
        <v>1.452608468519173</v>
      </c>
      <c r="J36" s="7" t="n">
        <v>1.953859713006974</v>
      </c>
      <c r="K36" s="7" t="n">
        <v>1.873339284121286</v>
      </c>
      <c r="L36" s="7" t="n">
        <v>3.264095998937371</v>
      </c>
      <c r="M36" s="40" t="n">
        <v>7.065121465919447</v>
      </c>
      <c r="N36" s="31" t="n">
        <v>8.628576615539941</v>
      </c>
      <c r="O36" s="7" t="n">
        <v>10.71122962965721</v>
      </c>
      <c r="P36" s="40" t="n">
        <v>65.57886597938143</v>
      </c>
      <c r="Q36" s="31" t="n">
        <v>0</v>
      </c>
      <c r="R36" s="7" t="n">
        <v>0</v>
      </c>
      <c r="S36" s="7" t="n">
        <v>0</v>
      </c>
      <c r="T36" s="7" t="n">
        <v>0</v>
      </c>
      <c r="U36" s="40" t="n">
        <v>11</v>
      </c>
      <c r="V36" s="31" t="n">
        <v>0</v>
      </c>
      <c r="W36" s="7" t="n">
        <v>0</v>
      </c>
      <c r="X36" s="7" t="n">
        <v>0</v>
      </c>
      <c r="Y36" s="7" t="n">
        <v>0</v>
      </c>
      <c r="Z36" s="40" t="n">
        <v>9.10835308266609</v>
      </c>
      <c r="AA36" s="31" t="n">
        <v>-0.7099832452305233</v>
      </c>
      <c r="AB36" s="7" t="n">
        <v>-0.5160410219550515</v>
      </c>
      <c r="AC36" s="7" t="n">
        <v>-0.7065463786233614</v>
      </c>
      <c r="AD36" s="7" t="n">
        <v>-0.7694595461929126</v>
      </c>
      <c r="AE36" s="9" t="n">
        <v>-0.5417554441554557</v>
      </c>
      <c r="AF36" s="7" t="n">
        <v>1.518774732080033</v>
      </c>
      <c r="AG36" s="7" t="n">
        <v>4.669706849317549</v>
      </c>
      <c r="AH36" s="40" t="n">
        <v>4.063387350097837</v>
      </c>
      <c r="AI36" s="31" t="n">
        <v>0.07663883213906342</v>
      </c>
      <c r="AJ36" s="7" t="n">
        <v>-0.2744348100138292</v>
      </c>
      <c r="AK36" s="7" t="n">
        <v>-0.3237208100957796</v>
      </c>
      <c r="AL36" s="7" t="n">
        <v>-0.2946292064973894</v>
      </c>
      <c r="AM36" s="40" t="n">
        <v>0.4991939734822747</v>
      </c>
      <c r="AN36" s="31" t="n">
        <v>-0.2641281629041643</v>
      </c>
      <c r="AO36" s="7" t="n">
        <v>-0.2053245495538174</v>
      </c>
      <c r="AP36" s="7" t="n">
        <v>-0.2695085775734049</v>
      </c>
      <c r="AQ36" s="7" t="n">
        <v>-0.318980624033498</v>
      </c>
      <c r="AR36" s="40" t="n">
        <v>28.25486975370321</v>
      </c>
      <c r="AS36" s="31" t="n">
        <v>3.473901452703839</v>
      </c>
      <c r="AT36" s="7" t="n">
        <v>3.658934348996265</v>
      </c>
      <c r="AU36" s="7" t="n">
        <v>3.996955565848939</v>
      </c>
      <c r="AV36" s="7" t="n">
        <v>5.932884479118904</v>
      </c>
      <c r="AW36" s="40" t="n">
        <v>44.44597232244534</v>
      </c>
      <c r="AX36" s="31" t="n">
        <v>-0.08798506516770743</v>
      </c>
      <c r="AY36" s="7" t="n">
        <v>0.6713135788625522</v>
      </c>
      <c r="AZ36" s="7" t="n">
        <v>0.2625893444684309</v>
      </c>
      <c r="BA36" s="7" t="n">
        <v>1.274524345647357</v>
      </c>
      <c r="BB36" s="40" t="n">
        <v>135.5174028123871</v>
      </c>
      <c r="BC36" s="31" t="n">
        <v>0</v>
      </c>
      <c r="BD36" s="7" t="n">
        <v>0</v>
      </c>
      <c r="BE36" s="7" t="n">
        <v>0</v>
      </c>
      <c r="BF36" s="7" t="n">
        <v>0</v>
      </c>
      <c r="BG36" s="40" t="n">
        <v>6.608928095913011</v>
      </c>
      <c r="BH36" s="31" t="n">
        <v>0</v>
      </c>
      <c r="BI36" s="7" t="n">
        <v>0</v>
      </c>
      <c r="BJ36" s="7" t="n">
        <v>0</v>
      </c>
      <c r="BK36" s="7" t="n">
        <v>0</v>
      </c>
      <c r="BL36" s="40" t="n">
        <v>2.3</v>
      </c>
      <c r="BM36" s="40" t="n">
        <v>0</v>
      </c>
      <c r="BN36" s="40" t="n">
        <v>0</v>
      </c>
      <c r="BO36" s="40" t="n">
        <v>0</v>
      </c>
      <c r="BP36" s="40" t="n">
        <v>0</v>
      </c>
      <c r="BQ36" s="40" t="n">
        <v>50.90507340183485</v>
      </c>
      <c r="BR36" s="31" t="n">
        <v>4.359133217706677</v>
      </c>
      <c r="BS36" s="7" t="n">
        <v>4.863063239344665</v>
      </c>
      <c r="BT36" s="7" t="n">
        <v>5.144006798885677</v>
      </c>
      <c r="BU36" s="7" t="n">
        <v>7.940084117311478</v>
      </c>
      <c r="BV36" s="40" t="n">
        <v>12.13061198270333</v>
      </c>
      <c r="BW36" s="31" t="n">
        <v>-1.690533160600193</v>
      </c>
      <c r="BX36" s="7" t="n">
        <v>-2.133103503224467</v>
      </c>
      <c r="BY36" s="7" t="n">
        <v>-2.115678605835038</v>
      </c>
      <c r="BZ36" s="7" t="n">
        <v>-3.196869992080611</v>
      </c>
      <c r="CA36" s="40" t="n">
        <v>-9.911525146955775</v>
      </c>
      <c r="CB36" s="31" t="n">
        <v>2.843710313034657</v>
      </c>
      <c r="CC36" s="7" t="n">
        <v>1.88758741729893</v>
      </c>
      <c r="CD36" s="7" t="n">
        <v>2.743321230139944</v>
      </c>
      <c r="CE36" s="7" t="n">
        <v>3.054427127712382</v>
      </c>
    </row>
    <row r="37">
      <c r="A37" s="254" t="n">
        <v>41183</v>
      </c>
      <c r="B37" s="3" t="n">
        <v>0</v>
      </c>
      <c r="C37" s="40" t="n">
        <v>18</v>
      </c>
      <c r="D37" s="31" t="n">
        <v>0</v>
      </c>
      <c r="E37" s="7" t="n">
        <v>0</v>
      </c>
      <c r="F37" s="7" t="n">
        <v>0</v>
      </c>
      <c r="G37" s="7" t="n">
        <v>0</v>
      </c>
      <c r="H37" s="40" t="n">
        <v>40.74352736344851</v>
      </c>
      <c r="I37" s="31" t="n">
        <v>1.295983242352229</v>
      </c>
      <c r="J37" s="7" t="n">
        <v>1.732730242906467</v>
      </c>
      <c r="K37" s="7" t="n">
        <v>1.666077913313636</v>
      </c>
      <c r="L37" s="7" t="n">
        <v>2.924900357962841</v>
      </c>
      <c r="M37" s="40" t="n">
        <v>6.600397451737308</v>
      </c>
      <c r="N37" s="31" t="n">
        <v>7.906663625497458</v>
      </c>
      <c r="O37" s="7" t="n">
        <v>9.821353839700047</v>
      </c>
      <c r="P37" s="40" t="n">
        <v>65.57886597938143</v>
      </c>
      <c r="Q37" s="31" t="n">
        <v>0</v>
      </c>
      <c r="R37" s="7" t="n">
        <v>0</v>
      </c>
      <c r="S37" s="7" t="n">
        <v>0</v>
      </c>
      <c r="T37" s="7" t="n">
        <v>0</v>
      </c>
      <c r="U37" s="40" t="n">
        <v>11</v>
      </c>
      <c r="V37" s="31" t="n">
        <v>0</v>
      </c>
      <c r="W37" s="7" t="n">
        <v>0</v>
      </c>
      <c r="X37" s="7" t="n">
        <v>0</v>
      </c>
      <c r="Y37" s="7" t="n">
        <v>0</v>
      </c>
      <c r="Z37" s="40" t="n">
        <v>8.920833232019914</v>
      </c>
      <c r="AA37" s="31" t="n">
        <v>-0.7398512824843344</v>
      </c>
      <c r="AB37" s="7" t="n">
        <v>-0.59716438939481</v>
      </c>
      <c r="AC37" s="7" t="n">
        <v>-0.7650559737807736</v>
      </c>
      <c r="AD37" s="7" t="n">
        <v>-0.8957504465701494</v>
      </c>
      <c r="AE37" s="9" t="n">
        <v>-0.926959365555831</v>
      </c>
      <c r="AF37" s="7" t="n">
        <v>0.61169583762819</v>
      </c>
      <c r="AG37" s="7" t="n">
        <v>3.393828647587876</v>
      </c>
      <c r="AH37" s="40" t="n">
        <v>4.061941516802281</v>
      </c>
      <c r="AI37" s="31" t="n">
        <v>0.04123072997142874</v>
      </c>
      <c r="AJ37" s="7" t="n">
        <v>-0.3248244090856671</v>
      </c>
      <c r="AK37" s="7" t="n">
        <v>-0.2565579408878778</v>
      </c>
      <c r="AL37" s="7" t="n">
        <v>-0.2938435732236249</v>
      </c>
      <c r="AM37" s="40" t="n">
        <v>0.424237859122602</v>
      </c>
      <c r="AN37" s="31" t="n">
        <v>-0.281136620068732</v>
      </c>
      <c r="AO37" s="7" t="n">
        <v>-0.2319416854157182</v>
      </c>
      <c r="AP37" s="7" t="n">
        <v>-0.2931335545446232</v>
      </c>
      <c r="AQ37" s="7" t="n">
        <v>-0.3599066509277777</v>
      </c>
      <c r="AR37" s="40" t="n">
        <v>29.07009375384621</v>
      </c>
      <c r="AS37" s="31" t="n">
        <v>3.380836057379316</v>
      </c>
      <c r="AT37" s="7" t="n">
        <v>3.574243504242567</v>
      </c>
      <c r="AU37" s="7" t="n">
        <v>3.897445978742876</v>
      </c>
      <c r="AV37" s="7" t="n">
        <v>5.807040719975419</v>
      </c>
      <c r="AW37" s="40" t="n">
        <v>44.32642370266073</v>
      </c>
      <c r="AX37" s="31" t="n">
        <v>-0.2854338571396227</v>
      </c>
      <c r="AY37" s="7" t="n">
        <v>0.3402479192986192</v>
      </c>
      <c r="AZ37" s="7" t="n">
        <v>-0.02478767003181304</v>
      </c>
      <c r="BA37" s="7" t="n">
        <v>0.7639697324442665</v>
      </c>
      <c r="BB37" s="40" t="n">
        <v>135.5174028123871</v>
      </c>
      <c r="BC37" s="31" t="n">
        <v>0</v>
      </c>
      <c r="BD37" s="7" t="n">
        <v>0</v>
      </c>
      <c r="BE37" s="7" t="n">
        <v>0</v>
      </c>
      <c r="BF37" s="7" t="n">
        <v>0</v>
      </c>
      <c r="BG37" s="40" t="n">
        <v>6.608928095913011</v>
      </c>
      <c r="BH37" s="31" t="n">
        <v>0</v>
      </c>
      <c r="BI37" s="7" t="n">
        <v>0</v>
      </c>
      <c r="BJ37" s="7" t="n">
        <v>0</v>
      </c>
      <c r="BK37" s="7" t="n">
        <v>0</v>
      </c>
      <c r="BL37" s="40" t="n">
        <v>2.3</v>
      </c>
      <c r="BM37" s="40" t="n">
        <v>0</v>
      </c>
      <c r="BN37" s="40" t="n">
        <v>0</v>
      </c>
      <c r="BO37" s="40" t="n">
        <v>0</v>
      </c>
      <c r="BP37" s="40" t="n">
        <v>0</v>
      </c>
      <c r="BQ37" s="40" t="n">
        <v>51.88270270330737</v>
      </c>
      <c r="BR37" s="31" t="n">
        <v>4.159246260370175</v>
      </c>
      <c r="BS37" s="7" t="n">
        <v>4.633894609878936</v>
      </c>
      <c r="BT37" s="7" t="n">
        <v>4.905870290522031</v>
      </c>
      <c r="BU37" s="7" t="n">
        <v>7.595143645898354</v>
      </c>
      <c r="BV37" s="40" t="n">
        <v>11.9746211157013</v>
      </c>
      <c r="BW37" s="31" t="n">
        <v>-1.274078485720429</v>
      </c>
      <c r="BX37" s="7" t="n">
        <v>-1.899686588116257</v>
      </c>
      <c r="BY37" s="7" t="n">
        <v>-1.738393597030951</v>
      </c>
      <c r="BZ37" s="7" t="n">
        <v>-2.875622086370054</v>
      </c>
      <c r="CA37" s="40" t="n">
        <v>-8.944983295373117</v>
      </c>
      <c r="CB37" s="31" t="n">
        <v>3.271680064329827</v>
      </c>
      <c r="CC37" s="7" t="n">
        <v>2.337149625105202</v>
      </c>
      <c r="CD37" s="7" t="n">
        <v>3.23796622739787</v>
      </c>
      <c r="CE37" s="7" t="n">
        <v>3.721607332319959</v>
      </c>
    </row>
    <row r="38">
      <c r="A38" s="254" t="n">
        <v>41275</v>
      </c>
      <c r="B38" s="3" t="n">
        <v>0</v>
      </c>
      <c r="C38" s="40" t="n">
        <v>18</v>
      </c>
      <c r="D38" s="31" t="n">
        <v>0</v>
      </c>
      <c r="E38" s="7" t="n">
        <v>0</v>
      </c>
      <c r="F38" s="7" t="n">
        <v>0</v>
      </c>
      <c r="G38" s="7" t="n">
        <v>0</v>
      </c>
      <c r="H38" s="40" t="n">
        <v>41.01415227246832</v>
      </c>
      <c r="I38" s="31" t="n">
        <v>1.186841119239418</v>
      </c>
      <c r="J38" s="7" t="n">
        <v>1.542823485177792</v>
      </c>
      <c r="K38" s="7" t="n">
        <v>1.503520261606837</v>
      </c>
      <c r="L38" s="7" t="n">
        <v>2.632345565166879</v>
      </c>
      <c r="M38" s="40" t="n">
        <v>6.230562370824828</v>
      </c>
      <c r="N38" s="31" t="n">
        <v>7.296329575276104</v>
      </c>
      <c r="O38" s="7" t="n">
        <v>9.010865619441878</v>
      </c>
      <c r="P38" s="40" t="n">
        <v>65.57886597938143</v>
      </c>
      <c r="Q38" s="31" t="n">
        <v>0</v>
      </c>
      <c r="R38" s="7" t="n">
        <v>0</v>
      </c>
      <c r="S38" s="7" t="n">
        <v>0</v>
      </c>
      <c r="T38" s="7" t="n">
        <v>0</v>
      </c>
      <c r="U38" s="40" t="n">
        <v>11</v>
      </c>
      <c r="V38" s="31" t="n">
        <v>0</v>
      </c>
      <c r="W38" s="7" t="n">
        <v>0</v>
      </c>
      <c r="X38" s="7" t="n">
        <v>0</v>
      </c>
      <c r="Y38" s="7" t="n">
        <v>0</v>
      </c>
      <c r="Z38" s="40" t="n">
        <v>8.740512895102688</v>
      </c>
      <c r="AA38" s="31" t="n">
        <v>-0.7443218825036197</v>
      </c>
      <c r="AB38" s="7" t="n">
        <v>-0.65520454946902</v>
      </c>
      <c r="AC38" s="7" t="n">
        <v>-0.7960852133492988</v>
      </c>
      <c r="AD38" s="7" t="n">
        <v>-0.9881699107359996</v>
      </c>
      <c r="AE38" s="9" t="n">
        <v>-1.116004555721588</v>
      </c>
      <c r="AF38" s="7" t="n">
        <v>-0.0688717599069264</v>
      </c>
      <c r="AG38" s="7" t="n">
        <v>2.297610876953778</v>
      </c>
      <c r="AH38" s="40" t="n">
        <v>4.054986018080632</v>
      </c>
      <c r="AI38" s="31" t="n">
        <v>0.01092168360325729</v>
      </c>
      <c r="AJ38" s="7" t="n">
        <v>-0.3708029408846891</v>
      </c>
      <c r="AK38" s="7" t="n">
        <v>-0.182307337338111</v>
      </c>
      <c r="AL38" s="7" t="n">
        <v>-0.2862535964387778</v>
      </c>
      <c r="AM38" s="40" t="n">
        <v>0.3484618922314769</v>
      </c>
      <c r="AN38" s="31" t="n">
        <v>-0.2927151040449528</v>
      </c>
      <c r="AO38" s="7" t="n">
        <v>-0.2536828835501769</v>
      </c>
      <c r="AP38" s="7" t="n">
        <v>-0.3109241000818188</v>
      </c>
      <c r="AQ38" s="7" t="n">
        <v>-0.3945667576939213</v>
      </c>
      <c r="AR38" s="40" t="n">
        <v>29.87675243702149</v>
      </c>
      <c r="AS38" s="31" t="n">
        <v>3.306930608464793</v>
      </c>
      <c r="AT38" s="7" t="n">
        <v>3.491757829795311</v>
      </c>
      <c r="AU38" s="7" t="n">
        <v>3.810543785857512</v>
      </c>
      <c r="AV38" s="7" t="n">
        <v>5.686970626056198</v>
      </c>
      <c r="AW38" s="40" t="n">
        <v>44.20071743128879</v>
      </c>
      <c r="AX38" s="31" t="n">
        <v>-0.4076604758938842</v>
      </c>
      <c r="AY38" s="7" t="n">
        <v>0.06924974030742348</v>
      </c>
      <c r="AZ38" s="7" t="n">
        <v>-0.2355559212284035</v>
      </c>
      <c r="BA38" s="7" t="n">
        <v>0.3403411458095462</v>
      </c>
      <c r="BB38" s="40" t="n">
        <v>135.5174028123871</v>
      </c>
      <c r="BC38" s="31" t="n">
        <v>0</v>
      </c>
      <c r="BD38" s="7" t="n">
        <v>0</v>
      </c>
      <c r="BE38" s="7" t="n">
        <v>0</v>
      </c>
      <c r="BF38" s="7" t="n">
        <v>0</v>
      </c>
      <c r="BG38" s="40" t="n">
        <v>6.608928095913011</v>
      </c>
      <c r="BH38" s="31" t="n">
        <v>0</v>
      </c>
      <c r="BI38" s="7" t="n">
        <v>0</v>
      </c>
      <c r="BJ38" s="7" t="n">
        <v>0</v>
      </c>
      <c r="BK38" s="7" t="n">
        <v>0</v>
      </c>
      <c r="BL38" s="40" t="n">
        <v>2.3</v>
      </c>
      <c r="BM38" s="40" t="n">
        <v>0</v>
      </c>
      <c r="BN38" s="40" t="n">
        <v>0</v>
      </c>
      <c r="BO38" s="40" t="n">
        <v>0</v>
      </c>
      <c r="BP38" s="40" t="n">
        <v>0</v>
      </c>
      <c r="BQ38" s="40" t="n">
        <v>52.84324425001658</v>
      </c>
      <c r="BR38" s="31" t="n">
        <v>4.005618757804932</v>
      </c>
      <c r="BS38" s="7" t="n">
        <v>4.426129940935738</v>
      </c>
      <c r="BT38" s="7" t="n">
        <v>4.70793818476151</v>
      </c>
      <c r="BU38" s="7" t="n">
        <v>7.282465487789715</v>
      </c>
      <c r="BV38" s="40" t="n">
        <v>11.91556219818043</v>
      </c>
      <c r="BW38" s="31" t="n">
        <v>-0.85098425123544</v>
      </c>
      <c r="BX38" s="7" t="n">
        <v>-1.600349082003972</v>
      </c>
      <c r="BY38" s="7" t="n">
        <v>-1.322530867522756</v>
      </c>
      <c r="BZ38" s="7" t="n">
        <v>-2.454946453066862</v>
      </c>
      <c r="CA38" s="40" t="n">
        <v>-7.896904260593155</v>
      </c>
      <c r="CB38" s="31" t="n">
        <v>3.660126926782057</v>
      </c>
      <c r="CC38" s="7" t="n">
        <v>2.777400458386517</v>
      </c>
      <c r="CD38" s="7" t="n">
        <v>3.70175785590153</v>
      </c>
      <c r="CE38" s="7" t="n">
        <v>4.385906859604471</v>
      </c>
    </row>
    <row r="39">
      <c r="A39" s="254" t="n">
        <v>41365</v>
      </c>
      <c r="B39" s="3" t="n">
        <v>0</v>
      </c>
      <c r="C39" s="40" t="n">
        <v>18</v>
      </c>
      <c r="D39" s="31" t="n">
        <v>0</v>
      </c>
      <c r="E39" s="7" t="n">
        <v>0</v>
      </c>
      <c r="F39" s="7" t="n">
        <v>0</v>
      </c>
      <c r="G39" s="7" t="n">
        <v>0</v>
      </c>
      <c r="H39" s="40" t="n">
        <v>41.28100963460034</v>
      </c>
      <c r="I39" s="31" t="n">
        <v>1.120023808833558</v>
      </c>
      <c r="J39" s="7" t="n">
        <v>1.387933228425652</v>
      </c>
      <c r="K39" s="7" t="n">
        <v>1.384671752444405</v>
      </c>
      <c r="L39" s="7" t="n">
        <v>2.389917113669604</v>
      </c>
      <c r="M39" s="40" t="n">
        <v>5.930322919700757</v>
      </c>
      <c r="N39" s="31" t="n">
        <v>6.7885520565344</v>
      </c>
      <c r="O39" s="7" t="n">
        <v>8.284651850310334</v>
      </c>
      <c r="P39" s="40" t="n">
        <v>65.57886597938143</v>
      </c>
      <c r="Q39" s="31" t="n">
        <v>0</v>
      </c>
      <c r="R39" s="7" t="n">
        <v>0</v>
      </c>
      <c r="S39" s="7" t="n">
        <v>0</v>
      </c>
      <c r="T39" s="7" t="n">
        <v>0</v>
      </c>
      <c r="U39" s="40" t="n">
        <v>11</v>
      </c>
      <c r="V39" s="31" t="n">
        <v>0</v>
      </c>
      <c r="W39" s="7" t="n">
        <v>0</v>
      </c>
      <c r="X39" s="7" t="n">
        <v>0</v>
      </c>
      <c r="Y39" s="7" t="n">
        <v>0</v>
      </c>
      <c r="Z39" s="40" t="n">
        <v>8.570931986971686</v>
      </c>
      <c r="AA39" s="31" t="n">
        <v>-0.7274220294890164</v>
      </c>
      <c r="AB39" s="7" t="n">
        <v>-0.6897674677247991</v>
      </c>
      <c r="AC39" s="7" t="n">
        <v>-0.8018649841130436</v>
      </c>
      <c r="AD39" s="7" t="n">
        <v>-1.046935016329481</v>
      </c>
      <c r="AE39" s="9" t="n">
        <v>-1.152473564404772</v>
      </c>
      <c r="AF39" s="7" t="n">
        <v>-0.5346140883656858</v>
      </c>
      <c r="AG39" s="7" t="n">
        <v>1.384471066576036</v>
      </c>
      <c r="AH39" s="40" t="n">
        <v>4.043998821662941</v>
      </c>
      <c r="AI39" s="31" t="n">
        <v>-0.01387955613269387</v>
      </c>
      <c r="AJ39" s="7" t="n">
        <v>-0.4115126189371168</v>
      </c>
      <c r="AK39" s="7" t="n">
        <v>-0.1005937985346295</v>
      </c>
      <c r="AL39" s="7" t="n">
        <v>-0.2707003738525851</v>
      </c>
      <c r="AM39" s="40" t="n">
        <v>0.2730884675331504</v>
      </c>
      <c r="AN39" s="31" t="n">
        <v>-0.2989597645702928</v>
      </c>
      <c r="AO39" s="7" t="n">
        <v>-0.2704090675394307</v>
      </c>
      <c r="AP39" s="7" t="n">
        <v>-0.322876803892601</v>
      </c>
      <c r="AQ39" s="7" t="n">
        <v>-0.4220958541692662</v>
      </c>
      <c r="AR39" s="40" t="n">
        <v>30.68214491391101</v>
      </c>
      <c r="AS39" s="31" t="n">
        <v>3.258559269775905</v>
      </c>
      <c r="AT39" s="7" t="n">
        <v>3.417154729868772</v>
      </c>
      <c r="AU39" s="7" t="n">
        <v>3.742996805298201</v>
      </c>
      <c r="AV39" s="7" t="n">
        <v>5.581437092038826</v>
      </c>
      <c r="AW39" s="40" t="n">
        <v>44.07816677480083</v>
      </c>
      <c r="AX39" s="31" t="n">
        <v>-0.4677474620789752</v>
      </c>
      <c r="AY39" s="7" t="n">
        <v>-0.1386494890404322</v>
      </c>
      <c r="AZ39" s="7" t="n">
        <v>-0.3754190127932304</v>
      </c>
      <c r="BA39" s="7" t="n">
        <v>0.005156194471801712</v>
      </c>
      <c r="BB39" s="40" t="n">
        <v>135.5174028123871</v>
      </c>
      <c r="BC39" s="31" t="n">
        <v>0</v>
      </c>
      <c r="BD39" s="7" t="n">
        <v>0</v>
      </c>
      <c r="BE39" s="7" t="n">
        <v>0</v>
      </c>
      <c r="BF39" s="7" t="n">
        <v>0</v>
      </c>
      <c r="BG39" s="40" t="n">
        <v>6.608928095913011</v>
      </c>
      <c r="BH39" s="31" t="n">
        <v>0</v>
      </c>
      <c r="BI39" s="7" t="n">
        <v>0</v>
      </c>
      <c r="BJ39" s="7" t="n">
        <v>0</v>
      </c>
      <c r="BK39" s="7" t="n">
        <v>0</v>
      </c>
      <c r="BL39" s="40" t="n">
        <v>2.3</v>
      </c>
      <c r="BM39" s="40" t="n">
        <v>0</v>
      </c>
      <c r="BN39" s="40" t="n">
        <v>0</v>
      </c>
      <c r="BO39" s="40" t="n">
        <v>0</v>
      </c>
      <c r="BP39" s="40" t="n">
        <v>0</v>
      </c>
      <c r="BQ39" s="40" t="n">
        <v>53.80174814834885</v>
      </c>
      <c r="BR39" s="31" t="n">
        <v>3.907084507885934</v>
      </c>
      <c r="BS39" s="7" t="n">
        <v>4.249872929667767</v>
      </c>
      <c r="BT39" s="7" t="n">
        <v>4.559909597859843</v>
      </c>
      <c r="BU39" s="7" t="n">
        <v>7.017523285831658</v>
      </c>
      <c r="BV39" s="40" t="n">
        <v>11.94298240876235</v>
      </c>
      <c r="BW39" s="31" t="n">
        <v>-0.4491714531590905</v>
      </c>
      <c r="BX39" s="7" t="n">
        <v>-1.255861800103798</v>
      </c>
      <c r="BY39" s="7" t="n">
        <v>-0.8950233864398509</v>
      </c>
      <c r="BZ39" s="7" t="n">
        <v>-1.969240268623842</v>
      </c>
      <c r="CA39" s="40" t="n">
        <v>-6.782184925928628</v>
      </c>
      <c r="CB39" s="31" t="n">
        <v>4.003352075988727</v>
      </c>
      <c r="CC39" s="7" t="n">
        <v>3.192215688673918</v>
      </c>
      <c r="CD39" s="7" t="n">
        <v>4.12212707596943</v>
      </c>
      <c r="CE39" s="7" t="n">
        <v>5.023628611299759</v>
      </c>
    </row>
    <row r="40">
      <c r="A40" s="254" t="n">
        <v>41456</v>
      </c>
      <c r="B40" s="3" t="n">
        <v>0</v>
      </c>
      <c r="C40" s="40" t="n">
        <v>18</v>
      </c>
      <c r="D40" s="31" t="n">
        <v>0</v>
      </c>
      <c r="E40" s="7" t="n">
        <v>0</v>
      </c>
      <c r="F40" s="7" t="n">
        <v>0</v>
      </c>
      <c r="G40" s="7" t="n">
        <v>0</v>
      </c>
      <c r="H40" s="40" t="n">
        <v>41.54811219350673</v>
      </c>
      <c r="I40" s="31" t="n">
        <v>1.085788387502305</v>
      </c>
      <c r="J40" s="7" t="n">
        <v>1.269198428010739</v>
      </c>
      <c r="K40" s="7" t="n">
        <v>1.304791004244379</v>
      </c>
      <c r="L40" s="7" t="n">
        <v>2.197038089207844</v>
      </c>
      <c r="M40" s="40" t="n">
        <v>5.676143166963811</v>
      </c>
      <c r="N40" s="31" t="n">
        <v>6.370632316441629</v>
      </c>
      <c r="O40" s="7" t="n">
        <v>7.644432132681231</v>
      </c>
      <c r="P40" s="40" t="n">
        <v>65.57886597938143</v>
      </c>
      <c r="Q40" s="31" t="n">
        <v>0</v>
      </c>
      <c r="R40" s="7" t="n">
        <v>0</v>
      </c>
      <c r="S40" s="7" t="n">
        <v>0</v>
      </c>
      <c r="T40" s="7" t="n">
        <v>0</v>
      </c>
      <c r="U40" s="40" t="n">
        <v>11</v>
      </c>
      <c r="V40" s="31" t="n">
        <v>0</v>
      </c>
      <c r="W40" s="7" t="n">
        <v>0</v>
      </c>
      <c r="X40" s="7" t="n">
        <v>0</v>
      </c>
      <c r="Y40" s="7" t="n">
        <v>0</v>
      </c>
      <c r="Z40" s="40" t="n">
        <v>8.414628125633689</v>
      </c>
      <c r="AA40" s="31" t="n">
        <v>-0.6937249570324013</v>
      </c>
      <c r="AB40" s="7" t="n">
        <v>-0.7018541011314623</v>
      </c>
      <c r="AC40" s="7" t="n">
        <v>-0.7857269785198415</v>
      </c>
      <c r="AD40" s="7" t="n">
        <v>-1.073690781622645</v>
      </c>
      <c r="AE40" s="9" t="n">
        <v>-1.076461415509129</v>
      </c>
      <c r="AF40" s="7" t="n">
        <v>-0.8091084298322926</v>
      </c>
      <c r="AG40" s="7" t="n">
        <v>0.6536960162169786</v>
      </c>
      <c r="AH40" s="40" t="n">
        <v>4.03038196368672</v>
      </c>
      <c r="AI40" s="31" t="n">
        <v>-0.03300538641111661</v>
      </c>
      <c r="AJ40" s="7" t="n">
        <v>0.0218167228639734</v>
      </c>
      <c r="AK40" s="7" t="n">
        <v>-0.01133250177656997</v>
      </c>
      <c r="AL40" s="7" t="n">
        <v>-0.2463829519959981</v>
      </c>
      <c r="AM40" s="40" t="n">
        <v>0.1996402180008182</v>
      </c>
      <c r="AN40" s="31" t="n">
        <v>-0.2995537554814565</v>
      </c>
      <c r="AO40" s="7" t="n">
        <v>-0.2818409591928104</v>
      </c>
      <c r="AP40" s="7" t="n">
        <v>-0.3287227865400756</v>
      </c>
      <c r="AQ40" s="7" t="n">
        <v>-0.4415766654004268</v>
      </c>
      <c r="AR40" s="40" t="n">
        <v>31.49293677493755</v>
      </c>
      <c r="AS40" s="31" t="n">
        <v>3.238067021234347</v>
      </c>
      <c r="AT40" s="7" t="n">
        <v>3.355984236969093</v>
      </c>
      <c r="AU40" s="7" t="n">
        <v>3.699499983857557</v>
      </c>
      <c r="AV40" s="7" t="n">
        <v>5.497338911494548</v>
      </c>
      <c r="AW40" s="40" t="n">
        <v>43.96468930209846</v>
      </c>
      <c r="AX40" s="31" t="n">
        <v>-0.4812830203468863</v>
      </c>
      <c r="AY40" s="7" t="n">
        <v>-0.2846340427572969</v>
      </c>
      <c r="AZ40" s="7" t="n">
        <v>-0.4542341132354935</v>
      </c>
      <c r="BA40" s="7" t="n">
        <v>-0.2451727024857888</v>
      </c>
      <c r="BB40" s="40" t="n">
        <v>135.5174028123871</v>
      </c>
      <c r="BC40" s="31" t="n">
        <v>0</v>
      </c>
      <c r="BD40" s="7" t="n">
        <v>0</v>
      </c>
      <c r="BE40" s="7" t="n">
        <v>0</v>
      </c>
      <c r="BF40" s="7" t="n">
        <v>0</v>
      </c>
      <c r="BG40" s="40" t="n">
        <v>6.608928095913011</v>
      </c>
      <c r="BH40" s="31" t="n">
        <v>0</v>
      </c>
      <c r="BI40" s="7" t="n">
        <v>0</v>
      </c>
      <c r="BJ40" s="7" t="n">
        <v>0</v>
      </c>
      <c r="BK40" s="7" t="n">
        <v>0</v>
      </c>
      <c r="BL40" s="40" t="n">
        <v>2.3</v>
      </c>
      <c r="BM40" s="40" t="n">
        <v>0</v>
      </c>
      <c r="BN40" s="40" t="n">
        <v>0</v>
      </c>
      <c r="BO40" s="40" t="n">
        <v>0</v>
      </c>
      <c r="BP40" s="40" t="n">
        <v>0</v>
      </c>
      <c r="BQ40" s="40" t="n">
        <v>54.77111363855678</v>
      </c>
      <c r="BR40" s="31" t="n">
        <v>3.866040236721929</v>
      </c>
      <c r="BS40" s="7" t="n">
        <v>4.112586727214303</v>
      </c>
      <c r="BT40" s="7" t="n">
        <v>4.46680685565083</v>
      </c>
      <c r="BU40" s="7" t="n">
        <v>6.81100519463169</v>
      </c>
      <c r="BV40" s="40" t="n">
        <v>12.04775319468243</v>
      </c>
      <c r="BW40" s="31" t="n">
        <v>-0.08285878802090174</v>
      </c>
      <c r="BX40" s="7" t="n">
        <v>-0.8866959743105474</v>
      </c>
      <c r="BY40" s="7" t="n">
        <v>-0.4762871504938175</v>
      </c>
      <c r="BZ40" s="7" t="n">
        <v>-1.446755339788766</v>
      </c>
      <c r="CA40" s="40" t="n">
        <v>-5.621192446834012</v>
      </c>
      <c r="CB40" s="31" t="n">
        <v>4.290332700121763</v>
      </c>
      <c r="CC40" s="7" t="n">
        <v>3.56702150657821</v>
      </c>
      <c r="CD40" s="7" t="n">
        <v>4.485065632895566</v>
      </c>
      <c r="CE40" s="7" t="n">
        <v>5.610004940300689</v>
      </c>
    </row>
    <row r="41">
      <c r="A41" s="254" t="n">
        <v>41548</v>
      </c>
      <c r="B41" s="3" t="n">
        <v>0</v>
      </c>
      <c r="C41" s="40" t="n">
        <v>18</v>
      </c>
      <c r="D41" s="31" t="n">
        <v>0</v>
      </c>
      <c r="E41" s="7" t="n">
        <v>0</v>
      </c>
      <c r="F41" s="7" t="n">
        <v>0</v>
      </c>
      <c r="G41" s="7" t="n">
        <v>0</v>
      </c>
      <c r="H41" s="40" t="n">
        <v>41.81655576158488</v>
      </c>
      <c r="I41" s="31" t="n">
        <v>1.073028398136373</v>
      </c>
      <c r="J41" s="7" t="n">
        <v>1.184505820244301</v>
      </c>
      <c r="K41" s="7" t="n">
        <v>1.255934965319845</v>
      </c>
      <c r="L41" s="7" t="n">
        <v>2.049356006159641</v>
      </c>
      <c r="M41" s="40" t="n">
        <v>5.447591460240346</v>
      </c>
      <c r="N41" s="31" t="n">
        <v>6.023994455988827</v>
      </c>
      <c r="O41" s="7" t="n">
        <v>7.086972903745088</v>
      </c>
      <c r="P41" s="40" t="n">
        <v>65.57886597938143</v>
      </c>
      <c r="Q41" s="31" t="n">
        <v>0</v>
      </c>
      <c r="R41" s="7" t="n">
        <v>0</v>
      </c>
      <c r="S41" s="7" t="n">
        <v>0</v>
      </c>
      <c r="T41" s="7" t="n">
        <v>0</v>
      </c>
      <c r="U41" s="40" t="n">
        <v>11</v>
      </c>
      <c r="V41" s="31" t="n">
        <v>0</v>
      </c>
      <c r="W41" s="7" t="n">
        <v>0</v>
      </c>
      <c r="X41" s="7" t="n">
        <v>0</v>
      </c>
      <c r="Y41" s="7" t="n">
        <v>0</v>
      </c>
      <c r="Z41" s="40" t="n">
        <v>8.273342808294599</v>
      </c>
      <c r="AA41" s="31" t="n">
        <v>-0.6474904237253156</v>
      </c>
      <c r="AB41" s="7" t="n">
        <v>-0.693670853104825</v>
      </c>
      <c r="AC41" s="7" t="n">
        <v>-0.7515487705760666</v>
      </c>
      <c r="AD41" s="7" t="n">
        <v>-1.071158848883192</v>
      </c>
      <c r="AE41" s="9" t="n">
        <v>-0.9205088708854419</v>
      </c>
      <c r="AF41" s="7" t="n">
        <v>-0.9237341182206364</v>
      </c>
      <c r="AG41" s="7" t="n">
        <v>0.1009609347903127</v>
      </c>
      <c r="AH41" s="40" t="n">
        <v>4.015435818028054</v>
      </c>
      <c r="AI41" s="31" t="n">
        <v>-0.04650569877422672</v>
      </c>
      <c r="AJ41" s="7" t="n">
        <v>-0.002637484401398993</v>
      </c>
      <c r="AK41" s="7" t="n">
        <v>-0.03173282815122924</v>
      </c>
      <c r="AL41" s="7" t="n">
        <v>-0.2128395137847656</v>
      </c>
      <c r="AM41" s="40" t="n">
        <v>0.1290419528120914</v>
      </c>
      <c r="AN41" s="31" t="n">
        <v>-0.2951959063105107</v>
      </c>
      <c r="AO41" s="7" t="n">
        <v>-0.2881662631896214</v>
      </c>
      <c r="AP41" s="7" t="n">
        <v>-0.3288608119305998</v>
      </c>
      <c r="AQ41" s="7" t="n">
        <v>-0.452991359373396</v>
      </c>
      <c r="AR41" s="40" t="n">
        <v>32.31457888285907</v>
      </c>
      <c r="AS41" s="31" t="n">
        <v>3.244485129012855</v>
      </c>
      <c r="AT41" s="7" t="n">
        <v>3.312660593196085</v>
      </c>
      <c r="AU41" s="7" t="n">
        <v>3.682146032536796</v>
      </c>
      <c r="AV41" s="7" t="n">
        <v>5.43931970948049</v>
      </c>
      <c r="AW41" s="40" t="n">
        <v>43.86348351659842</v>
      </c>
      <c r="AX41" s="31" t="n">
        <v>-0.4629401860623119</v>
      </c>
      <c r="AY41" s="7" t="n">
        <v>-0.3741870216009673</v>
      </c>
      <c r="AZ41" s="7" t="n">
        <v>-0.4842813880461989</v>
      </c>
      <c r="BA41" s="7" t="n">
        <v>-0.4181571661006771</v>
      </c>
      <c r="BB41" s="40" t="n">
        <v>135.5174028123871</v>
      </c>
      <c r="BC41" s="31" t="n">
        <v>0</v>
      </c>
      <c r="BD41" s="7" t="n">
        <v>0</v>
      </c>
      <c r="BE41" s="7" t="n">
        <v>0</v>
      </c>
      <c r="BF41" s="7" t="n">
        <v>0</v>
      </c>
      <c r="BG41" s="40" t="n">
        <v>6.608928095913011</v>
      </c>
      <c r="BH41" s="31" t="n">
        <v>0</v>
      </c>
      <c r="BI41" s="7" t="n">
        <v>0</v>
      </c>
      <c r="BJ41" s="7" t="n">
        <v>0</v>
      </c>
      <c r="BK41" s="7" t="n">
        <v>0</v>
      </c>
      <c r="BL41" s="40" t="n">
        <v>2.3</v>
      </c>
      <c r="BM41" s="40" t="n">
        <v>0</v>
      </c>
      <c r="BN41" s="40" t="n">
        <v>0</v>
      </c>
      <c r="BO41" s="40" t="n">
        <v>0</v>
      </c>
      <c r="BP41" s="40" t="n">
        <v>0</v>
      </c>
      <c r="BQ41" s="40" t="n">
        <v>55.76123443175577</v>
      </c>
      <c r="BR41" s="31" t="n">
        <v>3.878531728448394</v>
      </c>
      <c r="BS41" s="7" t="n">
        <v>4.018888994409284</v>
      </c>
      <c r="BT41" s="7" t="n">
        <v>4.428780967046244</v>
      </c>
      <c r="BU41" s="7" t="n">
        <v>6.668445428213076</v>
      </c>
      <c r="BV41" s="40" t="n">
        <v>12.22064612599072</v>
      </c>
      <c r="BW41" s="31" t="n">
        <v>0.246025010289415</v>
      </c>
      <c r="BX41" s="7" t="n">
        <v>-0.5140267377155068</v>
      </c>
      <c r="BY41" s="7" t="n">
        <v>-0.08172022560789394</v>
      </c>
      <c r="BZ41" s="7" t="n">
        <v>-0.9114402589413277</v>
      </c>
      <c r="CA41" s="40" t="n">
        <v>-4.438896586315499</v>
      </c>
      <c r="CB41" s="31" t="n">
        <v>4.506086709057618</v>
      </c>
      <c r="CC41" s="7" t="n">
        <v>3.888883386693722</v>
      </c>
      <c r="CD41" s="7" t="n">
        <v>4.775606116769525</v>
      </c>
      <c r="CE41" s="7" t="n">
        <v>6.120175172925901</v>
      </c>
    </row>
    <row r="42">
      <c r="A42" s="254" t="n">
        <v>41640</v>
      </c>
      <c r="B42" s="3" t="n">
        <v>0</v>
      </c>
      <c r="C42" s="40" t="n">
        <v>18</v>
      </c>
      <c r="D42" s="31" t="n">
        <v>0</v>
      </c>
      <c r="E42" s="7" t="n">
        <v>0</v>
      </c>
      <c r="F42" s="7" t="n">
        <v>0</v>
      </c>
      <c r="G42" s="7" t="n">
        <v>0</v>
      </c>
      <c r="H42" s="40" t="n">
        <v>42.0846442001826</v>
      </c>
      <c r="I42" s="31" t="n">
        <v>1.070491927714279</v>
      </c>
      <c r="J42" s="7" t="n">
        <v>1.128666523476848</v>
      </c>
      <c r="K42" s="7" t="n">
        <v>1.22789694885649</v>
      </c>
      <c r="L42" s="7" t="n">
        <v>1.939237037761586</v>
      </c>
      <c r="M42" s="40" t="n">
        <v>5.224244329166595</v>
      </c>
      <c r="N42" s="31" t="n">
        <v>5.727403349995711</v>
      </c>
      <c r="O42" s="7" t="n">
        <v>6.605634493239601</v>
      </c>
      <c r="P42" s="40" t="n">
        <v>65.57886597938143</v>
      </c>
      <c r="Q42" s="31" t="n">
        <v>0</v>
      </c>
      <c r="R42" s="7" t="n">
        <v>0</v>
      </c>
      <c r="S42" s="7" t="n">
        <v>0</v>
      </c>
      <c r="T42" s="7" t="n">
        <v>0</v>
      </c>
      <c r="U42" s="40" t="n">
        <v>11</v>
      </c>
      <c r="V42" s="31" t="n">
        <v>0</v>
      </c>
      <c r="W42" s="7" t="n">
        <v>0</v>
      </c>
      <c r="X42" s="7" t="n">
        <v>0</v>
      </c>
      <c r="Y42" s="7" t="n">
        <v>0</v>
      </c>
      <c r="Z42" s="40" t="n">
        <v>8.14824949431692</v>
      </c>
      <c r="AA42" s="31" t="n">
        <v>-0.5922634007857681</v>
      </c>
      <c r="AB42" s="7" t="n">
        <v>-0.6682926416446939</v>
      </c>
      <c r="AC42" s="7" t="n">
        <v>-0.7032243712775408</v>
      </c>
      <c r="AD42" s="7" t="n">
        <v>-1.04276722931796</v>
      </c>
      <c r="AE42" s="9" t="n">
        <v>-0.7063555025411006</v>
      </c>
      <c r="AF42" s="7" t="n">
        <v>-0.9111800291313443</v>
      </c>
      <c r="AG42" s="7" t="n">
        <v>-0.2813663407849845</v>
      </c>
      <c r="AH42" s="40" t="n">
        <v>4.000314420456051</v>
      </c>
      <c r="AI42" s="31" t="n">
        <v>-0.05467159762458085</v>
      </c>
      <c r="AJ42" s="7" t="n">
        <v>-0.02187495701066178</v>
      </c>
      <c r="AK42" s="7" t="n">
        <v>-0.04619485462288342</v>
      </c>
      <c r="AL42" s="7" t="n">
        <v>-0.1699480349446389</v>
      </c>
      <c r="AM42" s="40" t="n">
        <v>0.06238817594073554</v>
      </c>
      <c r="AN42" s="31" t="n">
        <v>-0.2860737162907414</v>
      </c>
      <c r="AO42" s="7" t="n">
        <v>-0.2893944101678471</v>
      </c>
      <c r="AP42" s="7" t="n">
        <v>-0.3234730230045503</v>
      </c>
      <c r="AQ42" s="7" t="n">
        <v>-0.4563885298162562</v>
      </c>
      <c r="AR42" s="40" t="n">
        <v>33.15055459676252</v>
      </c>
      <c r="AS42" s="31" t="n">
        <v>3.273802159741031</v>
      </c>
      <c r="AT42" s="7" t="n">
        <v>3.290366384102912</v>
      </c>
      <c r="AU42" s="7" t="n">
        <v>3.689956598141229</v>
      </c>
      <c r="AV42" s="7" t="n">
        <v>5.409214411925774</v>
      </c>
      <c r="AW42" s="40" t="n">
        <v>43.7754148396513</v>
      </c>
      <c r="AX42" s="31" t="n">
        <v>-0.4253025916374966</v>
      </c>
      <c r="AY42" s="7" t="n">
        <v>-0.4164815337656904</v>
      </c>
      <c r="AZ42" s="7" t="n">
        <v>-0.4788033095930828</v>
      </c>
      <c r="BA42" s="7" t="n">
        <v>-0.5243554807590485</v>
      </c>
      <c r="BB42" s="40" t="n">
        <v>135.5174028123871</v>
      </c>
      <c r="BC42" s="31" t="n">
        <v>0</v>
      </c>
      <c r="BD42" s="7" t="n">
        <v>0</v>
      </c>
      <c r="BE42" s="7" t="n">
        <v>0</v>
      </c>
      <c r="BF42" s="7" t="n">
        <v>0</v>
      </c>
      <c r="BG42" s="40" t="n">
        <v>6.608928095913011</v>
      </c>
      <c r="BH42" s="31" t="n">
        <v>0</v>
      </c>
      <c r="BI42" s="7" t="n">
        <v>0</v>
      </c>
      <c r="BJ42" s="7" t="n">
        <v>0</v>
      </c>
      <c r="BK42" s="7" t="n">
        <v>0</v>
      </c>
      <c r="BL42" s="40" t="n">
        <v>2.3</v>
      </c>
      <c r="BM42" s="40" t="n">
        <v>0</v>
      </c>
      <c r="BN42" s="40" t="n">
        <v>0</v>
      </c>
      <c r="BO42" s="40" t="n">
        <v>0</v>
      </c>
      <c r="BP42" s="40" t="n">
        <v>0</v>
      </c>
      <c r="BQ42" s="40" t="n">
        <v>56.77839510662308</v>
      </c>
      <c r="BR42" s="31" t="n">
        <v>3.935150856606498</v>
      </c>
      <c r="BS42" s="7" t="n">
        <v>3.970384807205715</v>
      </c>
      <c r="BT42" s="7" t="n">
        <v>4.441219393311236</v>
      </c>
      <c r="BU42" s="7" t="n">
        <v>6.590079357396533</v>
      </c>
      <c r="BV42" s="40" t="n">
        <v>12.44632879201685</v>
      </c>
      <c r="BW42" s="31" t="n">
        <v>0.5307665938364217</v>
      </c>
      <c r="BX42" s="7" t="n">
        <v>-0.1601088286995092</v>
      </c>
      <c r="BY42" s="7" t="n">
        <v>0.2724691248471203</v>
      </c>
      <c r="BZ42" s="7" t="n">
        <v>-0.3896452457532664</v>
      </c>
      <c r="CA42" s="40" t="n">
        <v>-3.261783435757544</v>
      </c>
      <c r="CB42" s="31" t="n">
        <v>4.635120824835612</v>
      </c>
      <c r="CC42" s="7" t="n">
        <v>4.147623875808835</v>
      </c>
      <c r="CD42" s="7" t="n">
        <v>4.980498420654051</v>
      </c>
      <c r="CE42" s="7" t="n">
        <v>6.532256160211523</v>
      </c>
    </row>
    <row r="43">
      <c r="A43" s="254" t="n">
        <v>41730</v>
      </c>
      <c r="B43" s="3" t="n">
        <v>0</v>
      </c>
      <c r="C43" s="40" t="n">
        <v>18</v>
      </c>
      <c r="D43" s="31" t="n">
        <v>0</v>
      </c>
      <c r="E43" s="7" t="n">
        <v>0</v>
      </c>
      <c r="F43" s="7" t="n">
        <v>0</v>
      </c>
      <c r="G43" s="7" t="n">
        <v>0</v>
      </c>
      <c r="H43" s="40" t="n">
        <v>42.34870461620625</v>
      </c>
      <c r="I43" s="31" t="n">
        <v>1.067694981605911</v>
      </c>
      <c r="J43" s="7" t="n">
        <v>1.093859395219734</v>
      </c>
      <c r="K43" s="7" t="n">
        <v>1.209790734010923</v>
      </c>
      <c r="L43" s="7" t="n">
        <v>1.856952545612749</v>
      </c>
      <c r="M43" s="40" t="n">
        <v>4.987792816038336</v>
      </c>
      <c r="N43" s="31" t="n">
        <v>5.459057867869546</v>
      </c>
      <c r="O43" s="7" t="n">
        <v>6.188298976369045</v>
      </c>
      <c r="P43" s="40" t="n">
        <v>65.57886597938143</v>
      </c>
      <c r="Q43" s="31" t="n">
        <v>0</v>
      </c>
      <c r="R43" s="7" t="n">
        <v>0</v>
      </c>
      <c r="S43" s="7" t="n">
        <v>0</v>
      </c>
      <c r="T43" s="7" t="n">
        <v>0</v>
      </c>
      <c r="U43" s="40" t="n">
        <v>11</v>
      </c>
      <c r="V43" s="31" t="n">
        <v>0</v>
      </c>
      <c r="W43" s="7" t="n">
        <v>0</v>
      </c>
      <c r="X43" s="7" t="n">
        <v>0</v>
      </c>
      <c r="Y43" s="7" t="n">
        <v>0</v>
      </c>
      <c r="Z43" s="40" t="n">
        <v>8.040221747393375</v>
      </c>
      <c r="AA43" s="31" t="n">
        <v>-0.5307102395783119</v>
      </c>
      <c r="AB43" s="7" t="n">
        <v>-0.6290661345336641</v>
      </c>
      <c r="AC43" s="7" t="n">
        <v>-0.6441789577899115</v>
      </c>
      <c r="AD43" s="7" t="n">
        <v>-0.9922389345978537</v>
      </c>
      <c r="AE43" s="9" t="n">
        <v>-0.4451849015118796</v>
      </c>
      <c r="AF43" s="7" t="n">
        <v>-0.798829232958326</v>
      </c>
      <c r="AG43" s="7" t="n">
        <v>-0.504804359414417</v>
      </c>
      <c r="AH43" s="40" t="n">
        <v>3.985990075619655</v>
      </c>
      <c r="AI43" s="31" t="n">
        <v>-0.05800874604328543</v>
      </c>
      <c r="AJ43" s="7" t="n">
        <v>-0.03594415108798965</v>
      </c>
      <c r="AK43" s="7" t="n">
        <v>-0.05505046020661331</v>
      </c>
      <c r="AL43" s="7" t="n">
        <v>-0.1179159231648721</v>
      </c>
      <c r="AM43" s="40" t="n">
        <v>0.0005293039265952221</v>
      </c>
      <c r="AN43" s="31" t="n">
        <v>-0.2725591636065552</v>
      </c>
      <c r="AO43" s="7" t="n">
        <v>-0.285759464088424</v>
      </c>
      <c r="AP43" s="7" t="n">
        <v>-0.3129832924767288</v>
      </c>
      <c r="AQ43" s="7" t="n">
        <v>-0.4521274448811387</v>
      </c>
      <c r="AR43" s="40" t="n">
        <v>34.00189169862526</v>
      </c>
      <c r="AS43" s="31" t="n">
        <v>3.319746784714258</v>
      </c>
      <c r="AT43" s="7" t="n">
        <v>3.289153027245082</v>
      </c>
      <c r="AU43" s="7" t="n">
        <v>3.718702103978245</v>
      </c>
      <c r="AV43" s="7" t="n">
        <v>5.405775028844221</v>
      </c>
      <c r="AW43" s="40" t="n">
        <v>43.69948251126763</v>
      </c>
      <c r="AX43" s="31" t="n">
        <v>-0.3786842635332022</v>
      </c>
      <c r="AY43" s="7" t="n">
        <v>-0.4232158628060887</v>
      </c>
      <c r="AZ43" s="7" t="n">
        <v>-0.4506152545353359</v>
      </c>
      <c r="BA43" s="7" t="n">
        <v>-0.576387549890832</v>
      </c>
      <c r="BB43" s="40" t="n">
        <v>135.5174028123871</v>
      </c>
      <c r="BC43" s="31" t="n">
        <v>0</v>
      </c>
      <c r="BD43" s="7" t="n">
        <v>0</v>
      </c>
      <c r="BE43" s="7" t="n">
        <v>0</v>
      </c>
      <c r="BF43" s="7" t="n">
        <v>0</v>
      </c>
      <c r="BG43" s="40" t="n">
        <v>6.608928095913011</v>
      </c>
      <c r="BH43" s="31" t="n">
        <v>0</v>
      </c>
      <c r="BI43" s="7" t="n">
        <v>0</v>
      </c>
      <c r="BJ43" s="7" t="n">
        <v>0</v>
      </c>
      <c r="BK43" s="7" t="n">
        <v>0</v>
      </c>
      <c r="BL43" s="40" t="n">
        <v>2.3</v>
      </c>
      <c r="BM43" s="40" t="n">
        <v>0</v>
      </c>
      <c r="BN43" s="40" t="n">
        <v>0</v>
      </c>
      <c r="BO43" s="40" t="n">
        <v>0</v>
      </c>
      <c r="BP43" s="40" t="n">
        <v>0</v>
      </c>
      <c r="BQ43" s="40" t="n">
        <v>57.82582995075511</v>
      </c>
      <c r="BR43" s="31" t="n">
        <v>4.024081802406265</v>
      </c>
      <c r="BS43" s="7" t="n">
        <v>3.965583155146099</v>
      </c>
      <c r="BT43" s="7" t="n">
        <v>4.496058035641845</v>
      </c>
      <c r="BU43" s="7" t="n">
        <v>6.571896639988736</v>
      </c>
      <c r="BV43" s="40" t="n">
        <v>12.70291505712333</v>
      </c>
      <c r="BW43" s="31" t="n">
        <v>0.7599326483609836</v>
      </c>
      <c r="BX43" s="7" t="n">
        <v>0.1553805976009466</v>
      </c>
      <c r="BY43" s="7" t="n">
        <v>0.5690825971284728</v>
      </c>
      <c r="BZ43" s="7" t="n">
        <v>0.08943531686750283</v>
      </c>
      <c r="CA43" s="40" t="n">
        <v>-2.114910442799979</v>
      </c>
      <c r="CB43" s="31" t="n">
        <v>4.667274483128649</v>
      </c>
      <c r="CC43" s="7" t="n">
        <v>4.335313279558688</v>
      </c>
      <c r="CD43" s="7" t="n">
        <v>5.090465444659406</v>
      </c>
      <c r="CE43" s="7" t="n">
        <v>6.829969008035033</v>
      </c>
    </row>
    <row r="44">
      <c r="A44" s="254" t="n">
        <v>41821</v>
      </c>
      <c r="B44" s="3" t="n">
        <v>0</v>
      </c>
      <c r="C44" s="40" t="n">
        <v>18</v>
      </c>
      <c r="D44" s="31" t="n">
        <v>0</v>
      </c>
      <c r="E44" s="7" t="n">
        <v>0</v>
      </c>
      <c r="F44" s="7" t="n">
        <v>0</v>
      </c>
      <c r="G44" s="7" t="n">
        <v>0</v>
      </c>
      <c r="H44" s="40" t="n">
        <v>42.60335195756439</v>
      </c>
      <c r="I44" s="31" t="n">
        <v>1.055239764057667</v>
      </c>
      <c r="J44" s="7" t="n">
        <v>1.070514075779986</v>
      </c>
      <c r="K44" s="7" t="n">
        <v>1.19097322656414</v>
      </c>
      <c r="L44" s="7" t="n">
        <v>1.791303100432785</v>
      </c>
      <c r="M44" s="40" t="n">
        <v>4.721743012537218</v>
      </c>
      <c r="N44" s="31" t="n">
        <v>5.198943089750514</v>
      </c>
      <c r="O44" s="7" t="n">
        <v>5.821002548473492</v>
      </c>
      <c r="P44" s="40" t="n">
        <v>65.57886597938143</v>
      </c>
      <c r="Q44" s="31" t="n">
        <v>0</v>
      </c>
      <c r="R44" s="7" t="n">
        <v>0</v>
      </c>
      <c r="S44" s="7" t="n">
        <v>0</v>
      </c>
      <c r="T44" s="7" t="n">
        <v>0</v>
      </c>
      <c r="U44" s="40" t="n">
        <v>11</v>
      </c>
      <c r="V44" s="31" t="n">
        <v>0</v>
      </c>
      <c r="W44" s="7" t="n">
        <v>0</v>
      </c>
      <c r="X44" s="7" t="n">
        <v>0</v>
      </c>
      <c r="Y44" s="7" t="n">
        <v>0</v>
      </c>
      <c r="Z44" s="40" t="n">
        <v>7.949923480475842</v>
      </c>
      <c r="AA44" s="31" t="n">
        <v>-0.4647046451578465</v>
      </c>
      <c r="AB44" s="7" t="n">
        <v>-0.5792148010951239</v>
      </c>
      <c r="AC44" s="7" t="n">
        <v>-0.5772106910740273</v>
      </c>
      <c r="AD44" s="7" t="n">
        <v>-0.9233501035963929</v>
      </c>
      <c r="AE44" s="9" t="n">
        <v>-0.1392267135792054</v>
      </c>
      <c r="AF44" s="7" t="n">
        <v>-0.6078440645441674</v>
      </c>
      <c r="AG44" s="7" t="n">
        <v>-0.5858145244145968</v>
      </c>
      <c r="AH44" s="40" t="n">
        <v>3.973275627607512</v>
      </c>
      <c r="AI44" s="31" t="n">
        <v>-0.05710633607920812</v>
      </c>
      <c r="AJ44" s="7" t="n">
        <v>-0.04505586124516237</v>
      </c>
      <c r="AK44" s="7" t="n">
        <v>-0.05877887044675933</v>
      </c>
      <c r="AL44" s="7" t="n">
        <v>-0.05721087251722157</v>
      </c>
      <c r="AM44" s="40" t="n">
        <v>-0.05461042165019285</v>
      </c>
      <c r="AN44" s="31" t="n">
        <v>-0.2542506396510111</v>
      </c>
      <c r="AO44" s="7" t="n">
        <v>-0.2769021975662337</v>
      </c>
      <c r="AP44" s="7" t="n">
        <v>-0.2966831520314109</v>
      </c>
      <c r="AQ44" s="7" t="n">
        <v>-0.4394857289008087</v>
      </c>
      <c r="AR44" s="40" t="n">
        <v>34.86692728827823</v>
      </c>
      <c r="AS44" s="31" t="n">
        <v>3.373990513340679</v>
      </c>
      <c r="AT44" s="7" t="n">
        <v>3.306028767287513</v>
      </c>
      <c r="AU44" s="7" t="n">
        <v>3.761449436819944</v>
      </c>
      <c r="AV44" s="7" t="n">
        <v>5.424639264792869</v>
      </c>
      <c r="AW44" s="40" t="n">
        <v>43.63298178754032</v>
      </c>
      <c r="AX44" s="31" t="n">
        <v>-0.3317075145581327</v>
      </c>
      <c r="AY44" s="7" t="n">
        <v>-0.4064952674525095</v>
      </c>
      <c r="AZ44" s="7" t="n">
        <v>-0.4113120125611118</v>
      </c>
      <c r="BA44" s="7" t="n">
        <v>-0.5882230034836269</v>
      </c>
      <c r="BB44" s="40" t="n">
        <v>135.5174028123871</v>
      </c>
      <c r="BC44" s="31" t="n">
        <v>0</v>
      </c>
      <c r="BD44" s="7" t="n">
        <v>0</v>
      </c>
      <c r="BE44" s="7" t="n">
        <v>0</v>
      </c>
      <c r="BF44" s="7" t="n">
        <v>0</v>
      </c>
      <c r="BG44" s="40" t="n">
        <v>6.608928095913011</v>
      </c>
      <c r="BH44" s="31" t="n">
        <v>0</v>
      </c>
      <c r="BI44" s="7" t="n">
        <v>0</v>
      </c>
      <c r="BJ44" s="7" t="n">
        <v>0</v>
      </c>
      <c r="BK44" s="7" t="n">
        <v>0</v>
      </c>
      <c r="BL44" s="40" t="n">
        <v>2.3</v>
      </c>
      <c r="BM44" s="40" t="n">
        <v>0</v>
      </c>
      <c r="BN44" s="40" t="n">
        <v>0</v>
      </c>
      <c r="BO44" s="40" t="n">
        <v>0</v>
      </c>
      <c r="BP44" s="40" t="n">
        <v>0</v>
      </c>
      <c r="BQ44" s="40" t="n">
        <v>58.90342965088828</v>
      </c>
      <c r="BR44" s="31" t="n">
        <v>4.132316012331501</v>
      </c>
      <c r="BS44" s="7" t="n">
        <v>3.999178124526715</v>
      </c>
      <c r="BT44" s="7" t="n">
        <v>4.582261946988481</v>
      </c>
      <c r="BU44" s="7" t="n">
        <v>6.605844034976741</v>
      </c>
      <c r="BV44" s="40" t="n">
        <v>12.95891500578496</v>
      </c>
      <c r="BW44" s="31" t="n">
        <v>0.911161811102529</v>
      </c>
      <c r="BX44" s="7" t="n">
        <v>0.4141515115408136</v>
      </c>
      <c r="BY44" s="7" t="n">
        <v>0.7862373963898666</v>
      </c>
      <c r="BZ44" s="7" t="n">
        <v>0.4914178448496838</v>
      </c>
      <c r="CA44" s="40" t="n">
        <v>-1.0198954236368</v>
      </c>
      <c r="CB44" s="31" t="n">
        <v>4.601297023197212</v>
      </c>
      <c r="CC44" s="7" t="n">
        <v>4.445814861659487</v>
      </c>
      <c r="CD44" s="7" t="n">
        <v>5.101652143932913</v>
      </c>
      <c r="CE44" s="7" t="n">
        <v>7.00400853882517</v>
      </c>
    </row>
    <row r="45">
      <c r="A45" s="254" t="n">
        <v>41913</v>
      </c>
      <c r="B45" s="3" t="n">
        <v>1</v>
      </c>
      <c r="C45" s="40" t="n">
        <v>18</v>
      </c>
      <c r="D45" s="31" t="n">
        <v>0</v>
      </c>
      <c r="E45" s="7" t="n">
        <v>0</v>
      </c>
      <c r="F45" s="7" t="n">
        <v>0</v>
      </c>
      <c r="G45" s="7" t="n">
        <v>0</v>
      </c>
      <c r="H45" s="40" t="n">
        <v>42.84148350786177</v>
      </c>
      <c r="I45" s="31" t="n">
        <v>1.024927746276887</v>
      </c>
      <c r="J45" s="7" t="n">
        <v>1.04897807220663</v>
      </c>
      <c r="K45" s="7" t="n">
        <v>1.161476257916519</v>
      </c>
      <c r="L45" s="7" t="n">
        <v>1.729964932390232</v>
      </c>
      <c r="M45" s="40" t="n">
        <v>4.413965023971741</v>
      </c>
      <c r="N45" s="31" t="n">
        <v>4.930778242106044</v>
      </c>
      <c r="O45" s="7" t="n">
        <v>5.487317978649799</v>
      </c>
      <c r="P45" s="40" t="n">
        <v>65.57886597938143</v>
      </c>
      <c r="Q45" s="31" t="n">
        <v>0</v>
      </c>
      <c r="R45" s="7" t="n">
        <v>0</v>
      </c>
      <c r="S45" s="7" t="n">
        <v>0</v>
      </c>
      <c r="T45" s="7" t="n">
        <v>0</v>
      </c>
      <c r="U45" s="40" t="n">
        <v>11</v>
      </c>
      <c r="V45" s="31" t="n">
        <v>0</v>
      </c>
      <c r="W45" s="7" t="n">
        <v>0</v>
      </c>
      <c r="X45" s="7" t="n">
        <v>0</v>
      </c>
      <c r="Y45" s="7" t="n">
        <v>0</v>
      </c>
      <c r="Z45" s="40" t="n">
        <v>7.877840607505226</v>
      </c>
      <c r="AA45" s="31" t="n">
        <v>-0.3955022007893731</v>
      </c>
      <c r="AB45" s="7" t="n">
        <v>-0.5214963122573444</v>
      </c>
      <c r="AC45" s="7" t="n">
        <v>-0.5044898637708641</v>
      </c>
      <c r="AD45" s="7" t="n">
        <v>-0.8397319059486126</v>
      </c>
      <c r="AE45" s="9" t="n">
        <v>0.2142173897171915</v>
      </c>
      <c r="AF45" s="7" t="n">
        <v>-0.3531457405841252</v>
      </c>
      <c r="AG45" s="7" t="n">
        <v>-0.5444169489080272</v>
      </c>
      <c r="AH45" s="40" t="n">
        <v>3.962814043348744</v>
      </c>
      <c r="AI45" s="31" t="n">
        <v>-0.05262177467930984</v>
      </c>
      <c r="AJ45" s="7" t="n">
        <v>-0.04956373672676828</v>
      </c>
      <c r="AK45" s="7" t="n">
        <v>-0.05797648939423672</v>
      </c>
      <c r="AL45" s="7" t="n">
        <v>-0.06654971591338432</v>
      </c>
      <c r="AM45" s="40" t="n">
        <v>-0.1004920861837284</v>
      </c>
      <c r="AN45" s="31" t="n">
        <v>-0.2295340389958197</v>
      </c>
      <c r="AO45" s="7" t="n">
        <v>-0.2623649726531652</v>
      </c>
      <c r="AP45" s="7" t="n">
        <v>-0.273339267173388</v>
      </c>
      <c r="AQ45" s="7" t="n">
        <v>-0.4172063469312915</v>
      </c>
      <c r="AR45" s="40" t="n">
        <v>35.7407910660677</v>
      </c>
      <c r="AS45" s="31" t="n">
        <v>3.426212183208634</v>
      </c>
      <c r="AT45" s="7" t="n">
        <v>3.335348656110744</v>
      </c>
      <c r="AU45" s="7" t="n">
        <v>3.808806022787529</v>
      </c>
      <c r="AV45" s="7" t="n">
        <v>5.458006460309097</v>
      </c>
      <c r="AW45" s="40" t="n">
        <v>43.57208285538071</v>
      </c>
      <c r="AX45" s="31" t="n">
        <v>-0.2914006612177076</v>
      </c>
      <c r="AY45" s="7" t="n">
        <v>-0.3771704236400097</v>
      </c>
      <c r="AZ45" s="7" t="n">
        <v>-0.3705871278575898</v>
      </c>
      <c r="BA45" s="7" t="n">
        <v>-0.5740406356371679</v>
      </c>
      <c r="BB45" s="40" t="n">
        <v>135.5174028123871</v>
      </c>
      <c r="BC45" s="31" t="n">
        <v>0</v>
      </c>
      <c r="BD45" s="7" t="n">
        <v>0</v>
      </c>
      <c r="BE45" s="7" t="n">
        <v>0</v>
      </c>
      <c r="BF45" s="7" t="n">
        <v>0</v>
      </c>
      <c r="BG45" s="40" t="n">
        <v>6.608928095913011</v>
      </c>
      <c r="BH45" s="31" t="n">
        <v>0</v>
      </c>
      <c r="BI45" s="7" t="n">
        <v>0</v>
      </c>
      <c r="BJ45" s="7" t="n">
        <v>0</v>
      </c>
      <c r="BK45" s="7" t="n">
        <v>0</v>
      </c>
      <c r="BL45" s="40" t="n">
        <v>2.3</v>
      </c>
      <c r="BM45" s="40" t="n">
        <v>0</v>
      </c>
      <c r="BN45" s="40" t="n">
        <v>0</v>
      </c>
      <c r="BO45" s="40" t="n">
        <v>0</v>
      </c>
      <c r="BP45" s="40" t="n">
        <v>0</v>
      </c>
      <c r="BQ45" s="40" t="n">
        <v>60.00748396351354</v>
      </c>
      <c r="BR45" s="31" t="n">
        <v>4.246249531757769</v>
      </c>
      <c r="BS45" s="7" t="n">
        <v>4.062390630103081</v>
      </c>
      <c r="BT45" s="7" t="n">
        <v>4.686521728482063</v>
      </c>
      <c r="BU45" s="7" t="n">
        <v>6.68010755870533</v>
      </c>
      <c r="BV45" s="40" t="n">
        <v>13.17994336235318</v>
      </c>
      <c r="BW45" s="31" t="n">
        <v>0.9592972363624614</v>
      </c>
      <c r="BX45" s="7" t="n">
        <v>0.6026611233259382</v>
      </c>
      <c r="BY45" s="7" t="n">
        <v>0.9037278750728817</v>
      </c>
      <c r="BZ45" s="7" t="n">
        <v>0.7842987128777832</v>
      </c>
      <c r="CA45" s="40" t="n">
        <v>0.005431835619136603</v>
      </c>
      <c r="CB45" s="31" t="n">
        <v>4.444328421934635</v>
      </c>
      <c r="CC45" s="7" t="n">
        <v>4.475207565496127</v>
      </c>
      <c r="CD45" s="7" t="n">
        <v>5.015525687773978</v>
      </c>
      <c r="CE45" s="7" t="n">
        <v>7.051390795051637</v>
      </c>
    </row>
    <row r="46">
      <c r="A46" s="254" t="n">
        <v>42005</v>
      </c>
      <c r="B46" s="3" t="n">
        <v>0</v>
      </c>
      <c r="C46" s="40" t="n">
        <v>18</v>
      </c>
      <c r="D46" s="31" t="n">
        <v>0</v>
      </c>
      <c r="E46" s="7" t="n">
        <v>0</v>
      </c>
      <c r="F46" s="7" t="n">
        <v>0</v>
      </c>
      <c r="G46" s="7" t="n">
        <v>0</v>
      </c>
      <c r="H46" s="40" t="n">
        <v>43.05373422331429</v>
      </c>
      <c r="I46" s="31" t="n">
        <v>0.9690900231316917</v>
      </c>
      <c r="J46" s="7" t="n">
        <v>1.019790975422985</v>
      </c>
      <c r="K46" s="7" t="n">
        <v>1.111482455317386</v>
      </c>
      <c r="L46" s="7" t="n">
        <v>1.659387365612304</v>
      </c>
      <c r="M46" s="40" t="n">
        <v>4.052561279524525</v>
      </c>
      <c r="N46" s="31" t="n">
        <v>4.63840280434556</v>
      </c>
      <c r="O46" s="7" t="n">
        <v>5.169122659838649</v>
      </c>
      <c r="P46" s="40" t="n">
        <v>65.57886597938143</v>
      </c>
      <c r="Q46" s="31" t="n">
        <v>0</v>
      </c>
      <c r="R46" s="7" t="n">
        <v>0</v>
      </c>
      <c r="S46" s="7" t="n">
        <v>0</v>
      </c>
      <c r="T46" s="7" t="n">
        <v>0</v>
      </c>
      <c r="U46" s="40" t="n">
        <v>11</v>
      </c>
      <c r="V46" s="31" t="n">
        <v>0</v>
      </c>
      <c r="W46" s="7" t="n">
        <v>0</v>
      </c>
      <c r="X46" s="7" t="n">
        <v>0</v>
      </c>
      <c r="Y46" s="7" t="n">
        <v>0</v>
      </c>
      <c r="Z46" s="40" t="n">
        <v>7.8242552968363</v>
      </c>
      <c r="AA46" s="31" t="n">
        <v>-0.3239941974806193</v>
      </c>
      <c r="AB46" s="7" t="n">
        <v>-0.4581287991331937</v>
      </c>
      <c r="AC46" s="7" t="n">
        <v>-0.4277010963754524</v>
      </c>
      <c r="AD46" s="7" t="n">
        <v>-0.7447468910342856</v>
      </c>
      <c r="AE46" s="9" t="n">
        <v>0.6186965008654397</v>
      </c>
      <c r="AF46" s="7" t="n">
        <v>-0.04382950083783044</v>
      </c>
      <c r="AG46" s="7" t="n">
        <v>-0.401221185799083</v>
      </c>
      <c r="AH46" s="40" t="n">
        <v>3.955105886776507</v>
      </c>
      <c r="AI46" s="31" t="n">
        <v>-0.04520853367954336</v>
      </c>
      <c r="AJ46" s="7" t="n">
        <v>-0.0499400656520621</v>
      </c>
      <c r="AK46" s="7" t="n">
        <v>-0.05329371178478093</v>
      </c>
      <c r="AL46" s="7" t="n">
        <v>-0.06943314386211208</v>
      </c>
      <c r="AM46" s="40" t="n">
        <v>-0.1343894462157873</v>
      </c>
      <c r="AN46" s="31" t="n">
        <v>-0.1967776221565229</v>
      </c>
      <c r="AO46" s="7" t="n">
        <v>-0.2414256692236321</v>
      </c>
      <c r="AP46" s="7" t="n">
        <v>-0.2416453840421556</v>
      </c>
      <c r="AQ46" s="7" t="n">
        <v>-0.383948159848762</v>
      </c>
      <c r="AR46" s="40" t="n">
        <v>36.61555869775208</v>
      </c>
      <c r="AS46" s="31" t="n">
        <v>3.46500410098956</v>
      </c>
      <c r="AT46" s="7" t="n">
        <v>3.369403130365296</v>
      </c>
      <c r="AU46" s="7" t="n">
        <v>3.849736490444229</v>
      </c>
      <c r="AV46" s="7" t="n">
        <v>5.495146311193409</v>
      </c>
      <c r="AW46" s="40" t="n">
        <v>43.51149502398039</v>
      </c>
      <c r="AX46" s="31" t="n">
        <v>-0.2639198156709028</v>
      </c>
      <c r="AY46" s="7" t="n">
        <v>-0.3446112036541997</v>
      </c>
      <c r="AZ46" s="7" t="n">
        <v>-0.3368823533479173</v>
      </c>
      <c r="BA46" s="7" t="n">
        <v>-0.5479805750025193</v>
      </c>
      <c r="BB46" s="40" t="n">
        <v>135.5174028123871</v>
      </c>
      <c r="BC46" s="31" t="n">
        <v>0</v>
      </c>
      <c r="BD46" s="7" t="n">
        <v>0</v>
      </c>
      <c r="BE46" s="7" t="n">
        <v>0</v>
      </c>
      <c r="BF46" s="7" t="n">
        <v>0</v>
      </c>
      <c r="BG46" s="40" t="n">
        <v>6.608928095913011</v>
      </c>
      <c r="BH46" s="31" t="n">
        <v>0</v>
      </c>
      <c r="BI46" s="7" t="n">
        <v>0</v>
      </c>
      <c r="BJ46" s="7" t="n">
        <v>0</v>
      </c>
      <c r="BK46" s="7" t="n">
        <v>0</v>
      </c>
      <c r="BL46" s="40" t="n">
        <v>2.3</v>
      </c>
      <c r="BM46" s="40" t="n">
        <v>0</v>
      </c>
      <c r="BN46" s="40" t="n">
        <v>0</v>
      </c>
      <c r="BO46" s="40" t="n">
        <v>0</v>
      </c>
      <c r="BP46" s="40" t="n">
        <v>0</v>
      </c>
      <c r="BQ46" s="40" t="n">
        <v>61.13009796387858</v>
      </c>
      <c r="BR46" s="31" t="n">
        <v>4.351702857255503</v>
      </c>
      <c r="BS46" s="7" t="n">
        <v>4.143426856931001</v>
      </c>
      <c r="BT46" s="7" t="n">
        <v>4.793538071321336</v>
      </c>
      <c r="BU46" s="7" t="n">
        <v>6.779052599022343</v>
      </c>
      <c r="BV46" s="40" t="n">
        <v>13.33559939442034</v>
      </c>
      <c r="BW46" s="31" t="n">
        <v>0.8892706024034833</v>
      </c>
      <c r="BX46" s="7" t="n">
        <v>0.7100185981199525</v>
      </c>
      <c r="BY46" s="7" t="n">
        <v>0.9087186263085556</v>
      </c>
      <c r="BZ46" s="7" t="n">
        <v>0.9456844315339872</v>
      </c>
      <c r="CA46" s="40" t="n">
        <v>0.945546180068698</v>
      </c>
      <c r="CB46" s="31" t="n">
        <v>4.207329615826241</v>
      </c>
      <c r="CC46" s="7" t="n">
        <v>4.421225220330927</v>
      </c>
      <c r="CD46" s="7" t="n">
        <v>4.836838140849508</v>
      </c>
      <c r="CE46" s="7" t="n">
        <v>6.972997206557692</v>
      </c>
    </row>
    <row r="47">
      <c r="A47" s="254" t="n">
        <v>42095</v>
      </c>
      <c r="B47" s="3" t="n">
        <v>0</v>
      </c>
      <c r="C47" s="40" t="n">
        <v>18</v>
      </c>
      <c r="D47" s="31" t="n">
        <v>0</v>
      </c>
      <c r="E47" s="7" t="n">
        <v>0</v>
      </c>
      <c r="F47" s="7" t="n">
        <v>0</v>
      </c>
      <c r="G47" s="7" t="n">
        <v>0</v>
      </c>
      <c r="H47" s="40" t="n">
        <v>43.22859137735514</v>
      </c>
      <c r="I47" s="31" t="n">
        <v>0.8798867611488888</v>
      </c>
      <c r="J47" s="7" t="n">
        <v>0.9737908713773997</v>
      </c>
      <c r="K47" s="7" t="n">
        <v>1.031391865502478</v>
      </c>
      <c r="L47" s="7" t="n">
        <v>1.565375930479362</v>
      </c>
      <c r="M47" s="40" t="n">
        <v>3.625694399785971</v>
      </c>
      <c r="N47" s="31" t="n">
        <v>4.306743607912153</v>
      </c>
      <c r="O47" s="7" t="n">
        <v>4.847936711841688</v>
      </c>
      <c r="P47" s="40" t="n">
        <v>65.57886597938143</v>
      </c>
      <c r="Q47" s="31" t="n">
        <v>0</v>
      </c>
      <c r="R47" s="7" t="n">
        <v>0</v>
      </c>
      <c r="S47" s="7" t="n">
        <v>0</v>
      </c>
      <c r="T47" s="7" t="n">
        <v>0</v>
      </c>
      <c r="U47" s="40" t="n">
        <v>11</v>
      </c>
      <c r="V47" s="31" t="n">
        <v>0</v>
      </c>
      <c r="W47" s="7" t="n">
        <v>0</v>
      </c>
      <c r="X47" s="7" t="n">
        <v>0</v>
      </c>
      <c r="Y47" s="7" t="n">
        <v>0</v>
      </c>
      <c r="Z47" s="40" t="n">
        <v>7.789283892949187</v>
      </c>
      <c r="AA47" s="31" t="n">
        <v>-0.2509378544441878</v>
      </c>
      <c r="AB47" s="7" t="n">
        <v>-0.3908240470112498</v>
      </c>
      <c r="AC47" s="7" t="n">
        <v>-0.348140300479268</v>
      </c>
      <c r="AD47" s="7" t="n">
        <v>-0.6413366715238995</v>
      </c>
      <c r="AE47" s="9" t="n">
        <v>1.077371311455181</v>
      </c>
      <c r="AF47" s="7" t="n">
        <v>0.3160932049716507</v>
      </c>
      <c r="AG47" s="7" t="n">
        <v>-0.173429051487157</v>
      </c>
      <c r="AH47" s="40" t="n">
        <v>3.950485045645354</v>
      </c>
      <c r="AI47" s="31" t="n">
        <v>-0.03550502997430138</v>
      </c>
      <c r="AJ47" s="7" t="n">
        <v>-0.04675688800879341</v>
      </c>
      <c r="AK47" s="7" t="n">
        <v>-0.04542953650291892</v>
      </c>
      <c r="AL47" s="7" t="n">
        <v>-0.06664078101819371</v>
      </c>
      <c r="AM47" s="40" t="n">
        <v>-0.07134355382267941</v>
      </c>
      <c r="AN47" s="31" t="n">
        <v>-0.07187285774927464</v>
      </c>
      <c r="AO47" s="7" t="n">
        <v>-0.1722160106779149</v>
      </c>
      <c r="AP47" s="7" t="n">
        <v>-0.1182430743431397</v>
      </c>
      <c r="AQ47" s="7" t="n">
        <v>-0.2562717305813026</v>
      </c>
      <c r="AR47" s="40" t="n">
        <v>37.47944523693956</v>
      </c>
      <c r="AS47" s="31" t="n">
        <v>3.477553538314297</v>
      </c>
      <c r="AT47" s="7" t="n">
        <v>3.398650161514277</v>
      </c>
      <c r="AU47" s="7" t="n">
        <v>3.871272247040388</v>
      </c>
      <c r="AV47" s="7" t="n">
        <v>5.521888111281278</v>
      </c>
      <c r="AW47" s="40" t="n">
        <v>43.44389539717374</v>
      </c>
      <c r="AX47" s="31" t="n">
        <v>-0.2555871140938848</v>
      </c>
      <c r="AY47" s="7" t="n">
        <v>-0.3171356888135435</v>
      </c>
      <c r="AZ47" s="7" t="n">
        <v>-0.3183291792410188</v>
      </c>
      <c r="BA47" s="7" t="n">
        <v>-0.5241732948756521</v>
      </c>
      <c r="BB47" s="40" t="n">
        <v>135.5174028123871</v>
      </c>
      <c r="BC47" s="31" t="n">
        <v>0</v>
      </c>
      <c r="BD47" s="7" t="n">
        <v>0</v>
      </c>
      <c r="BE47" s="7" t="n">
        <v>0</v>
      </c>
      <c r="BF47" s="7" t="n">
        <v>0</v>
      </c>
      <c r="BG47" s="40" t="n">
        <v>6.608928095913011</v>
      </c>
      <c r="BH47" s="31" t="n">
        <v>0</v>
      </c>
      <c r="BI47" s="7" t="n">
        <v>0</v>
      </c>
      <c r="BJ47" s="7" t="n">
        <v>0</v>
      </c>
      <c r="BK47" s="7" t="n">
        <v>0</v>
      </c>
      <c r="BL47" s="40" t="n">
        <v>2.3</v>
      </c>
      <c r="BM47" s="40" t="n">
        <v>0</v>
      </c>
      <c r="BN47" s="40" t="n">
        <v>0</v>
      </c>
      <c r="BO47" s="40" t="n">
        <v>0</v>
      </c>
      <c r="BP47" s="40" t="n">
        <v>0</v>
      </c>
      <c r="BQ47" s="40" t="n">
        <v>62.25745239449503</v>
      </c>
      <c r="BR47" s="31" t="n">
        <v>4.431622443739919</v>
      </c>
      <c r="BS47" s="7" t="n">
        <v>4.227852123073092</v>
      </c>
      <c r="BT47" s="7" t="n">
        <v>4.885035787705036</v>
      </c>
      <c r="BU47" s="7" t="n">
        <v>6.882034323666552</v>
      </c>
      <c r="BV47" s="40" t="n">
        <v>13.40077865648868</v>
      </c>
      <c r="BW47" s="31" t="n">
        <v>0.6978635993653519</v>
      </c>
      <c r="BX47" s="7" t="n">
        <v>0.7288981238631678</v>
      </c>
      <c r="BY47" s="7" t="n">
        <v>0.7963932388469122</v>
      </c>
      <c r="BZ47" s="7" t="n">
        <v>0.9634426148519601</v>
      </c>
      <c r="CA47" s="40" t="n">
        <v>1.785686532364262</v>
      </c>
      <c r="CB47" s="31" t="n">
        <v>3.900596975164241</v>
      </c>
      <c r="CC47" s="7" t="n">
        <v>4.283935729146445</v>
      </c>
      <c r="CD47" s="7" t="n">
        <v>4.57167218806234</v>
      </c>
      <c r="CE47" s="7" t="n">
        <v>6.771256111566265</v>
      </c>
    </row>
    <row r="48">
      <c r="A48" s="254" t="n">
        <v>42186</v>
      </c>
      <c r="B48" s="3" t="n">
        <v>0</v>
      </c>
      <c r="C48" s="40" t="n">
        <v>18</v>
      </c>
      <c r="D48" s="31" t="n">
        <v>0</v>
      </c>
      <c r="E48" s="7" t="n">
        <v>0</v>
      </c>
      <c r="F48" s="7" t="n">
        <v>0</v>
      </c>
      <c r="G48" s="7" t="n">
        <v>0</v>
      </c>
      <c r="H48" s="40" t="n">
        <v>43.35522133351404</v>
      </c>
      <c r="I48" s="31" t="n">
        <v>0.7518693759496458</v>
      </c>
      <c r="J48" s="7" t="n">
        <v>0.9035545700036565</v>
      </c>
      <c r="K48" s="7" t="n">
        <v>0.9145741038170314</v>
      </c>
      <c r="L48" s="7" t="n">
        <v>1.43637209067257</v>
      </c>
      <c r="M48" s="40" t="n">
        <v>3.125368446998436</v>
      </c>
      <c r="N48" s="31" t="n">
        <v>3.923555729767827</v>
      </c>
      <c r="O48" s="7" t="n">
        <v>4.507751542166488</v>
      </c>
      <c r="P48" s="40" t="n">
        <v>65.57886597938143</v>
      </c>
      <c r="Q48" s="31" t="n">
        <v>0</v>
      </c>
      <c r="R48" s="7" t="n">
        <v>0</v>
      </c>
      <c r="S48" s="7" t="n">
        <v>0</v>
      </c>
      <c r="T48" s="7" t="n">
        <v>0</v>
      </c>
      <c r="U48" s="40" t="n">
        <v>11</v>
      </c>
      <c r="V48" s="31" t="n">
        <v>0</v>
      </c>
      <c r="W48" s="7" t="n">
        <v>0</v>
      </c>
      <c r="X48" s="7" t="n">
        <v>0</v>
      </c>
      <c r="Y48" s="7" t="n">
        <v>0</v>
      </c>
      <c r="Z48" s="40" t="n">
        <v>7.772876214426811</v>
      </c>
      <c r="AA48" s="31" t="n">
        <v>-0.1770472660490316</v>
      </c>
      <c r="AB48" s="7" t="n">
        <v>-0.3208759556034391</v>
      </c>
      <c r="AC48" s="7" t="n">
        <v>-0.2668419672488316</v>
      </c>
      <c r="AD48" s="7" t="n">
        <v>-0.5319885064203156</v>
      </c>
      <c r="AE48" s="9" t="n">
        <v>1.592361907988902</v>
      </c>
      <c r="AF48" s="7" t="n">
        <v>0.7265675972048484</v>
      </c>
      <c r="AG48" s="7" t="n">
        <v>0.1255579263001891</v>
      </c>
      <c r="AH48" s="40" t="n">
        <v>3.949185905390032</v>
      </c>
      <c r="AI48" s="31" t="n">
        <v>-0.02408972221748007</v>
      </c>
      <c r="AJ48" s="7" t="n">
        <v>-0.04059802914834409</v>
      </c>
      <c r="AK48" s="7" t="n">
        <v>-0.03503945475604286</v>
      </c>
      <c r="AL48" s="7" t="n">
        <v>-0.05899047692765835</v>
      </c>
      <c r="AM48" s="40" t="n">
        <v>-0.07262315575680149</v>
      </c>
      <c r="AN48" s="31" t="n">
        <v>-0.01801273410660864</v>
      </c>
      <c r="AO48" s="7" t="n">
        <v>-0.1361316868788099</v>
      </c>
      <c r="AP48" s="7" t="n">
        <v>-0.07646867360778303</v>
      </c>
      <c r="AQ48" s="7" t="n">
        <v>-0.2039353503549145</v>
      </c>
      <c r="AR48" s="40" t="n">
        <v>38.31861246117944</v>
      </c>
      <c r="AS48" s="31" t="n">
        <v>3.451685172901207</v>
      </c>
      <c r="AT48" s="7" t="n">
        <v>3.412837843120943</v>
      </c>
      <c r="AU48" s="7" t="n">
        <v>3.860776930901693</v>
      </c>
      <c r="AV48" s="7" t="n">
        <v>5.523067036120786</v>
      </c>
      <c r="AW48" s="40" t="n">
        <v>43.36313708649058</v>
      </c>
      <c r="AX48" s="31" t="n">
        <v>-0.2698447010497418</v>
      </c>
      <c r="AY48" s="7" t="n">
        <v>-0.3007761078039373</v>
      </c>
      <c r="AZ48" s="7" t="n">
        <v>-0.3198035677207898</v>
      </c>
      <c r="BA48" s="7" t="n">
        <v>-0.5130967022499746</v>
      </c>
      <c r="BB48" s="40" t="n">
        <v>135.5174028123871</v>
      </c>
      <c r="BC48" s="31" t="n">
        <v>0</v>
      </c>
      <c r="BD48" s="7" t="n">
        <v>0</v>
      </c>
      <c r="BE48" s="7" t="n">
        <v>0</v>
      </c>
      <c r="BF48" s="7" t="n">
        <v>0</v>
      </c>
      <c r="BG48" s="40" t="n">
        <v>6.608928095913011</v>
      </c>
      <c r="BH48" s="31" t="n">
        <v>0</v>
      </c>
      <c r="BI48" s="7" t="n">
        <v>0</v>
      </c>
      <c r="BJ48" s="7" t="n">
        <v>0</v>
      </c>
      <c r="BK48" s="7" t="n">
        <v>0</v>
      </c>
      <c r="BL48" s="40" t="n">
        <v>2.3</v>
      </c>
      <c r="BM48" s="40" t="n">
        <v>0</v>
      </c>
      <c r="BN48" s="40" t="n">
        <v>0</v>
      </c>
      <c r="BO48" s="40" t="n">
        <v>0</v>
      </c>
      <c r="BP48" s="40" t="n">
        <v>0</v>
      </c>
      <c r="BQ48" s="40" t="n">
        <v>63.36972310750512</v>
      </c>
      <c r="BR48" s="31" t="n">
        <v>4.466293456616839</v>
      </c>
      <c r="BS48" s="7" t="n">
        <v>4.29930473447417</v>
      </c>
      <c r="BT48" s="7" t="n">
        <v>4.940343469946846</v>
      </c>
      <c r="BU48" s="7" t="n">
        <v>6.964072640507297</v>
      </c>
      <c r="BV48" s="40" t="n">
        <v>13.35664437206563</v>
      </c>
      <c r="BW48" s="31" t="n">
        <v>0.397729366280668</v>
      </c>
      <c r="BX48" s="7" t="n">
        <v>0.6544455886915985</v>
      </c>
      <c r="BY48" s="7" t="n">
        <v>0.5700344234580665</v>
      </c>
      <c r="BZ48" s="7" t="n">
        <v>0.8352562642149675</v>
      </c>
      <c r="CA48" s="40" t="n">
        <v>2.514702038902696</v>
      </c>
      <c r="CB48" s="31" t="n">
        <v>3.534597462539496</v>
      </c>
      <c r="CC48" s="7" t="n">
        <v>4.067947242868354</v>
      </c>
      <c r="CD48" s="7" t="n">
        <v>4.229703762314164</v>
      </c>
      <c r="CE48" s="7" t="n">
        <v>6.452669656914564</v>
      </c>
    </row>
    <row r="49">
      <c r="A49" s="254" t="n">
        <v>42278</v>
      </c>
      <c r="B49" s="3" t="n">
        <v>0</v>
      </c>
      <c r="C49" s="40" t="n">
        <v>18</v>
      </c>
      <c r="D49" s="31" t="n">
        <v>0</v>
      </c>
      <c r="E49" s="7" t="n">
        <v>0</v>
      </c>
      <c r="F49" s="7" t="n">
        <v>0</v>
      </c>
      <c r="G49" s="7" t="n">
        <v>0</v>
      </c>
      <c r="H49" s="40" t="n">
        <v>43.42362826696506</v>
      </c>
      <c r="I49" s="31" t="n">
        <v>0.5821447591032936</v>
      </c>
      <c r="J49" s="7" t="n">
        <v>0.8035362526900904</v>
      </c>
      <c r="K49" s="7" t="n">
        <v>0.7570923947671417</v>
      </c>
      <c r="L49" s="7" t="n">
        <v>1.263704230164457</v>
      </c>
      <c r="M49" s="40" t="n">
        <v>2.548821824619836</v>
      </c>
      <c r="N49" s="31" t="n">
        <v>3.481393424295788</v>
      </c>
      <c r="O49" s="7" t="n">
        <v>4.136792769610641</v>
      </c>
      <c r="P49" s="40" t="n">
        <v>65.57886597938143</v>
      </c>
      <c r="Q49" s="31" t="n">
        <v>0</v>
      </c>
      <c r="R49" s="7" t="n">
        <v>0</v>
      </c>
      <c r="S49" s="7" t="n">
        <v>0</v>
      </c>
      <c r="T49" s="7" t="n">
        <v>0</v>
      </c>
      <c r="U49" s="40" t="n">
        <v>11</v>
      </c>
      <c r="V49" s="31" t="n">
        <v>0</v>
      </c>
      <c r="W49" s="7" t="n">
        <v>0</v>
      </c>
      <c r="X49" s="7" t="n">
        <v>0</v>
      </c>
      <c r="Y49" s="7" t="n">
        <v>0</v>
      </c>
      <c r="Z49" s="40" t="n">
        <v>7.774767018355616</v>
      </c>
      <c r="AA49" s="31" t="n">
        <v>-0.1030735891496093</v>
      </c>
      <c r="AB49" s="7" t="n">
        <v>-0.2492878949694912</v>
      </c>
      <c r="AC49" s="7" t="n">
        <v>-0.1847321744191666</v>
      </c>
      <c r="AD49" s="7" t="n">
        <v>-0.4188079634715702</v>
      </c>
      <c r="AE49" s="9" t="n">
        <v>2.164818809016083</v>
      </c>
      <c r="AF49" s="7" t="n">
        <v>1.189518099366637</v>
      </c>
      <c r="AG49" s="7" t="n">
        <v>0.4861757759492775</v>
      </c>
      <c r="AH49" s="40" t="n">
        <v>3.951375998927658</v>
      </c>
      <c r="AI49" s="31" t="n">
        <v>-0.01143804442108687</v>
      </c>
      <c r="AJ49" s="7" t="n">
        <v>-0.03202990955019835</v>
      </c>
      <c r="AK49" s="7" t="n">
        <v>-0.02269985393133123</v>
      </c>
      <c r="AL49" s="7" t="n">
        <v>-0.04728359633104917</v>
      </c>
      <c r="AM49" s="40" t="n">
        <v>-0.05804833879254889</v>
      </c>
      <c r="AN49" s="31" t="n">
        <v>0.04244374739117949</v>
      </c>
      <c r="AO49" s="7" t="n">
        <v>-0.09354514580232012</v>
      </c>
      <c r="AP49" s="7" t="n">
        <v>-0.02786093492382796</v>
      </c>
      <c r="AQ49" s="7" t="n">
        <v>-0.1417091059540722</v>
      </c>
      <c r="AR49" s="40" t="n">
        <v>39.1162316093916</v>
      </c>
      <c r="AS49" s="31" t="n">
        <v>3.375440543323904</v>
      </c>
      <c r="AT49" s="7" t="n">
        <v>3.400826363266269</v>
      </c>
      <c r="AU49" s="7" t="n">
        <v>3.805186618333622</v>
      </c>
      <c r="AV49" s="7" t="n">
        <v>5.482040958709923</v>
      </c>
      <c r="AW49" s="40" t="n">
        <v>43.26384942789392</v>
      </c>
      <c r="AX49" s="31" t="n">
        <v>-0.3082334274867904</v>
      </c>
      <c r="AY49" s="7" t="n">
        <v>-0.299817044352249</v>
      </c>
      <c r="AZ49" s="7" t="n">
        <v>-0.3438971993664666</v>
      </c>
      <c r="BA49" s="7" t="n">
        <v>-0.5221480911837375</v>
      </c>
      <c r="BB49" s="40" t="n">
        <v>135.5174028123871</v>
      </c>
      <c r="BC49" s="31" t="n">
        <v>0</v>
      </c>
      <c r="BD49" s="7" t="n">
        <v>0</v>
      </c>
      <c r="BE49" s="7" t="n">
        <v>0</v>
      </c>
      <c r="BF49" s="7" t="n">
        <v>0</v>
      </c>
      <c r="BG49" s="40" t="n">
        <v>6.608928095913011</v>
      </c>
      <c r="BH49" s="31" t="n">
        <v>0</v>
      </c>
      <c r="BI49" s="7" t="n">
        <v>0</v>
      </c>
      <c r="BJ49" s="7" t="n">
        <v>0</v>
      </c>
      <c r="BK49" s="7" t="n">
        <v>0</v>
      </c>
      <c r="BL49" s="40" t="n">
        <v>2.3</v>
      </c>
      <c r="BM49" s="40" t="n">
        <v>0</v>
      </c>
      <c r="BN49" s="40" t="n">
        <v>0</v>
      </c>
      <c r="BO49" s="40" t="n">
        <v>0</v>
      </c>
      <c r="BP49" s="40" t="n">
        <v>0</v>
      </c>
      <c r="BQ49" s="40" t="n">
        <v>64.4414194136229</v>
      </c>
      <c r="BR49" s="31" t="n">
        <v>4.43393545010936</v>
      </c>
      <c r="BS49" s="7" t="n">
        <v>4.340092490933564</v>
      </c>
      <c r="BT49" s="7" t="n">
        <v>4.937213592446078</v>
      </c>
      <c r="BU49" s="7" t="n">
        <v>6.997048137819213</v>
      </c>
      <c r="BV49" s="40" t="n">
        <v>13.19021066048453</v>
      </c>
      <c r="BW49" s="31" t="n">
        <v>0.01026729813134963</v>
      </c>
      <c r="BX49" s="7" t="n">
        <v>0.4847822672469055</v>
      </c>
      <c r="BY49" s="7" t="n">
        <v>0.2399893147040686</v>
      </c>
      <c r="BZ49" s="7" t="n">
        <v>0.5666531868536797</v>
      </c>
      <c r="CA49" s="40" t="n">
        <v>3.125914330245847</v>
      </c>
      <c r="CB49" s="31" t="n">
        <v>3.12048249462671</v>
      </c>
      <c r="CC49" s="7" t="n">
        <v>3.782405458280673</v>
      </c>
      <c r="CD49" s="7" t="n">
        <v>3.823929242940225</v>
      </c>
      <c r="CE49" s="7" t="n">
        <v>6.028363016102842</v>
      </c>
    </row>
    <row r="50">
      <c r="A50" s="254" t="n">
        <v>42370</v>
      </c>
      <c r="B50" s="3" t="n">
        <v>0</v>
      </c>
      <c r="C50" s="40" t="n">
        <v>18</v>
      </c>
      <c r="D50" s="31" t="n">
        <v>0</v>
      </c>
      <c r="E50" s="7" t="n">
        <v>0</v>
      </c>
      <c r="F50" s="7" t="n">
        <v>0</v>
      </c>
      <c r="G50" s="7" t="n">
        <v>0</v>
      </c>
      <c r="H50" s="40" t="n">
        <v>43.42620451919475</v>
      </c>
      <c r="I50" s="31" t="n">
        <v>0.3724702958804542</v>
      </c>
      <c r="J50" s="7" t="n">
        <v>0.6707801595060729</v>
      </c>
      <c r="K50" s="7" t="n">
        <v>0.5587845838243055</v>
      </c>
      <c r="L50" s="7" t="n">
        <v>1.042938740434437</v>
      </c>
      <c r="M50" s="40" t="n">
        <v>1.904071202756995</v>
      </c>
      <c r="N50" s="31" t="n">
        <v>2.97831624114076</v>
      </c>
      <c r="O50" s="7" t="n">
        <v>3.726958937149372</v>
      </c>
      <c r="P50" s="40" t="n">
        <v>65.57886597938143</v>
      </c>
      <c r="Q50" s="31" t="n">
        <v>0</v>
      </c>
      <c r="R50" s="7" t="n">
        <v>0</v>
      </c>
      <c r="S50" s="7" t="n">
        <v>0</v>
      </c>
      <c r="T50" s="7" t="n">
        <v>0</v>
      </c>
      <c r="U50" s="40" t="n">
        <v>11</v>
      </c>
      <c r="V50" s="31" t="n">
        <v>0</v>
      </c>
      <c r="W50" s="7" t="n">
        <v>0</v>
      </c>
      <c r="X50" s="7" t="n">
        <v>0</v>
      </c>
      <c r="Y50" s="7" t="n">
        <v>0</v>
      </c>
      <c r="Z50" s="40" t="n">
        <v>7.794507624517702</v>
      </c>
      <c r="AA50" s="31" t="n">
        <v>-0.02974767231859854</v>
      </c>
      <c r="AB50" s="7" t="n">
        <v>-0.1768709348996089</v>
      </c>
      <c r="AC50" s="7" t="n">
        <v>-0.1026695945147074</v>
      </c>
      <c r="AD50" s="7" t="n">
        <v>-0.303561839504126</v>
      </c>
      <c r="AE50" s="9" t="n">
        <v>2.795065157103636</v>
      </c>
      <c r="AF50" s="7" t="n">
        <v>1.706880828984538</v>
      </c>
      <c r="AG50" s="7" t="n">
        <v>0.9024687184759917</v>
      </c>
      <c r="AH50" s="40" t="n">
        <v>3.957112503154018</v>
      </c>
      <c r="AI50" s="31" t="n">
        <v>0.002006616377510095</v>
      </c>
      <c r="AJ50" s="7" t="n">
        <v>-0.02160095865101663</v>
      </c>
      <c r="AK50" s="7" t="n">
        <v>-0.008955872317421676</v>
      </c>
      <c r="AL50" s="7" t="n">
        <v>-0.03233329894847126</v>
      </c>
      <c r="AM50" s="40" t="n">
        <v>-0.02836665607312068</v>
      </c>
      <c r="AN50" s="31" t="n">
        <v>0.1060227901426666</v>
      </c>
      <c r="AO50" s="7" t="n">
        <v>-0.04537741600692811</v>
      </c>
      <c r="AP50" s="7" t="n">
        <v>0.02520703424618028</v>
      </c>
      <c r="AQ50" s="7" t="n">
        <v>-0.07183690674171478</v>
      </c>
      <c r="AR50" s="40" t="n">
        <v>39.85555240019067</v>
      </c>
      <c r="AS50" s="31" t="n">
        <v>3.239993702438596</v>
      </c>
      <c r="AT50" s="7" t="n">
        <v>3.352498901714078</v>
      </c>
      <c r="AU50" s="7" t="n">
        <v>3.694300818316123</v>
      </c>
      <c r="AV50" s="7" t="n">
        <v>5.384183594880213</v>
      </c>
      <c r="AW50" s="40" t="n">
        <v>43.14228558816308</v>
      </c>
      <c r="AX50" s="31" t="n">
        <v>-0.3692094358173179</v>
      </c>
      <c r="AY50" s="7" t="n">
        <v>-0.3165646257441104</v>
      </c>
      <c r="AZ50" s="7" t="n">
        <v>-0.3905067780092466</v>
      </c>
      <c r="BA50" s="7" t="n">
        <v>-0.5551640746840221</v>
      </c>
      <c r="BB50" s="40" t="n">
        <v>135.5174028123871</v>
      </c>
      <c r="BC50" s="31" t="n">
        <v>0</v>
      </c>
      <c r="BD50" s="7" t="n">
        <v>0</v>
      </c>
      <c r="BE50" s="7" t="n">
        <v>0</v>
      </c>
      <c r="BF50" s="7" t="n">
        <v>0</v>
      </c>
      <c r="BG50" s="40" t="n">
        <v>6.608928095913011</v>
      </c>
      <c r="BH50" s="31" t="n">
        <v>0</v>
      </c>
      <c r="BI50" s="7" t="n">
        <v>0</v>
      </c>
      <c r="BJ50" s="7" t="n">
        <v>0</v>
      </c>
      <c r="BK50" s="7" t="n">
        <v>0</v>
      </c>
      <c r="BL50" s="40" t="n">
        <v>2.3</v>
      </c>
      <c r="BM50" s="40" t="n">
        <v>0</v>
      </c>
      <c r="BN50" s="40" t="n">
        <v>0</v>
      </c>
      <c r="BO50" s="40" t="n">
        <v>0</v>
      </c>
      <c r="BP50" s="40" t="n">
        <v>0</v>
      </c>
      <c r="BQ50" s="40" t="n">
        <v>65.44419897008792</v>
      </c>
      <c r="BR50" s="31" t="n">
        <v>4.314101006209341</v>
      </c>
      <c r="BS50" s="7" t="n">
        <v>4.332901931732422</v>
      </c>
      <c r="BT50" s="7" t="n">
        <v>4.854970026177725</v>
      </c>
      <c r="BU50" s="7" t="n">
        <v>6.953267968424633</v>
      </c>
      <c r="BV50" s="40" t="n">
        <v>12.89273882596305</v>
      </c>
      <c r="BW50" s="31" t="n">
        <v>-0.4428605684572879</v>
      </c>
      <c r="BX50" s="7" t="n">
        <v>0.2232050169730977</v>
      </c>
      <c r="BY50" s="7" t="n">
        <v>-0.1786780866291391</v>
      </c>
      <c r="BZ50" s="7" t="n">
        <v>0.1678822236002624</v>
      </c>
      <c r="CA50" s="40" t="n">
        <v>3.61920364890571</v>
      </c>
      <c r="CB50" s="31" t="n">
        <v>2.673657468837012</v>
      </c>
      <c r="CC50" s="7" t="n">
        <v>3.440493542331627</v>
      </c>
      <c r="CD50" s="7" t="n">
        <v>3.37161719702992</v>
      </c>
      <c r="CE50" s="7" t="n">
        <v>5.515744199294458</v>
      </c>
    </row>
    <row r="51">
      <c r="A51" s="254" t="n">
        <v>42461</v>
      </c>
      <c r="B51" s="3" t="n">
        <v>0</v>
      </c>
      <c r="C51" s="40" t="n">
        <v>18</v>
      </c>
      <c r="D51" s="31" t="n">
        <v>0</v>
      </c>
      <c r="E51" s="7" t="n">
        <v>0</v>
      </c>
      <c r="F51" s="7" t="n">
        <v>0</v>
      </c>
      <c r="G51" s="7" t="n">
        <v>0</v>
      </c>
      <c r="H51" s="40" t="n">
        <v>43.35860479757675</v>
      </c>
      <c r="I51" s="31" t="n">
        <v>0.1300134202216086</v>
      </c>
      <c r="J51" s="7" t="n">
        <v>0.5049500906852487</v>
      </c>
      <c r="K51" s="7" t="n">
        <v>0.3234898223297833</v>
      </c>
      <c r="L51" s="7" t="n">
        <v>0.7743346649225558</v>
      </c>
      <c r="M51" s="40" t="n">
        <v>1.20972860104439</v>
      </c>
      <c r="N51" s="31" t="n">
        <v>2.41771150041518</v>
      </c>
      <c r="O51" s="7" t="n">
        <v>3.274405272289565</v>
      </c>
      <c r="P51" s="40" t="n">
        <v>65.57886597938143</v>
      </c>
      <c r="Q51" s="31" t="n">
        <v>0</v>
      </c>
      <c r="R51" s="7" t="n">
        <v>0</v>
      </c>
      <c r="S51" s="7" t="n">
        <v>0</v>
      </c>
      <c r="T51" s="7" t="n">
        <v>0</v>
      </c>
      <c r="U51" s="40" t="n">
        <v>11</v>
      </c>
      <c r="V51" s="31" t="n">
        <v>0</v>
      </c>
      <c r="W51" s="7" t="n">
        <v>0</v>
      </c>
      <c r="X51" s="7" t="n">
        <v>0</v>
      </c>
      <c r="Y51" s="7" t="n">
        <v>0</v>
      </c>
      <c r="Z51" s="40" t="n">
        <v>7.831511204947331</v>
      </c>
      <c r="AA51" s="31" t="n">
        <v>0.04222731199814422</v>
      </c>
      <c r="AB51" s="7" t="n">
        <v>-0.1043552712230218</v>
      </c>
      <c r="AC51" s="7" t="n">
        <v>-0.02144828036017632</v>
      </c>
      <c r="AD51" s="7" t="n">
        <v>-0.1877244865257488</v>
      </c>
      <c r="AE51" s="9" t="n">
        <v>3.481727986685314</v>
      </c>
      <c r="AF51" s="7" t="n">
        <v>2.279549649070248</v>
      </c>
      <c r="AG51" s="7" t="n">
        <v>1.371304798876205</v>
      </c>
      <c r="AH51" s="40" t="n">
        <v>3.966332877617278</v>
      </c>
      <c r="AI51" s="31" t="n">
        <v>0.01584783197192463</v>
      </c>
      <c r="AJ51" s="7" t="n">
        <v>-0.009828599001188376</v>
      </c>
      <c r="AK51" s="7" t="n">
        <v>0.00566474180859311</v>
      </c>
      <c r="AL51" s="7" t="n">
        <v>-0.01495679824132523</v>
      </c>
      <c r="AM51" s="40" t="n">
        <v>0.01441053159257857</v>
      </c>
      <c r="AN51" s="31" t="n">
        <v>0.08575408541525799</v>
      </c>
      <c r="AO51" s="7" t="n">
        <v>0.006940613832991674</v>
      </c>
      <c r="AP51" s="7" t="n">
        <v>0.07932857591361155</v>
      </c>
      <c r="AQ51" s="7" t="n">
        <v>0.002342659949367594</v>
      </c>
      <c r="AR51" s="40" t="n">
        <v>40.52170862087613</v>
      </c>
      <c r="AS51" s="31" t="n">
        <v>3.042263383936564</v>
      </c>
      <c r="AT51" s="7" t="n">
        <v>3.259908461125431</v>
      </c>
      <c r="AU51" s="7" t="n">
        <v>3.522332313573052</v>
      </c>
      <c r="AV51" s="7" t="n">
        <v>5.218773151968236</v>
      </c>
      <c r="AW51" s="40" t="n">
        <v>42.99643899247318</v>
      </c>
      <c r="AX51" s="31" t="n">
        <v>-0.44745640470056</v>
      </c>
      <c r="AY51" s="7" t="n">
        <v>-0.3515217593972224</v>
      </c>
      <c r="AZ51" s="7" t="n">
        <v>-0.4572122172631126</v>
      </c>
      <c r="BA51" s="7" t="n">
        <v>-0.6128080167801073</v>
      </c>
      <c r="BB51" s="40" t="n">
        <v>135.5174028123871</v>
      </c>
      <c r="BC51" s="31" t="n">
        <v>0</v>
      </c>
      <c r="BD51" s="7" t="n">
        <v>0</v>
      </c>
      <c r="BE51" s="7" t="n">
        <v>0</v>
      </c>
      <c r="BF51" s="7" t="n">
        <v>0</v>
      </c>
      <c r="BG51" s="40" t="n">
        <v>6.608928095913011</v>
      </c>
      <c r="BH51" s="31" t="n">
        <v>0</v>
      </c>
      <c r="BI51" s="7" t="n">
        <v>0</v>
      </c>
      <c r="BJ51" s="7" t="n">
        <v>0</v>
      </c>
      <c r="BK51" s="7" t="n">
        <v>0</v>
      </c>
      <c r="BL51" s="40" t="n">
        <v>2.3</v>
      </c>
      <c r="BM51" s="40" t="n">
        <v>0</v>
      </c>
      <c r="BN51" s="40" t="n">
        <v>0</v>
      </c>
      <c r="BO51" s="40" t="n">
        <v>0</v>
      </c>
      <c r="BP51" s="40" t="n">
        <v>0</v>
      </c>
      <c r="BQ51" s="40" t="n">
        <v>66.3517114017899</v>
      </c>
      <c r="BR51" s="31" t="n">
        <v>4.094259007294866</v>
      </c>
      <c r="BS51" s="7" t="n">
        <v>4.262940725517392</v>
      </c>
      <c r="BT51" s="7" t="n">
        <v>4.67925697494659</v>
      </c>
      <c r="BU51" s="7" t="n">
        <v>6.810700840120646</v>
      </c>
      <c r="BV51" s="40" t="n">
        <v>12.45971075895547</v>
      </c>
      <c r="BW51" s="31" t="n">
        <v>-0.9410678975332107</v>
      </c>
      <c r="BX51" s="7" t="n">
        <v>-0.1216021490839294</v>
      </c>
      <c r="BY51" s="7" t="n">
        <v>-0.6675074078799916</v>
      </c>
      <c r="BZ51" s="7" t="n">
        <v>-0.346577229055864</v>
      </c>
      <c r="CA51" s="40" t="n">
        <v>4.002511682898396</v>
      </c>
      <c r="CB51" s="31" t="n">
        <v>2.216825150534134</v>
      </c>
      <c r="CC51" s="7" t="n">
        <v>3.058711062849187</v>
      </c>
      <c r="CD51" s="7" t="n">
        <v>2.8948018454397</v>
      </c>
      <c r="CE51" s="7" t="n">
        <v>4.939376574162239</v>
      </c>
    </row>
    <row r="52">
      <c r="A52" s="254" t="n">
        <v>42552</v>
      </c>
      <c r="B52" s="3" t="n">
        <v>0</v>
      </c>
      <c r="C52" s="40" t="n">
        <v>18</v>
      </c>
      <c r="D52" s="31" t="n">
        <v>0</v>
      </c>
      <c r="E52" s="7" t="n">
        <v>0</v>
      </c>
      <c r="F52" s="7" t="n">
        <v>0</v>
      </c>
      <c r="G52" s="7" t="n">
        <v>0</v>
      </c>
      <c r="H52" s="40" t="n">
        <v>43.22143697550872</v>
      </c>
      <c r="I52" s="31" t="n">
        <v>-0.1337843580053146</v>
      </c>
      <c r="J52" s="7" t="n">
        <v>0.3090425089721656</v>
      </c>
      <c r="K52" s="7" t="n">
        <v>0.06008447759045055</v>
      </c>
      <c r="L52" s="7" t="n">
        <v>0.464033912606503</v>
      </c>
      <c r="M52" s="40" t="n">
        <v>0.4918538588526644</v>
      </c>
      <c r="N52" s="31" t="n">
        <v>1.80861115292555</v>
      </c>
      <c r="O52" s="7" t="n">
        <v>2.779655106129439</v>
      </c>
      <c r="P52" s="40" t="n">
        <v>65.57886597938143</v>
      </c>
      <c r="Q52" s="31" t="n">
        <v>0</v>
      </c>
      <c r="R52" s="7" t="n">
        <v>0</v>
      </c>
      <c r="S52" s="7" t="n">
        <v>0</v>
      </c>
      <c r="T52" s="7" t="n">
        <v>0</v>
      </c>
      <c r="U52" s="40" t="n">
        <v>11</v>
      </c>
      <c r="V52" s="31" t="n">
        <v>0</v>
      </c>
      <c r="W52" s="7" t="n">
        <v>0</v>
      </c>
      <c r="X52" s="7" t="n">
        <v>0</v>
      </c>
      <c r="Y52" s="7" t="n">
        <v>0</v>
      </c>
      <c r="Z52" s="40" t="n">
        <v>7.885026228201704</v>
      </c>
      <c r="AA52" s="31" t="n">
        <v>0.112150013774893</v>
      </c>
      <c r="AB52" s="7" t="n">
        <v>-0.03244862613706934</v>
      </c>
      <c r="AC52" s="7" t="n">
        <v>0.05815556069995242</v>
      </c>
      <c r="AD52" s="7" t="n">
        <v>-0.0725910647693464</v>
      </c>
      <c r="AE52" s="9" t="n">
        <v>4.21950117765914</v>
      </c>
      <c r="AF52" s="7" t="n">
        <v>2.905931542824021</v>
      </c>
      <c r="AG52" s="7" t="n">
        <v>1.890878790689612</v>
      </c>
      <c r="AH52" s="40" t="n">
        <v>3.978856875557794</v>
      </c>
      <c r="AI52" s="31" t="n">
        <v>0.02967097016776243</v>
      </c>
      <c r="AJ52" s="7" t="n">
        <v>0.002790623975141182</v>
      </c>
      <c r="AK52" s="7" t="n">
        <v>0.0206458894994066</v>
      </c>
      <c r="AL52" s="7" t="n">
        <v>0.004039361702995237</v>
      </c>
      <c r="AM52" s="40" t="n">
        <v>0.06720340662273876</v>
      </c>
      <c r="AN52" s="31" t="n">
        <v>0.1398265623795402</v>
      </c>
      <c r="AO52" s="7" t="n">
        <v>0.0609069141364658</v>
      </c>
      <c r="AP52" s="7" t="n">
        <v>0.1303862974855238</v>
      </c>
      <c r="AQ52" s="7" t="n">
        <v>0.0766920296412421</v>
      </c>
      <c r="AR52" s="40" t="n">
        <v>41.10391668101229</v>
      </c>
      <c r="AS52" s="31" t="n">
        <v>2.785304219832845</v>
      </c>
      <c r="AT52" s="7" t="n">
        <v>3.118494696367026</v>
      </c>
      <c r="AU52" s="7" t="n">
        <v>3.289563258427862</v>
      </c>
      <c r="AV52" s="7" t="n">
        <v>4.9810175698573</v>
      </c>
      <c r="AW52" s="40" t="n">
        <v>42.82772672221667</v>
      </c>
      <c r="AX52" s="31" t="n">
        <v>-0.5354103642739076</v>
      </c>
      <c r="AY52" s="7" t="n">
        <v>-0.4026275326618247</v>
      </c>
      <c r="AZ52" s="7" t="n">
        <v>-0.5380440476703185</v>
      </c>
      <c r="BA52" s="7" t="n">
        <v>-0.6913763051759716</v>
      </c>
      <c r="BB52" s="40" t="n">
        <v>135.5174028123871</v>
      </c>
      <c r="BC52" s="31" t="n">
        <v>0</v>
      </c>
      <c r="BD52" s="7" t="n">
        <v>0</v>
      </c>
      <c r="BE52" s="7" t="n">
        <v>0</v>
      </c>
      <c r="BF52" s="7" t="n">
        <v>0</v>
      </c>
      <c r="BG52" s="40" t="n">
        <v>6.608928095913011</v>
      </c>
      <c r="BH52" s="31" t="n">
        <v>0</v>
      </c>
      <c r="BI52" s="7" t="n">
        <v>0</v>
      </c>
      <c r="BJ52" s="7" t="n">
        <v>0</v>
      </c>
      <c r="BK52" s="7" t="n">
        <v>0</v>
      </c>
      <c r="BL52" s="40" t="n">
        <v>2.3</v>
      </c>
      <c r="BM52" s="40" t="n">
        <v>0</v>
      </c>
      <c r="BN52" s="40" t="n">
        <v>0</v>
      </c>
      <c r="BO52" s="40" t="n">
        <v>0</v>
      </c>
      <c r="BP52" s="40" t="n">
        <v>0</v>
      </c>
      <c r="BQ52" s="40" t="n">
        <v>67.14176562752681</v>
      </c>
      <c r="BR52" s="31" t="n">
        <v>3.772042520021692</v>
      </c>
      <c r="BS52" s="7" t="n">
        <v>4.119167988319266</v>
      </c>
      <c r="BT52" s="7" t="n">
        <v>4.403576019304154</v>
      </c>
      <c r="BU52" s="7" t="n">
        <v>6.554924794737474</v>
      </c>
      <c r="BV52" s="40" t="n">
        <v>11.89266425344131</v>
      </c>
      <c r="BW52" s="31" t="n">
        <v>-1.463980118624315</v>
      </c>
      <c r="BX52" s="7" t="n">
        <v>-0.5331253761718235</v>
      </c>
      <c r="BY52" s="7" t="n">
        <v>-1.204153376123166</v>
      </c>
      <c r="BZ52" s="7" t="n">
        <v>-0.9566844304194504</v>
      </c>
      <c r="CA52" s="40" t="n">
        <v>4.290324283775691</v>
      </c>
      <c r="CB52" s="31" t="n">
        <v>1.775622244872995</v>
      </c>
      <c r="CC52" s="7" t="n">
        <v>2.655109853706246</v>
      </c>
      <c r="CD52" s="7" t="n">
        <v>2.417936680604698</v>
      </c>
      <c r="CE52" s="7" t="n">
        <v>4.328464457637282</v>
      </c>
    </row>
    <row r="53">
      <c r="A53" s="254" t="n">
        <v>42644</v>
      </c>
      <c r="B53" s="3" t="n">
        <v>0</v>
      </c>
      <c r="C53" s="40" t="n">
        <v>18</v>
      </c>
      <c r="D53" s="31" t="n">
        <v>0</v>
      </c>
      <c r="E53" s="7" t="n">
        <v>0</v>
      </c>
      <c r="F53" s="7" t="n">
        <v>0</v>
      </c>
      <c r="G53" s="7" t="n">
        <v>0</v>
      </c>
      <c r="H53" s="40" t="n">
        <v>43.01947521017082</v>
      </c>
      <c r="I53" s="31" t="n">
        <v>-0.4041530567942431</v>
      </c>
      <c r="J53" s="7" t="n">
        <v>0.08899585115452524</v>
      </c>
      <c r="K53" s="7" t="n">
        <v>-0.2191379149904975</v>
      </c>
      <c r="L53" s="7" t="n">
        <v>0.122628415435095</v>
      </c>
      <c r="M53" s="40" t="n">
        <v>-0.217475990202729</v>
      </c>
      <c r="N53" s="31" t="n">
        <v>1.165672917208553</v>
      </c>
      <c r="O53" s="7" t="n">
        <v>2.248436952796283</v>
      </c>
      <c r="P53" s="40" t="n">
        <v>65.57886597938143</v>
      </c>
      <c r="Q53" s="31" t="n">
        <v>0</v>
      </c>
      <c r="R53" s="7" t="n">
        <v>0</v>
      </c>
      <c r="S53" s="7" t="n">
        <v>0</v>
      </c>
      <c r="T53" s="7" t="n">
        <v>0</v>
      </c>
      <c r="U53" s="40" t="n">
        <v>11</v>
      </c>
      <c r="V53" s="31" t="n">
        <v>0</v>
      </c>
      <c r="W53" s="7" t="n">
        <v>0</v>
      </c>
      <c r="X53" s="7" t="n">
        <v>0</v>
      </c>
      <c r="Y53" s="7" t="n">
        <v>0</v>
      </c>
      <c r="Z53" s="40" t="n">
        <v>7.95403491050831</v>
      </c>
      <c r="AA53" s="31" t="n">
        <v>0.1792678921526933</v>
      </c>
      <c r="AB53" s="7" t="n">
        <v>0.03809715150154203</v>
      </c>
      <c r="AC53" s="7" t="n">
        <v>0.1352763995408246</v>
      </c>
      <c r="AD53" s="7" t="n">
        <v>0.04055110898992531</v>
      </c>
      <c r="AE53" s="9" t="n">
        <v>4.997768935202771</v>
      </c>
      <c r="AF53" s="7" t="n">
        <v>3.581293872109427</v>
      </c>
      <c r="AG53" s="7" t="n">
        <v>2.458935044645349</v>
      </c>
      <c r="AH53" s="40" t="n">
        <v>3.994426789768271</v>
      </c>
      <c r="AI53" s="31" t="n">
        <v>0.04305079084061303</v>
      </c>
      <c r="AJ53" s="7" t="n">
        <v>0.01580637320976308</v>
      </c>
      <c r="AK53" s="7" t="n">
        <v>0.03551814771609729</v>
      </c>
      <c r="AL53" s="7" t="n">
        <v>0.02390303325754939</v>
      </c>
      <c r="AM53" s="40" t="n">
        <v>0.1264108089733488</v>
      </c>
      <c r="AN53" s="31" t="n">
        <v>0.1844591477658977</v>
      </c>
      <c r="AO53" s="7" t="n">
        <v>0.1134514475785386</v>
      </c>
      <c r="AP53" s="7" t="n">
        <v>0.1743669713020174</v>
      </c>
      <c r="AQ53" s="7" t="n">
        <v>0.1469358329400254</v>
      </c>
      <c r="AR53" s="40" t="n">
        <v>41.59470329189176</v>
      </c>
      <c r="AS53" s="31" t="n">
        <v>2.478471682500157</v>
      </c>
      <c r="AT53" s="7" t="n">
        <v>2.926956112912031</v>
      </c>
      <c r="AU53" s="7" t="n">
        <v>3.000726195215577</v>
      </c>
      <c r="AV53" s="7" t="n">
        <v>4.670889188563883</v>
      </c>
      <c r="AW53" s="40" t="n">
        <v>42.64010444319436</v>
      </c>
      <c r="AX53" s="31" t="n">
        <v>-0.6237449846995631</v>
      </c>
      <c r="AY53" s="7" t="n">
        <v>-0.4659892060931767</v>
      </c>
      <c r="AZ53" s="7" t="n">
        <v>-0.6250094435271762</v>
      </c>
      <c r="BA53" s="7" t="n">
        <v>-0.7842517025414679</v>
      </c>
      <c r="BB53" s="40" t="n">
        <v>135.5174028123871</v>
      </c>
      <c r="BC53" s="31" t="n">
        <v>0</v>
      </c>
      <c r="BD53" s="7" t="n">
        <v>0</v>
      </c>
      <c r="BE53" s="7" t="n">
        <v>0</v>
      </c>
      <c r="BF53" s="7" t="n">
        <v>0</v>
      </c>
      <c r="BG53" s="40" t="n">
        <v>6.608928095913011</v>
      </c>
      <c r="BH53" s="31" t="n">
        <v>0</v>
      </c>
      <c r="BI53" s="7" t="n">
        <v>0</v>
      </c>
      <c r="BJ53" s="7" t="n">
        <v>0</v>
      </c>
      <c r="BK53" s="7" t="n">
        <v>0</v>
      </c>
      <c r="BL53" s="40" t="n">
        <v>2.3</v>
      </c>
      <c r="BM53" s="40" t="n">
        <v>0</v>
      </c>
      <c r="BN53" s="40" t="n">
        <v>0</v>
      </c>
      <c r="BO53" s="40" t="n">
        <v>0</v>
      </c>
      <c r="BP53" s="40" t="n">
        <v>0</v>
      </c>
      <c r="BQ53" s="40" t="n">
        <v>67.79846274967886</v>
      </c>
      <c r="BR53" s="31" t="n">
        <v>3.357043336055966</v>
      </c>
      <c r="BS53" s="7" t="n">
        <v>3.895489393082663</v>
      </c>
      <c r="BT53" s="7" t="n">
        <v>4.030481144376381</v>
      </c>
      <c r="BU53" s="7" t="n">
        <v>6.180734251142034</v>
      </c>
      <c r="BV53" s="40" t="n">
        <v>11.19906581508982</v>
      </c>
      <c r="BW53" s="31" t="n">
        <v>-1.991144845394713</v>
      </c>
      <c r="BX53" s="7" t="n">
        <v>-0.9904387736316815</v>
      </c>
      <c r="BY53" s="7" t="n">
        <v>-1.764470470431707</v>
      </c>
      <c r="BZ53" s="7" t="n">
        <v>-1.63735879033419</v>
      </c>
      <c r="CA53" s="40" t="n">
        <v>4.502362319932431</v>
      </c>
      <c r="CB53" s="31" t="n">
        <v>1.376447989686585</v>
      </c>
      <c r="CC53" s="7" t="n">
        <v>2.248465242156648</v>
      </c>
      <c r="CD53" s="7" t="n">
        <v>1.966197253334877</v>
      </c>
      <c r="CE53" s="7" t="n">
        <v>3.714542766243214</v>
      </c>
    </row>
    <row r="54">
      <c r="A54" s="254" t="n">
        <v>42736</v>
      </c>
      <c r="B54" s="3" t="n">
        <v>0</v>
      </c>
      <c r="C54" s="40" t="n">
        <v>18</v>
      </c>
      <c r="D54" s="31" t="n">
        <v>0</v>
      </c>
      <c r="E54" s="7" t="n">
        <v>0</v>
      </c>
      <c r="F54" s="7" t="n">
        <v>0</v>
      </c>
      <c r="G54" s="7" t="n">
        <v>0</v>
      </c>
      <c r="H54" s="40" t="n">
        <v>42.7601775384053</v>
      </c>
      <c r="I54" s="31" t="n">
        <v>-0.6660269807894466</v>
      </c>
      <c r="J54" s="7" t="n">
        <v>-0.1467783424544962</v>
      </c>
      <c r="K54" s="7" t="n">
        <v>-0.5006845495446441</v>
      </c>
      <c r="L54" s="7" t="n">
        <v>-0.2369125437125845</v>
      </c>
      <c r="M54" s="40" t="n">
        <v>-0.8872463419320411</v>
      </c>
      <c r="N54" s="31" t="n">
        <v>0.5084124304124771</v>
      </c>
      <c r="O54" s="7" t="n">
        <v>1.689795380116493</v>
      </c>
      <c r="P54" s="40" t="n">
        <v>65.57886597938143</v>
      </c>
      <c r="Q54" s="31" t="n">
        <v>0</v>
      </c>
      <c r="R54" s="7" t="n">
        <v>0</v>
      </c>
      <c r="S54" s="7" t="n">
        <v>0</v>
      </c>
      <c r="T54" s="7" t="n">
        <v>0</v>
      </c>
      <c r="U54" s="40" t="n">
        <v>11</v>
      </c>
      <c r="V54" s="31" t="n">
        <v>0</v>
      </c>
      <c r="W54" s="7" t="n">
        <v>0</v>
      </c>
      <c r="X54" s="7" t="n">
        <v>0</v>
      </c>
      <c r="Y54" s="7" t="n">
        <v>0</v>
      </c>
      <c r="Z54" s="40" t="n">
        <v>8.037178573189649</v>
      </c>
      <c r="AA54" s="31" t="n">
        <v>0.2426709486719476</v>
      </c>
      <c r="AB54" s="7" t="n">
        <v>0.1064616381766745</v>
      </c>
      <c r="AC54" s="7" t="n">
        <v>0.2088957743467796</v>
      </c>
      <c r="AD54" s="7" t="n">
        <v>0.1503037631534561</v>
      </c>
      <c r="AE54" s="9" t="n">
        <v>5.799193426598094</v>
      </c>
      <c r="AF54" s="7" t="n">
        <v>4.297129291850865</v>
      </c>
      <c r="AG54" s="7" t="n">
        <v>3.070985028189057</v>
      </c>
      <c r="AH54" s="40" t="n">
        <v>4.012705202991232</v>
      </c>
      <c r="AI54" s="31" t="n">
        <v>0.05559269983721471</v>
      </c>
      <c r="AJ54" s="7" t="n">
        <v>0.0287996581073624</v>
      </c>
      <c r="AK54" s="7" t="n">
        <v>0.04984496763661816</v>
      </c>
      <c r="AL54" s="7" t="n">
        <v>0.04393219883549238</v>
      </c>
      <c r="AM54" s="40" t="n">
        <v>0.1875575889934825</v>
      </c>
      <c r="AN54" s="31" t="n">
        <v>0.2159242450666032</v>
      </c>
      <c r="AO54" s="7" t="n">
        <v>0.1609735176046349</v>
      </c>
      <c r="AP54" s="7" t="n">
        <v>0.2071508894275164</v>
      </c>
      <c r="AQ54" s="7" t="n">
        <v>0.208301874946721</v>
      </c>
      <c r="AR54" s="40" t="n">
        <v>41.99024846488109</v>
      </c>
      <c r="AS54" s="31" t="n">
        <v>2.134696064690417</v>
      </c>
      <c r="AT54" s="7" t="n">
        <v>2.687344883564506</v>
      </c>
      <c r="AU54" s="7" t="n">
        <v>2.664532339976901</v>
      </c>
      <c r="AV54" s="7" t="n">
        <v>4.293090660800488</v>
      </c>
      <c r="AW54" s="40" t="n">
        <v>42.43939429382647</v>
      </c>
      <c r="AX54" s="31" t="n">
        <v>-0.7028912943366095</v>
      </c>
      <c r="AY54" s="7" t="n">
        <v>-0.5360503650769637</v>
      </c>
      <c r="AZ54" s="7" t="n">
        <v>-0.7092222913717734</v>
      </c>
      <c r="BA54" s="7" t="n">
        <v>-0.8830135957923559</v>
      </c>
      <c r="BB54" s="40" t="n">
        <v>135.5174028123871</v>
      </c>
      <c r="BC54" s="31" t="n">
        <v>0</v>
      </c>
      <c r="BD54" s="7" t="n">
        <v>0</v>
      </c>
      <c r="BE54" s="7" t="n">
        <v>0</v>
      </c>
      <c r="BF54" s="7" t="n">
        <v>0</v>
      </c>
      <c r="BG54" s="40" t="n">
        <v>6.608928095913011</v>
      </c>
      <c r="BH54" s="31" t="n">
        <v>0</v>
      </c>
      <c r="BI54" s="7" t="n">
        <v>0</v>
      </c>
      <c r="BJ54" s="7" t="n">
        <v>0</v>
      </c>
      <c r="BK54" s="7" t="n">
        <v>0</v>
      </c>
      <c r="BL54" s="40" t="n">
        <v>2.3</v>
      </c>
      <c r="BM54" s="40" t="n">
        <v>0</v>
      </c>
      <c r="BN54" s="40" t="n">
        <v>0</v>
      </c>
      <c r="BO54" s="40" t="n">
        <v>0</v>
      </c>
      <c r="BP54" s="40" t="n">
        <v>0</v>
      </c>
      <c r="BQ54" s="40" t="n">
        <v>68.31316299439582</v>
      </c>
      <c r="BR54" s="31" t="n">
        <v>2.8689640243079</v>
      </c>
      <c r="BS54" s="7" t="n">
        <v>3.591532515258621</v>
      </c>
      <c r="BT54" s="7" t="n">
        <v>3.571309040822683</v>
      </c>
      <c r="BU54" s="7" t="n">
        <v>5.692332136032071</v>
      </c>
      <c r="BV54" s="40" t="n">
        <v>10.39181316449672</v>
      </c>
      <c r="BW54" s="31" t="n">
        <v>-2.500925661466329</v>
      </c>
      <c r="BX54" s="7" t="n">
        <v>-1.471893114961809</v>
      </c>
      <c r="BY54" s="7" t="n">
        <v>-2.324113427616883</v>
      </c>
      <c r="BZ54" s="7" t="n">
        <v>-2.359479748352207</v>
      </c>
      <c r="CA54" s="40" t="n">
        <v>4.661395651132055</v>
      </c>
      <c r="CB54" s="31" t="n">
        <v>1.042192002226345</v>
      </c>
      <c r="CC54" s="7" t="n">
        <v>1.857924735531678</v>
      </c>
      <c r="CD54" s="7" t="n">
        <v>1.563114273995338</v>
      </c>
      <c r="CE54" s="7" t="n">
        <v>3.128471188588843</v>
      </c>
    </row>
    <row r="55">
      <c r="A55" s="254" t="n">
        <v>42826</v>
      </c>
      <c r="B55" s="3" t="n">
        <v>0</v>
      </c>
      <c r="C55" s="40" t="n">
        <v>18</v>
      </c>
      <c r="D55" s="31" t="n">
        <v>0</v>
      </c>
      <c r="E55" s="7" t="n">
        <v>0</v>
      </c>
      <c r="F55" s="7" t="n">
        <v>0</v>
      </c>
      <c r="G55" s="7" t="n">
        <v>0</v>
      </c>
      <c r="H55" s="40" t="n">
        <v>42.45192539732903</v>
      </c>
      <c r="I55" s="31" t="n">
        <v>-0.906679400247711</v>
      </c>
      <c r="J55" s="7" t="n">
        <v>-0.3883329900130512</v>
      </c>
      <c r="K55" s="7" t="n">
        <v>-0.7722421050072796</v>
      </c>
      <c r="L55" s="7" t="n">
        <v>-0.6014591296407374</v>
      </c>
      <c r="M55" s="40" t="n">
        <v>-1.492355444897612</v>
      </c>
      <c r="N55" s="31" t="n">
        <v>-0.1413134219266112</v>
      </c>
      <c r="O55" s="7" t="n">
        <v>1.114355851977583</v>
      </c>
      <c r="P55" s="40" t="n">
        <v>65.57886597938143</v>
      </c>
      <c r="Q55" s="31" t="n">
        <v>0</v>
      </c>
      <c r="R55" s="7" t="n">
        <v>0</v>
      </c>
      <c r="S55" s="7" t="n">
        <v>0</v>
      </c>
      <c r="T55" s="7" t="n">
        <v>0</v>
      </c>
      <c r="U55" s="40" t="n">
        <v>11</v>
      </c>
      <c r="V55" s="31" t="n">
        <v>0</v>
      </c>
      <c r="W55" s="7" t="n">
        <v>0</v>
      </c>
      <c r="X55" s="7" t="n">
        <v>0</v>
      </c>
      <c r="Y55" s="7" t="n">
        <v>0</v>
      </c>
      <c r="Z55" s="40" t="n">
        <v>8.132757394818443</v>
      </c>
      <c r="AA55" s="31" t="n">
        <v>0.3012461898711116</v>
      </c>
      <c r="AB55" s="7" t="n">
        <v>0.1717367509346279</v>
      </c>
      <c r="AC55" s="7" t="n">
        <v>0.2778591864314039</v>
      </c>
      <c r="AD55" s="7" t="n">
        <v>0.2551384948761877</v>
      </c>
      <c r="AE55" s="9" t="n">
        <v>6.599005677556079</v>
      </c>
      <c r="AF55" s="7" t="n">
        <v>5.040366832120696</v>
      </c>
      <c r="AG55" s="7" t="n">
        <v>3.719368325232191</v>
      </c>
      <c r="AH55" s="40" t="n">
        <v>4.033244323572861</v>
      </c>
      <c r="AI55" s="31" t="n">
        <v>0.0669114459555824</v>
      </c>
      <c r="AJ55" s="7" t="n">
        <v>0.04137963896375352</v>
      </c>
      <c r="AK55" s="7" t="n">
        <v>0.06318417369140583</v>
      </c>
      <c r="AL55" s="7" t="n">
        <v>0.06343875420585654</v>
      </c>
      <c r="AM55" s="40" t="n">
        <v>0.2630576684918255</v>
      </c>
      <c r="AN55" s="31" t="n">
        <v>0.2486471368992469</v>
      </c>
      <c r="AO55" s="7" t="n">
        <v>0.1672006111572525</v>
      </c>
      <c r="AP55" s="7" t="n">
        <v>0.2424075895247007</v>
      </c>
      <c r="AQ55" s="7" t="n">
        <v>0.2733711700240017</v>
      </c>
      <c r="AR55" s="40" t="n">
        <v>42.29034651955766</v>
      </c>
      <c r="AS55" s="31" t="n">
        <v>1.768637898681533</v>
      </c>
      <c r="AT55" s="7" t="n">
        <v>2.405450641309049</v>
      </c>
      <c r="AU55" s="7" t="n">
        <v>2.292794173762339</v>
      </c>
      <c r="AV55" s="7" t="n">
        <v>3.856547559800504</v>
      </c>
      <c r="AW55" s="40" t="n">
        <v>42.23189651049834</v>
      </c>
      <c r="AX55" s="31" t="n">
        <v>-0.7645424819748357</v>
      </c>
      <c r="AY55" s="7" t="n">
        <v>-0.6059994433376978</v>
      </c>
      <c r="AZ55" s="7" t="n">
        <v>-0.7827074834306558</v>
      </c>
      <c r="BA55" s="7" t="n">
        <v>-0.9791763336350741</v>
      </c>
      <c r="BB55" s="40" t="n">
        <v>135.5174028123871</v>
      </c>
      <c r="BC55" s="31" t="n">
        <v>0</v>
      </c>
      <c r="BD55" s="7" t="n">
        <v>0</v>
      </c>
      <c r="BE55" s="7" t="n">
        <v>0</v>
      </c>
      <c r="BF55" s="7" t="n">
        <v>0</v>
      </c>
      <c r="BG55" s="40" t="n">
        <v>6.608928095913011</v>
      </c>
      <c r="BH55" s="31" t="n">
        <v>0</v>
      </c>
      <c r="BI55" s="7" t="n">
        <v>0</v>
      </c>
      <c r="BJ55" s="7" t="n">
        <v>0</v>
      </c>
      <c r="BK55" s="7" t="n">
        <v>0</v>
      </c>
      <c r="BL55" s="40" t="n">
        <v>2.3</v>
      </c>
      <c r="BM55" s="40" t="n">
        <v>0</v>
      </c>
      <c r="BN55" s="40" t="n">
        <v>0</v>
      </c>
      <c r="BO55" s="40" t="n">
        <v>0</v>
      </c>
      <c r="BP55" s="40" t="n">
        <v>0</v>
      </c>
      <c r="BQ55" s="40" t="n">
        <v>68.6841630040424</v>
      </c>
      <c r="BR55" s="31" t="n">
        <v>2.332451602252505</v>
      </c>
      <c r="BS55" s="7" t="n">
        <v>3.213355304773685</v>
      </c>
      <c r="BT55" s="7" t="n">
        <v>3.044425921654607</v>
      </c>
      <c r="BU55" s="7" t="n">
        <v>5.102101488364248</v>
      </c>
      <c r="BV55" s="40" t="n">
        <v>9.488444657318354</v>
      </c>
      <c r="BW55" s="31" t="n">
        <v>-2.971266101637116</v>
      </c>
      <c r="BX55" s="7" t="n">
        <v>-1.956166999585164</v>
      </c>
      <c r="BY55" s="7" t="n">
        <v>-2.859508656054796</v>
      </c>
      <c r="BZ55" s="7" t="n">
        <v>-3.091638619903897</v>
      </c>
      <c r="CA55" s="40" t="n">
        <v>4.791130132624498</v>
      </c>
      <c r="CB55" s="31" t="n">
        <v>0.7886184497261022</v>
      </c>
      <c r="CC55" s="7" t="n">
        <v>1.502721800130118</v>
      </c>
      <c r="CD55" s="7" t="n">
        <v>1.228367571604862</v>
      </c>
      <c r="CE55" s="7" t="n">
        <v>2.59794074617382</v>
      </c>
    </row>
    <row r="56">
      <c r="A56" s="254" t="n">
        <v>42917</v>
      </c>
      <c r="B56" s="3" t="n">
        <v>0</v>
      </c>
      <c r="C56" s="40" t="n">
        <v>18</v>
      </c>
      <c r="D56" s="31" t="n">
        <v>0</v>
      </c>
      <c r="E56" s="7" t="n">
        <v>0</v>
      </c>
      <c r="F56" s="7" t="n">
        <v>0</v>
      </c>
      <c r="G56" s="7" t="n">
        <v>0</v>
      </c>
      <c r="H56" s="40" t="n">
        <v>42.1027483126409</v>
      </c>
      <c r="I56" s="31" t="n">
        <v>-1.118688662867825</v>
      </c>
      <c r="J56" s="7" t="n">
        <v>-0.6262365104365699</v>
      </c>
      <c r="K56" s="7" t="n">
        <v>-1.024335942192167</v>
      </c>
      <c r="L56" s="7" t="n">
        <v>-0.9592379460891109</v>
      </c>
      <c r="M56" s="40" t="n">
        <v>-2.019962584679888</v>
      </c>
      <c r="N56" s="31" t="n">
        <v>-0.7640543629136118</v>
      </c>
      <c r="O56" s="7" t="n">
        <v>0.5324199070570709</v>
      </c>
      <c r="P56" s="40" t="n">
        <v>65.57886597938143</v>
      </c>
      <c r="Q56" s="31" t="n">
        <v>0</v>
      </c>
      <c r="R56" s="7" t="n">
        <v>0</v>
      </c>
      <c r="S56" s="7" t="n">
        <v>0</v>
      </c>
      <c r="T56" s="7" t="n">
        <v>0</v>
      </c>
      <c r="U56" s="40" t="n">
        <v>11</v>
      </c>
      <c r="V56" s="31" t="n">
        <v>0</v>
      </c>
      <c r="W56" s="7" t="n">
        <v>0</v>
      </c>
      <c r="X56" s="7" t="n">
        <v>0</v>
      </c>
      <c r="Y56" s="7" t="n">
        <v>0</v>
      </c>
      <c r="Z56" s="40" t="n">
        <v>8.238724287407795</v>
      </c>
      <c r="AA56" s="31" t="n">
        <v>0.3536980592060912</v>
      </c>
      <c r="AB56" s="7" t="n">
        <v>0.2329240364904921</v>
      </c>
      <c r="AC56" s="7" t="n">
        <v>0.3408918912870984</v>
      </c>
      <c r="AD56" s="7" t="n">
        <v>0.353394083513451</v>
      </c>
      <c r="AE56" s="9" t="n">
        <v>7.367303489293363</v>
      </c>
      <c r="AF56" s="7" t="n">
        <v>5.793402333476251</v>
      </c>
      <c r="AG56" s="7" t="n">
        <v>4.393055524980468</v>
      </c>
      <c r="AH56" s="40" t="n">
        <v>4.055473818186435</v>
      </c>
      <c r="AI56" s="31" t="n">
        <v>0.07661694262864094</v>
      </c>
      <c r="AJ56" s="7" t="n">
        <v>0.05314395639820169</v>
      </c>
      <c r="AK56" s="7" t="n">
        <v>0.07506875856404216</v>
      </c>
      <c r="AL56" s="7" t="n">
        <v>0.08173039482333033</v>
      </c>
      <c r="AM56" s="40" t="n">
        <v>0.33249345328621</v>
      </c>
      <c r="AN56" s="31" t="n">
        <v>0.2652900466634712</v>
      </c>
      <c r="AO56" s="7" t="n">
        <v>0.2025583045215057</v>
      </c>
      <c r="AP56" s="7" t="n">
        <v>0.2700432215297721</v>
      </c>
      <c r="AQ56" s="7" t="n">
        <v>0.3209295911046171</v>
      </c>
      <c r="AR56" s="40" t="n">
        <v>42.49686408506758</v>
      </c>
      <c r="AS56" s="31" t="n">
        <v>1.392947404055292</v>
      </c>
      <c r="AT56" s="7" t="n">
        <v>2.089125811944069</v>
      </c>
      <c r="AU56" s="7" t="n">
        <v>1.897949078944997</v>
      </c>
      <c r="AV56" s="7" t="n">
        <v>3.372360556899395</v>
      </c>
      <c r="AW56" s="40" t="n">
        <v>42.02321656021484</v>
      </c>
      <c r="AX56" s="31" t="n">
        <v>-0.8045101620018329</v>
      </c>
      <c r="AY56" s="7" t="n">
        <v>-0.6699602631378703</v>
      </c>
      <c r="AZ56" s="7" t="n">
        <v>-0.8398875728797393</v>
      </c>
      <c r="BA56" s="7" t="n">
        <v>-1.06555745052114</v>
      </c>
      <c r="BB56" s="40" t="n">
        <v>135.5174028123871</v>
      </c>
      <c r="BC56" s="31" t="n">
        <v>0</v>
      </c>
      <c r="BD56" s="7" t="n">
        <v>0</v>
      </c>
      <c r="BE56" s="7" t="n">
        <v>0</v>
      </c>
      <c r="BF56" s="7" t="n">
        <v>0</v>
      </c>
      <c r="BG56" s="40" t="n">
        <v>6.608928095913011</v>
      </c>
      <c r="BH56" s="31" t="n">
        <v>0</v>
      </c>
      <c r="BI56" s="7" t="n">
        <v>0</v>
      </c>
      <c r="BJ56" s="7" t="n">
        <v>0</v>
      </c>
      <c r="BK56" s="7" t="n">
        <v>0</v>
      </c>
      <c r="BL56" s="40" t="n">
        <v>2.3</v>
      </c>
      <c r="BM56" s="40" t="n">
        <v>0</v>
      </c>
      <c r="BN56" s="40" t="n">
        <v>0</v>
      </c>
      <c r="BO56" s="40" t="n">
        <v>0</v>
      </c>
      <c r="BP56" s="40" t="n">
        <v>0</v>
      </c>
      <c r="BQ56" s="40" t="n">
        <v>68.91409106630279</v>
      </c>
      <c r="BR56" s="31" t="n">
        <v>1.772325438775979</v>
      </c>
      <c r="BS56" s="7" t="n">
        <v>2.772183979398836</v>
      </c>
      <c r="BT56" s="7" t="n">
        <v>2.471015157721567</v>
      </c>
      <c r="BU56" s="7" t="n">
        <v>4.427168462850688</v>
      </c>
      <c r="BV56" s="40" t="n">
        <v>8.508615230156165</v>
      </c>
      <c r="BW56" s="31" t="n">
        <v>-3.384049023285147</v>
      </c>
      <c r="BX56" s="7" t="n">
        <v>-2.424014570954731</v>
      </c>
      <c r="BY56" s="7" t="n">
        <v>-3.350296333320694</v>
      </c>
      <c r="BZ56" s="7" t="n">
        <v>-3.803595513749004</v>
      </c>
      <c r="CA56" s="40" t="n">
        <v>4.912734993311505</v>
      </c>
      <c r="CB56" s="31" t="n">
        <v>0.6224107095358145</v>
      </c>
      <c r="CC56" s="7" t="n">
        <v>1.199016477204405</v>
      </c>
      <c r="CD56" s="7" t="n">
        <v>0.9742919822593401</v>
      </c>
      <c r="CE56" s="7" t="n">
        <v>2.144042225575454</v>
      </c>
    </row>
    <row r="57">
      <c r="A57" s="254" t="n">
        <v>43009</v>
      </c>
      <c r="B57" s="3" t="n">
        <v>0</v>
      </c>
      <c r="C57" s="40" t="n">
        <v>18</v>
      </c>
      <c r="D57" s="31" t="n">
        <v>0</v>
      </c>
      <c r="E57" s="7" t="n">
        <v>0</v>
      </c>
      <c r="F57" s="7" t="n">
        <v>0</v>
      </c>
      <c r="G57" s="7" t="n">
        <v>0</v>
      </c>
      <c r="H57" s="40" t="n">
        <v>41.71992871012019</v>
      </c>
      <c r="I57" s="31" t="n">
        <v>-1.299546500050631</v>
      </c>
      <c r="J57" s="7" t="n">
        <v>-0.8518497784224373</v>
      </c>
      <c r="K57" s="7" t="n">
        <v>-1.250596417103729</v>
      </c>
      <c r="L57" s="7" t="n">
        <v>-1.300340578199531</v>
      </c>
      <c r="M57" s="40" t="n">
        <v>-2.469150918434707</v>
      </c>
      <c r="N57" s="31" t="n">
        <v>-1.343313454318718</v>
      </c>
      <c r="O57" s="7" t="n">
        <v>-0.04593502800586672</v>
      </c>
      <c r="P57" s="40" t="n">
        <v>65.57886597938143</v>
      </c>
      <c r="Q57" s="31" t="n">
        <v>0</v>
      </c>
      <c r="R57" s="7" t="n">
        <v>0</v>
      </c>
      <c r="S57" s="7" t="n">
        <v>0</v>
      </c>
      <c r="T57" s="7" t="n">
        <v>0</v>
      </c>
      <c r="U57" s="40" t="n">
        <v>11</v>
      </c>
      <c r="V57" s="31" t="n">
        <v>0</v>
      </c>
      <c r="W57" s="7" t="n">
        <v>0</v>
      </c>
      <c r="X57" s="7" t="n">
        <v>0</v>
      </c>
      <c r="Y57" s="7" t="n">
        <v>0</v>
      </c>
      <c r="Z57" s="40" t="n">
        <v>8.352687388063842</v>
      </c>
      <c r="AA57" s="31" t="n">
        <v>0.3986524775555322</v>
      </c>
      <c r="AB57" s="7" t="n">
        <v>0.2889601848541128</v>
      </c>
      <c r="AC57" s="7" t="n">
        <v>0.3966239828205236</v>
      </c>
      <c r="AD57" s="7" t="n">
        <v>0.4432904502585018</v>
      </c>
      <c r="AE57" s="9" t="n">
        <v>8.071670525781656</v>
      </c>
      <c r="AF57" s="7" t="n">
        <v>6.534719730492213</v>
      </c>
      <c r="AG57" s="7" t="n">
        <v>5.07808609000017</v>
      </c>
      <c r="AH57" s="40" t="n">
        <v>4.078735379371205</v>
      </c>
      <c r="AI57" s="31" t="n">
        <v>0.08430858960293408</v>
      </c>
      <c r="AJ57" s="7" t="n">
        <v>0.06367969022177355</v>
      </c>
      <c r="AK57" s="7" t="n">
        <v>0.0850443306492612</v>
      </c>
      <c r="AL57" s="7" t="n">
        <v>0.09814210679319002</v>
      </c>
      <c r="AM57" s="40" t="n">
        <v>0.3931854368475439</v>
      </c>
      <c r="AN57" s="31" t="n">
        <v>0.266774627874195</v>
      </c>
      <c r="AO57" s="7" t="n">
        <v>0.2256168878200464</v>
      </c>
      <c r="AP57" s="7" t="n">
        <v>0.2800956289607295</v>
      </c>
      <c r="AQ57" s="7" t="n">
        <v>0.3493629184212507</v>
      </c>
      <c r="AR57" s="40" t="n">
        <v>42.61346732047896</v>
      </c>
      <c r="AS57" s="31" t="n">
        <v>1.018764028587199</v>
      </c>
      <c r="AT57" s="7" t="n">
        <v>1.748617855543678</v>
      </c>
      <c r="AU57" s="7" t="n">
        <v>1.492270861370365</v>
      </c>
      <c r="AV57" s="7" t="n">
        <v>2.853135725911663</v>
      </c>
      <c r="AW57" s="40" t="n">
        <v>41.81787760579041</v>
      </c>
      <c r="AX57" s="31" t="n">
        <v>-0.8222268374039459</v>
      </c>
      <c r="AY57" s="7" t="n">
        <v>-0.7229859110517545</v>
      </c>
      <c r="AZ57" s="7" t="n">
        <v>-0.8777364615196888</v>
      </c>
      <c r="BA57" s="7" t="n">
        <v>-1.136749302668449</v>
      </c>
      <c r="BB57" s="40" t="n">
        <v>135.5174028123871</v>
      </c>
      <c r="BC57" s="31" t="n">
        <v>0</v>
      </c>
      <c r="BD57" s="7" t="n">
        <v>0</v>
      </c>
      <c r="BE57" s="7" t="n">
        <v>0</v>
      </c>
      <c r="BF57" s="7" t="n">
        <v>0</v>
      </c>
      <c r="BG57" s="40" t="n">
        <v>6.608928095913011</v>
      </c>
      <c r="BH57" s="31" t="n">
        <v>0</v>
      </c>
      <c r="BI57" s="7" t="n">
        <v>0</v>
      </c>
      <c r="BJ57" s="7" t="n">
        <v>0</v>
      </c>
      <c r="BK57" s="7" t="n">
        <v>0</v>
      </c>
      <c r="BL57" s="40" t="n">
        <v>2.3</v>
      </c>
      <c r="BM57" s="40" t="n">
        <v>0</v>
      </c>
      <c r="BN57" s="40" t="n">
        <v>0</v>
      </c>
      <c r="BO57" s="40" t="n">
        <v>0</v>
      </c>
      <c r="BP57" s="40" t="n">
        <v>0</v>
      </c>
      <c r="BQ57" s="40" t="n">
        <v>69.00891128423298</v>
      </c>
      <c r="BR57" s="31" t="n">
        <v>1.210448534554118</v>
      </c>
      <c r="BS57" s="7" t="n">
        <v>2.283745935305042</v>
      </c>
      <c r="BT57" s="7" t="n">
        <v>1.872789380802061</v>
      </c>
      <c r="BU57" s="7" t="n">
        <v>3.687766896163012</v>
      </c>
      <c r="BV57" s="40" t="n">
        <v>7.47024325012192</v>
      </c>
      <c r="BW57" s="31" t="n">
        <v>-3.728822564967895</v>
      </c>
      <c r="BX57" s="7" t="n">
        <v>-2.859983705181304</v>
      </c>
      <c r="BY57" s="7" t="n">
        <v>-3.782664670616257</v>
      </c>
      <c r="BZ57" s="7" t="n">
        <v>-4.471109179147516</v>
      </c>
      <c r="CA57" s="40" t="n">
        <v>5.042709936250693</v>
      </c>
      <c r="CB57" s="31" t="n">
        <v>0.5403476163182619</v>
      </c>
      <c r="CC57" s="7" t="n">
        <v>0.9583978030024234</v>
      </c>
      <c r="CD57" s="7" t="n">
        <v>0.8045128058974269</v>
      </c>
      <c r="CE57" s="7" t="n">
        <v>1.779631300435616</v>
      </c>
    </row>
    <row r="58">
      <c r="A58" s="254" t="n">
        <v>43101</v>
      </c>
      <c r="B58" s="3" t="n">
        <v>0</v>
      </c>
      <c r="C58" s="40" t="n">
        <v>18</v>
      </c>
      <c r="D58" s="31" t="n">
        <v>0</v>
      </c>
      <c r="E58" s="7" t="n">
        <v>0</v>
      </c>
      <c r="F58" s="7" t="n">
        <v>0</v>
      </c>
      <c r="G58" s="7" t="n">
        <v>0</v>
      </c>
      <c r="H58" s="40" t="n">
        <v>41.31033311171662</v>
      </c>
      <c r="I58" s="31" t="n">
        <v>-1.449844426688678</v>
      </c>
      <c r="J58" s="7" t="n">
        <v>-1.057935703739062</v>
      </c>
      <c r="K58" s="7" t="n">
        <v>-1.447229570901683</v>
      </c>
      <c r="L58" s="7" t="n">
        <v>-1.616473276791289</v>
      </c>
      <c r="M58" s="40" t="n">
        <v>-2.8460445568669</v>
      </c>
      <c r="N58" s="31" t="n">
        <v>-1.866645449399471</v>
      </c>
      <c r="O58" s="7" t="n">
        <v>-0.6097398986806487</v>
      </c>
      <c r="P58" s="40" t="n">
        <v>65.57886597938143</v>
      </c>
      <c r="Q58" s="31" t="n">
        <v>0</v>
      </c>
      <c r="R58" s="7" t="n">
        <v>0</v>
      </c>
      <c r="S58" s="7" t="n">
        <v>0</v>
      </c>
      <c r="T58" s="7" t="n">
        <v>0</v>
      </c>
      <c r="U58" s="40" t="n">
        <v>11</v>
      </c>
      <c r="V58" s="31" t="n">
        <v>0</v>
      </c>
      <c r="W58" s="7" t="n">
        <v>0</v>
      </c>
      <c r="X58" s="7" t="n">
        <v>0</v>
      </c>
      <c r="Y58" s="7" t="n">
        <v>0</v>
      </c>
      <c r="Z58" s="40" t="n">
        <v>8.472014853464287</v>
      </c>
      <c r="AA58" s="31" t="n">
        <v>0.4348362802746379</v>
      </c>
      <c r="AB58" s="7" t="n">
        <v>0.3387536144732928</v>
      </c>
      <c r="AC58" s="7" t="n">
        <v>0.4437114020074411</v>
      </c>
      <c r="AD58" s="7" t="n">
        <v>0.5230473506123969</v>
      </c>
      <c r="AE58" s="9" t="n">
        <v>8.681035430934799</v>
      </c>
      <c r="AF58" s="7" t="n">
        <v>7.240114428766447</v>
      </c>
      <c r="AG58" s="7" t="n">
        <v>5.758431338212176</v>
      </c>
      <c r="AH58" s="40" t="n">
        <v>4.102369743768027</v>
      </c>
      <c r="AI58" s="31" t="n">
        <v>0.08966454077679487</v>
      </c>
      <c r="AJ58" s="7" t="n">
        <v>0.07262862030700479</v>
      </c>
      <c r="AK58" s="7" t="n">
        <v>0.09275877249064024</v>
      </c>
      <c r="AL58" s="7" t="n">
        <v>0.1121163598548067</v>
      </c>
      <c r="AM58" s="40" t="n">
        <v>0.4438474374204926</v>
      </c>
      <c r="AN58" s="31" t="n">
        <v>0.2562898484270101</v>
      </c>
      <c r="AO58" s="7" t="n">
        <v>0.2361070467468066</v>
      </c>
      <c r="AP58" s="7" t="n">
        <v>0.2743534075786667</v>
      </c>
      <c r="AQ58" s="7" t="n">
        <v>0.3588851254082601</v>
      </c>
      <c r="AR58" s="40" t="n">
        <v>42.646560504622</v>
      </c>
      <c r="AS58" s="31" t="n">
        <v>0.6563120397409108</v>
      </c>
      <c r="AT58" s="7" t="n">
        <v>1.395504052215664</v>
      </c>
      <c r="AU58" s="7" t="n">
        <v>1.088209581627488</v>
      </c>
      <c r="AV58" s="7" t="n">
        <v>2.313505888853761</v>
      </c>
      <c r="AW58" s="40" t="n">
        <v>41.61941897122882</v>
      </c>
      <c r="AX58" s="31" t="n">
        <v>-0.8199753225976494</v>
      </c>
      <c r="AY58" s="7" t="n">
        <v>-0.7614333084671294</v>
      </c>
      <c r="AZ58" s="7" t="n">
        <v>-0.8954486183183548</v>
      </c>
      <c r="BA58" s="7" t="n">
        <v>-1.189024166430841</v>
      </c>
      <c r="BB58" s="40" t="n">
        <v>135.5174028123871</v>
      </c>
      <c r="BC58" s="31" t="n">
        <v>0</v>
      </c>
      <c r="BD58" s="7" t="n">
        <v>0</v>
      </c>
      <c r="BE58" s="7" t="n">
        <v>0</v>
      </c>
      <c r="BF58" s="7" t="n">
        <v>0</v>
      </c>
      <c r="BG58" s="40" t="n">
        <v>6.608928095913011</v>
      </c>
      <c r="BH58" s="31" t="n">
        <v>0</v>
      </c>
      <c r="BI58" s="7" t="n">
        <v>0</v>
      </c>
      <c r="BJ58" s="7" t="n">
        <v>0</v>
      </c>
      <c r="BK58" s="7" t="n">
        <v>0</v>
      </c>
      <c r="BL58" s="40" t="n">
        <v>2.3</v>
      </c>
      <c r="BM58" s="40" t="n">
        <v>0</v>
      </c>
      <c r="BN58" s="40" t="n">
        <v>0</v>
      </c>
      <c r="BO58" s="40" t="n">
        <v>0</v>
      </c>
      <c r="BP58" s="40" t="n">
        <v>0</v>
      </c>
      <c r="BQ58" s="40" t="n">
        <v>68.97787962368469</v>
      </c>
      <c r="BR58" s="31" t="n">
        <v>0.6647166292888613</v>
      </c>
      <c r="BS58" s="7" t="n">
        <v>1.766840326798381</v>
      </c>
      <c r="BT58" s="7" t="n">
        <v>1.270821236427494</v>
      </c>
      <c r="BU58" s="7" t="n">
        <v>2.906616292221429</v>
      </c>
      <c r="BV58" s="40" t="n">
        <v>6.38784118572341</v>
      </c>
      <c r="BW58" s="31" t="n">
        <v>-4.003971978773309</v>
      </c>
      <c r="BX58" s="7" t="n">
        <v>-3.252448820119819</v>
      </c>
      <c r="BY58" s="7" t="n">
        <v>-4.150070808719439</v>
      </c>
      <c r="BZ58" s="7" t="n">
        <v>-5.077702900860087</v>
      </c>
      <c r="CA58" s="40" t="n">
        <v>5.191057077896341</v>
      </c>
      <c r="CB58" s="31" t="n">
        <v>0.5296614267642861</v>
      </c>
      <c r="CC58" s="7" t="n">
        <v>0.7859267144953155</v>
      </c>
      <c r="CD58" s="7" t="n">
        <v>0.7132604967924685</v>
      </c>
      <c r="CE58" s="7" t="n">
        <v>1.508205267028634</v>
      </c>
    </row>
    <row r="59">
      <c r="A59" s="254" t="n">
        <v>43191</v>
      </c>
      <c r="B59" s="3" t="n">
        <v>0</v>
      </c>
      <c r="C59" s="40" t="n">
        <v>18</v>
      </c>
      <c r="D59" s="31" t="n">
        <v>0</v>
      </c>
      <c r="E59" s="7" t="n">
        <v>0</v>
      </c>
      <c r="F59" s="7" t="n">
        <v>0</v>
      </c>
      <c r="G59" s="7" t="n">
        <v>0</v>
      </c>
      <c r="H59" s="40" t="n">
        <v>40.88044749345878</v>
      </c>
      <c r="I59" s="31" t="n">
        <v>-1.571477903870253</v>
      </c>
      <c r="J59" s="7" t="n">
        <v>-1.239078652058982</v>
      </c>
      <c r="K59" s="7" t="n">
        <v>-1.612631263224756</v>
      </c>
      <c r="L59" s="7" t="n">
        <v>-1.901075469082656</v>
      </c>
      <c r="M59" s="40" t="n">
        <v>-3.160215636542262</v>
      </c>
      <c r="N59" s="31" t="n">
        <v>-2.326285540719937</v>
      </c>
      <c r="O59" s="7" t="n">
        <v>-1.147614160131828</v>
      </c>
      <c r="P59" s="40" t="n">
        <v>65.57886597938143</v>
      </c>
      <c r="Q59" s="31" t="n">
        <v>0</v>
      </c>
      <c r="R59" s="7" t="n">
        <v>0</v>
      </c>
      <c r="S59" s="7" t="n">
        <v>0</v>
      </c>
      <c r="T59" s="7" t="n">
        <v>0</v>
      </c>
      <c r="U59" s="40" t="n">
        <v>11</v>
      </c>
      <c r="V59" s="31" t="n">
        <v>0</v>
      </c>
      <c r="W59" s="7" t="n">
        <v>0</v>
      </c>
      <c r="X59" s="7" t="n">
        <v>0</v>
      </c>
      <c r="Y59" s="7" t="n">
        <v>0</v>
      </c>
      <c r="Z59" s="40" t="n">
        <v>8.59396705738574</v>
      </c>
      <c r="AA59" s="31" t="n">
        <v>0.4612096625672972</v>
      </c>
      <c r="AB59" s="7" t="n">
        <v>0.3812279262192044</v>
      </c>
      <c r="AC59" s="7" t="n">
        <v>0.4809752023105709</v>
      </c>
      <c r="AD59" s="7" t="n">
        <v>0.5910195914815173</v>
      </c>
      <c r="AE59" s="9" t="n">
        <v>9.169209638426537</v>
      </c>
      <c r="AF59" s="7" t="n">
        <v>7.884107657991308</v>
      </c>
      <c r="AG59" s="7" t="n">
        <v>6.416647767555976</v>
      </c>
      <c r="AH59" s="40" t="n">
        <v>4.125763849137205</v>
      </c>
      <c r="AI59" s="31" t="n">
        <v>0.09251952556434428</v>
      </c>
      <c r="AJ59" s="7" t="n">
        <v>0.07971548575996334</v>
      </c>
      <c r="AK59" s="7" t="n">
        <v>0.09799572278306723</v>
      </c>
      <c r="AL59" s="7" t="n">
        <v>0.1232384771413582</v>
      </c>
      <c r="AM59" s="40" t="n">
        <v>0.4844307731692363</v>
      </c>
      <c r="AN59" s="31" t="n">
        <v>0.2213731046774108</v>
      </c>
      <c r="AO59" s="7" t="n">
        <v>0.2350101207883289</v>
      </c>
      <c r="AP59" s="7" t="n">
        <v>0.2559099816407088</v>
      </c>
      <c r="AQ59" s="7" t="n">
        <v>0.3512820541873138</v>
      </c>
      <c r="AR59" s="40" t="n">
        <v>42.60498573001426</v>
      </c>
      <c r="AS59" s="31" t="n">
        <v>0.3146392104565976</v>
      </c>
      <c r="AT59" s="7" t="n">
        <v>1.041638554569065</v>
      </c>
      <c r="AU59" s="7" t="n">
        <v>0.697758793965825</v>
      </c>
      <c r="AV59" s="7" t="n">
        <v>1.769347630340192</v>
      </c>
      <c r="AW59" s="40" t="n">
        <v>41.43021611096978</v>
      </c>
      <c r="AX59" s="31" t="n">
        <v>-0.8016803995285642</v>
      </c>
      <c r="AY59" s="7" t="n">
        <v>-0.7831114407516999</v>
      </c>
      <c r="AZ59" s="7" t="n">
        <v>-0.8942931514606087</v>
      </c>
      <c r="BA59" s="7" t="n">
        <v>-1.220554022293918</v>
      </c>
      <c r="BB59" s="40" t="n">
        <v>135.5174028123871</v>
      </c>
      <c r="BC59" s="31" t="n">
        <v>0</v>
      </c>
      <c r="BD59" s="7" t="n">
        <v>0</v>
      </c>
      <c r="BE59" s="7" t="n">
        <v>0</v>
      </c>
      <c r="BF59" s="7" t="n">
        <v>0</v>
      </c>
      <c r="BG59" s="40" t="n">
        <v>6.608928095913011</v>
      </c>
      <c r="BH59" s="31" t="n">
        <v>0</v>
      </c>
      <c r="BI59" s="7" t="n">
        <v>0</v>
      </c>
      <c r="BJ59" s="7" t="n">
        <v>0</v>
      </c>
      <c r="BK59" s="7" t="n">
        <v>0</v>
      </c>
      <c r="BL59" s="40" t="n">
        <v>2.3</v>
      </c>
      <c r="BM59" s="40" t="n">
        <v>0</v>
      </c>
      <c r="BN59" s="40" t="n">
        <v>0</v>
      </c>
      <c r="BO59" s="40" t="n">
        <v>0</v>
      </c>
      <c r="BP59" s="40" t="n">
        <v>0</v>
      </c>
      <c r="BQ59" s="40" t="n">
        <v>68.83250417586396</v>
      </c>
      <c r="BR59" s="31" t="n">
        <v>0.1483411718215564</v>
      </c>
      <c r="BS59" s="7" t="n">
        <v>1.24039638703703</v>
      </c>
      <c r="BT59" s="7" t="n">
        <v>0.6837357069071714</v>
      </c>
      <c r="BU59" s="7" t="n">
        <v>2.10725903941686</v>
      </c>
      <c r="BV59" s="40" t="n">
        <v>5.270765435472956</v>
      </c>
      <c r="BW59" s="31" t="n">
        <v>-4.217679221845398</v>
      </c>
      <c r="BX59" s="7" t="n">
        <v>-3.594472661741257</v>
      </c>
      <c r="BY59" s="7" t="n">
        <v>-4.454034353939941</v>
      </c>
      <c r="BZ59" s="7" t="n">
        <v>-5.615798800385798</v>
      </c>
      <c r="CA59" s="40" t="n">
        <v>5.360664114110143</v>
      </c>
      <c r="CB59" s="31" t="n">
        <v>0.5695339814856455</v>
      </c>
      <c r="CC59" s="7" t="n">
        <v>0.6790762156058738</v>
      </c>
      <c r="CD59" s="7" t="n">
        <v>0.6863858543824426</v>
      </c>
      <c r="CE59" s="7" t="n">
        <v>1.324019728423466</v>
      </c>
    </row>
    <row r="60">
      <c r="A60" s="254" t="n">
        <v>43282</v>
      </c>
      <c r="B60" s="3" t="n">
        <v>0</v>
      </c>
      <c r="C60" s="40" t="n">
        <v>18</v>
      </c>
      <c r="D60" s="31" t="n">
        <v>0</v>
      </c>
      <c r="E60" s="7" t="n">
        <v>0</v>
      </c>
      <c r="F60" s="7" t="n">
        <v>0</v>
      </c>
      <c r="G60" s="7" t="n">
        <v>0</v>
      </c>
      <c r="H60" s="40" t="n">
        <v>40.43614460069016</v>
      </c>
      <c r="I60" s="31" t="n">
        <v>-1.666603711950742</v>
      </c>
      <c r="J60" s="7" t="n">
        <v>-1.392646187409284</v>
      </c>
      <c r="K60" s="7" t="n">
        <v>-1.747164492978641</v>
      </c>
      <c r="L60" s="7" t="n">
        <v>-2.14969970485992</v>
      </c>
      <c r="M60" s="40" t="n">
        <v>-3.421361642024976</v>
      </c>
      <c r="N60" s="31" t="n">
        <v>-2.720662113352432</v>
      </c>
      <c r="O60" s="7" t="n">
        <v>-1.649823455950733</v>
      </c>
      <c r="P60" s="40" t="n">
        <v>65.57886597938143</v>
      </c>
      <c r="Q60" s="31" t="n">
        <v>0</v>
      </c>
      <c r="R60" s="7" t="n">
        <v>0</v>
      </c>
      <c r="S60" s="7" t="n">
        <v>0</v>
      </c>
      <c r="T60" s="7" t="n">
        <v>0</v>
      </c>
      <c r="U60" s="40" t="n">
        <v>11</v>
      </c>
      <c r="V60" s="31" t="n">
        <v>0</v>
      </c>
      <c r="W60" s="7" t="n">
        <v>0</v>
      </c>
      <c r="X60" s="7" t="n">
        <v>0</v>
      </c>
      <c r="Y60" s="7" t="n">
        <v>0</v>
      </c>
      <c r="Z60" s="40" t="n">
        <v>8.715785267239047</v>
      </c>
      <c r="AA60" s="31" t="n">
        <v>0.4770609798312524</v>
      </c>
      <c r="AB60" s="7" t="n">
        <v>0.4153795195186718</v>
      </c>
      <c r="AC60" s="7" t="n">
        <v>0.5074864306090756</v>
      </c>
      <c r="AD60" s="7" t="n">
        <v>0.6457808709651118</v>
      </c>
      <c r="AE60" s="9" t="n">
        <v>9.51723822371946</v>
      </c>
      <c r="AF60" s="7" t="n">
        <v>8.442270856506411</v>
      </c>
      <c r="AG60" s="7" t="n">
        <v>7.034680963557321</v>
      </c>
      <c r="AH60" s="40" t="n">
        <v>4.148327422160614</v>
      </c>
      <c r="AI60" s="31" t="n">
        <v>0.09285360397417897</v>
      </c>
      <c r="AJ60" s="7" t="n">
        <v>0.08473527330140995</v>
      </c>
      <c r="AK60" s="7" t="n">
        <v>0.1006304243664857</v>
      </c>
      <c r="AL60" s="7" t="n">
        <v>0.1311954832071125</v>
      </c>
      <c r="AM60" s="40" t="n">
        <v>0.5157559116522026</v>
      </c>
      <c r="AN60" s="31" t="n">
        <v>0.1832624583659926</v>
      </c>
      <c r="AO60" s="7" t="n">
        <v>0.2242762525147319</v>
      </c>
      <c r="AP60" s="7" t="n">
        <v>0.2284825899265928</v>
      </c>
      <c r="AQ60" s="7" t="n">
        <v>0.3362926654209538</v>
      </c>
      <c r="AR60" s="40" t="n">
        <v>42.49843661255782</v>
      </c>
      <c r="AS60" s="31" t="n">
        <v>0.001572527490239395</v>
      </c>
      <c r="AT60" s="7" t="n">
        <v>0.6972599657727656</v>
      </c>
      <c r="AU60" s="7" t="n">
        <v>0.3308000378671139</v>
      </c>
      <c r="AV60" s="7" t="n">
        <v>1.235670138460861</v>
      </c>
      <c r="AW60" s="40" t="n">
        <v>41.25141806002334</v>
      </c>
      <c r="AX60" s="31" t="n">
        <v>-0.7717985001915011</v>
      </c>
      <c r="AY60" s="7" t="n">
        <v>-0.788154331096667</v>
      </c>
      <c r="AZ60" s="7" t="n">
        <v>-0.877313342219125</v>
      </c>
      <c r="BA60" s="7" t="n">
        <v>-1.231545466056694</v>
      </c>
      <c r="BB60" s="40" t="n">
        <v>135.5174028123871</v>
      </c>
      <c r="BC60" s="31" t="n">
        <v>0</v>
      </c>
      <c r="BD60" s="7" t="n">
        <v>0</v>
      </c>
      <c r="BE60" s="7" t="n">
        <v>0</v>
      </c>
      <c r="BF60" s="7" t="n">
        <v>0</v>
      </c>
      <c r="BG60" s="40" t="n">
        <v>6.608928095913011</v>
      </c>
      <c r="BH60" s="31" t="n">
        <v>0</v>
      </c>
      <c r="BI60" s="7" t="n">
        <v>0</v>
      </c>
      <c r="BJ60" s="7" t="n">
        <v>0</v>
      </c>
      <c r="BK60" s="7" t="n">
        <v>0</v>
      </c>
      <c r="BL60" s="40" t="n">
        <v>2.3</v>
      </c>
      <c r="BM60" s="40" t="n">
        <v>0</v>
      </c>
      <c r="BN60" s="40" t="n">
        <v>0</v>
      </c>
      <c r="BO60" s="40" t="n">
        <v>0</v>
      </c>
      <c r="BP60" s="40" t="n">
        <v>0</v>
      </c>
      <c r="BQ60" s="40" t="n">
        <v>68.58524714523712</v>
      </c>
      <c r="BR60" s="31" t="n">
        <v>-0.3288439210656691</v>
      </c>
      <c r="BS60" s="7" t="n">
        <v>0.7217407588551552</v>
      </c>
      <c r="BT60" s="7" t="n">
        <v>0.1263795795210712</v>
      </c>
      <c r="BU60" s="7" t="n">
        <v>1.31208102700927</v>
      </c>
      <c r="BV60" s="40" t="n">
        <v>4.121764138000195</v>
      </c>
      <c r="BW60" s="31" t="n">
        <v>-4.38685109215597</v>
      </c>
      <c r="BX60" s="7" t="n">
        <v>-3.885450057720559</v>
      </c>
      <c r="BY60" s="7" t="n">
        <v>-4.704417485977386</v>
      </c>
      <c r="BZ60" s="7" t="n">
        <v>-6.087298996107249</v>
      </c>
      <c r="CA60" s="40" t="n">
        <v>5.547877984861503</v>
      </c>
      <c r="CB60" s="31" t="n">
        <v>0.6351429915499978</v>
      </c>
      <c r="CC60" s="7" t="n">
        <v>0.6287768505429061</v>
      </c>
      <c r="CD60" s="7" t="n">
        <v>0.7038306712323337</v>
      </c>
      <c r="CE60" s="7" t="n">
        <v>1.213318800696003</v>
      </c>
    </row>
    <row r="61">
      <c r="A61" s="254" t="n">
        <v>43374</v>
      </c>
      <c r="B61" s="3" t="n">
        <v>0</v>
      </c>
      <c r="C61" s="40" t="n">
        <v>18</v>
      </c>
      <c r="D61" s="31" t="n">
        <v>0</v>
      </c>
      <c r="E61" s="7" t="n">
        <v>0</v>
      </c>
      <c r="F61" s="7" t="n">
        <v>0</v>
      </c>
      <c r="G61" s="7" t="n">
        <v>0</v>
      </c>
      <c r="H61" s="40" t="n">
        <v>39.98236456709147</v>
      </c>
      <c r="I61" s="31" t="n">
        <v>-1.737564143028713</v>
      </c>
      <c r="J61" s="7" t="n">
        <v>-1.518555321539672</v>
      </c>
      <c r="K61" s="7" t="n">
        <v>-1.852782979724999</v>
      </c>
      <c r="L61" s="7" t="n">
        <v>-2.360223344056621</v>
      </c>
      <c r="M61" s="40" t="n">
        <v>-3.637932144438992</v>
      </c>
      <c r="N61" s="31" t="n">
        <v>-3.053541531436849</v>
      </c>
      <c r="O61" s="7" t="n">
        <v>-2.108186351025476</v>
      </c>
      <c r="P61" s="40" t="n">
        <v>65.57886597938143</v>
      </c>
      <c r="Q61" s="31" t="n">
        <v>0</v>
      </c>
      <c r="R61" s="7" t="n">
        <v>0</v>
      </c>
      <c r="S61" s="7" t="n">
        <v>0</v>
      </c>
      <c r="T61" s="7" t="n">
        <v>0</v>
      </c>
      <c r="U61" s="40" t="n">
        <v>11</v>
      </c>
      <c r="V61" s="31" t="n">
        <v>0</v>
      </c>
      <c r="W61" s="7" t="n">
        <v>0</v>
      </c>
      <c r="X61" s="7" t="n">
        <v>0</v>
      </c>
      <c r="Y61" s="7" t="n">
        <v>0</v>
      </c>
      <c r="Z61" s="40" t="n">
        <v>8.834740338896621</v>
      </c>
      <c r="AA61" s="31" t="n">
        <v>0.4820529508327791</v>
      </c>
      <c r="AB61" s="7" t="n">
        <v>0.4403527141941557</v>
      </c>
      <c r="AC61" s="7" t="n">
        <v>0.5225966223869829</v>
      </c>
      <c r="AD61" s="7" t="n">
        <v>0.686160188221665</v>
      </c>
      <c r="AE61" s="9" t="n">
        <v>9.714751872160491</v>
      </c>
      <c r="AF61" s="7" t="n">
        <v>8.893211198971073</v>
      </c>
      <c r="AG61" s="7" t="n">
        <v>7.594730444381639</v>
      </c>
      <c r="AH61" s="40" t="n">
        <v>4.169491894198522</v>
      </c>
      <c r="AI61" s="31" t="n">
        <v>0.0907565148273175</v>
      </c>
      <c r="AJ61" s="7" t="n">
        <v>0.08753255221512579</v>
      </c>
      <c r="AK61" s="7" t="n">
        <v>0.1006110780790408</v>
      </c>
      <c r="AL61" s="7" t="n">
        <v>0.1357648288474724</v>
      </c>
      <c r="AM61" s="40" t="n">
        <v>0.5349455361052902</v>
      </c>
      <c r="AN61" s="31" t="n">
        <v>0.1417600992577463</v>
      </c>
      <c r="AO61" s="7" t="n">
        <v>0.2042673635659707</v>
      </c>
      <c r="AP61" s="7" t="n">
        <v>0.1916031512509974</v>
      </c>
      <c r="AQ61" s="7" t="n">
        <v>0.306450700923291</v>
      </c>
      <c r="AR61" s="40" t="n">
        <v>42.33722396710576</v>
      </c>
      <c r="AS61" s="31" t="n">
        <v>-0.2762433533732036</v>
      </c>
      <c r="AT61" s="7" t="n">
        <v>0.3712603376069978</v>
      </c>
      <c r="AU61" s="7" t="n">
        <v>-0.004727599028129248</v>
      </c>
      <c r="AV61" s="7" t="n">
        <v>0.7261388137272675</v>
      </c>
      <c r="AW61" s="40" t="n">
        <v>41.083093280044</v>
      </c>
      <c r="AX61" s="31" t="n">
        <v>-0.7347843257464106</v>
      </c>
      <c r="AY61" s="7" t="n">
        <v>-0.7785055815751782</v>
      </c>
      <c r="AZ61" s="7" t="n">
        <v>-0.848599539424292</v>
      </c>
      <c r="BA61" s="7" t="n">
        <v>-1.223893660497097</v>
      </c>
      <c r="BB61" s="40" t="n">
        <v>135.5174028123871</v>
      </c>
      <c r="BC61" s="31" t="n">
        <v>0</v>
      </c>
      <c r="BD61" s="7" t="n">
        <v>0</v>
      </c>
      <c r="BE61" s="7" t="n">
        <v>0</v>
      </c>
      <c r="BF61" s="7" t="n">
        <v>0</v>
      </c>
      <c r="BG61" s="40" t="n">
        <v>6.608928095913011</v>
      </c>
      <c r="BH61" s="31" t="n">
        <v>0</v>
      </c>
      <c r="BI61" s="7" t="n">
        <v>0</v>
      </c>
      <c r="BJ61" s="7" t="n">
        <v>0</v>
      </c>
      <c r="BK61" s="7" t="n">
        <v>0</v>
      </c>
      <c r="BL61" s="40" t="n">
        <v>2.3</v>
      </c>
      <c r="BM61" s="40" t="n">
        <v>0</v>
      </c>
      <c r="BN61" s="40" t="n">
        <v>0</v>
      </c>
      <c r="BO61" s="40" t="n">
        <v>0</v>
      </c>
      <c r="BP61" s="40" t="n">
        <v>0</v>
      </c>
      <c r="BQ61" s="40" t="n">
        <v>68.24829952532193</v>
      </c>
      <c r="BR61" s="31" t="n">
        <v>-0.7606117589110539</v>
      </c>
      <c r="BS61" s="7" t="n">
        <v>0.224918387821532</v>
      </c>
      <c r="BT61" s="7" t="n">
        <v>-0.3910032301078985</v>
      </c>
      <c r="BU61" s="7" t="n">
        <v>0.5405064039497489</v>
      </c>
      <c r="BV61" s="40" t="n">
        <v>2.939643595034434</v>
      </c>
      <c r="BW61" s="31" t="n">
        <v>-4.530599655087486</v>
      </c>
      <c r="BX61" s="7" t="n">
        <v>-4.12971111002769</v>
      </c>
      <c r="BY61" s="7" t="n">
        <v>-4.915175514513007</v>
      </c>
      <c r="BZ61" s="7" t="n">
        <v>-6.499846186234223</v>
      </c>
      <c r="CA61" s="40" t="n">
        <v>5.744674548968884</v>
      </c>
      <c r="CB61" s="31" t="n">
        <v>0.7019646127181902</v>
      </c>
      <c r="CC61" s="7" t="n">
        <v>0.6211561145182261</v>
      </c>
      <c r="CD61" s="7" t="n">
        <v>0.7434330227039867</v>
      </c>
      <c r="CE61" s="7" t="n">
        <v>1.15735070264015</v>
      </c>
    </row>
    <row r="62">
      <c r="A62" s="254" t="n">
        <v>43466</v>
      </c>
      <c r="B62" s="3" t="n">
        <v>0</v>
      </c>
      <c r="C62" s="40" t="n">
        <v>18</v>
      </c>
      <c r="D62" s="31" t="n">
        <v>0</v>
      </c>
      <c r="E62" s="7" t="n">
        <v>0</v>
      </c>
      <c r="F62" s="7" t="n">
        <v>0</v>
      </c>
      <c r="G62" s="7" t="n">
        <v>0</v>
      </c>
      <c r="H62" s="40" t="n">
        <v>39.52291662459388</v>
      </c>
      <c r="I62" s="31" t="n">
        <v>-1.787416487122748</v>
      </c>
      <c r="J62" s="7" t="n">
        <v>-1.618630456905713</v>
      </c>
      <c r="K62" s="7" t="n">
        <v>-1.932592091837684</v>
      </c>
      <c r="L62" s="7" t="n">
        <v>-2.532899311564748</v>
      </c>
      <c r="M62" s="40" t="n">
        <v>-3.818983265948873</v>
      </c>
      <c r="N62" s="31" t="n">
        <v>-3.332513911407887</v>
      </c>
      <c r="O62" s="7" t="n">
        <v>-2.517424721582605</v>
      </c>
      <c r="P62" s="40" t="n">
        <v>65.57886597938143</v>
      </c>
      <c r="Q62" s="31" t="n">
        <v>0</v>
      </c>
      <c r="R62" s="7" t="n">
        <v>0</v>
      </c>
      <c r="S62" s="7" t="n">
        <v>0</v>
      </c>
      <c r="T62" s="7" t="n">
        <v>0</v>
      </c>
      <c r="U62" s="40" t="n">
        <v>11</v>
      </c>
      <c r="V62" s="31" t="n">
        <v>0</v>
      </c>
      <c r="W62" s="7" t="n">
        <v>0</v>
      </c>
      <c r="X62" s="7" t="n">
        <v>0</v>
      </c>
      <c r="Y62" s="7" t="n">
        <v>0</v>
      </c>
      <c r="Z62" s="40" t="n">
        <v>8.948210210419182</v>
      </c>
      <c r="AA62" s="31" t="n">
        <v>0.4761953569548947</v>
      </c>
      <c r="AB62" s="7" t="n">
        <v>0.4555158186147663</v>
      </c>
      <c r="AC62" s="7" t="n">
        <v>0.5259783153610034</v>
      </c>
      <c r="AD62" s="7" t="n">
        <v>0.7112989496991418</v>
      </c>
      <c r="AE62" s="9" t="n">
        <v>9.759745112257519</v>
      </c>
      <c r="AF62" s="7" t="n">
        <v>9.220390271596159</v>
      </c>
      <c r="AG62" s="7" t="n">
        <v>8.079991323263471</v>
      </c>
      <c r="AH62" s="40" t="n">
        <v>4.188718675457308</v>
      </c>
      <c r="AI62" s="31" t="n">
        <v>0.08634893168928137</v>
      </c>
      <c r="AJ62" s="7" t="n">
        <v>0.08800673623303812</v>
      </c>
      <c r="AK62" s="7" t="n">
        <v>0.09795472128404548</v>
      </c>
      <c r="AL62" s="7" t="n">
        <v>0.1368152855003535</v>
      </c>
      <c r="AM62" s="40" t="n">
        <v>0.5432382204285009</v>
      </c>
      <c r="AN62" s="31" t="n">
        <v>0.0993907830080083</v>
      </c>
      <c r="AO62" s="7" t="n">
        <v>0.1778403157175092</v>
      </c>
      <c r="AP62" s="7" t="n">
        <v>0.1488289946827154</v>
      </c>
      <c r="AQ62" s="7" t="n">
        <v>0.2653272290050152</v>
      </c>
      <c r="AR62" s="40" t="n">
        <v>42.13175061305414</v>
      </c>
      <c r="AS62" s="31" t="n">
        <v>-0.5148098915678574</v>
      </c>
      <c r="AT62" s="7" t="n">
        <v>0.0707510740865267</v>
      </c>
      <c r="AU62" s="7" t="n">
        <v>-0.3030160374814983</v>
      </c>
      <c r="AV62" s="7" t="n">
        <v>0.2522494298661471</v>
      </c>
      <c r="AW62" s="40" t="n">
        <v>40.92399123814756</v>
      </c>
      <c r="AX62" s="31" t="n">
        <v>-0.6954277330812531</v>
      </c>
      <c r="AY62" s="7" t="n">
        <v>-0.7577015278394512</v>
      </c>
      <c r="AZ62" s="7" t="n">
        <v>-0.8130751859269338</v>
      </c>
      <c r="BA62" s="7" t="n">
        <v>-1.201266023406042</v>
      </c>
      <c r="BB62" s="40" t="n">
        <v>135.5174028123871</v>
      </c>
      <c r="BC62" s="31" t="n">
        <v>0</v>
      </c>
      <c r="BD62" s="7" t="n">
        <v>0</v>
      </c>
      <c r="BE62" s="7" t="n">
        <v>0</v>
      </c>
      <c r="BF62" s="7" t="n">
        <v>0</v>
      </c>
      <c r="BG62" s="40" t="n">
        <v>6.608928095913011</v>
      </c>
      <c r="BH62" s="31" t="n">
        <v>0</v>
      </c>
      <c r="BI62" s="7" t="n">
        <v>0</v>
      </c>
      <c r="BJ62" s="7" t="n">
        <v>0</v>
      </c>
      <c r="BK62" s="7" t="n">
        <v>0</v>
      </c>
      <c r="BL62" s="40" t="n">
        <v>2.3</v>
      </c>
      <c r="BM62" s="40" t="n">
        <v>0</v>
      </c>
      <c r="BN62" s="40" t="n">
        <v>0</v>
      </c>
      <c r="BO62" s="40" t="n">
        <v>0</v>
      </c>
      <c r="BP62" s="40" t="n">
        <v>0</v>
      </c>
      <c r="BQ62" s="40" t="n">
        <v>67.83237914583957</v>
      </c>
      <c r="BR62" s="31" t="n">
        <v>-1.145500477845118</v>
      </c>
      <c r="BS62" s="7" t="n">
        <v>-0.2403919242781285</v>
      </c>
      <c r="BT62" s="7" t="n">
        <v>-0.8631532065456469</v>
      </c>
      <c r="BU62" s="7" t="n">
        <v>-0.1926539848408595</v>
      </c>
      <c r="BV62" s="40" t="n">
        <v>1.722115169388251</v>
      </c>
      <c r="BW62" s="31" t="n">
        <v>-4.665726016335159</v>
      </c>
      <c r="BX62" s="7" t="n">
        <v>-4.334848997554234</v>
      </c>
      <c r="BY62" s="7" t="n">
        <v>-5.100276162652269</v>
      </c>
      <c r="BZ62" s="7" t="n">
        <v>-6.863160689759567</v>
      </c>
      <c r="CA62" s="40" t="n">
        <v>5.940687641068124</v>
      </c>
      <c r="CB62" s="31" t="n">
        <v>0.7496305631717837</v>
      </c>
      <c r="CC62" s="7" t="n">
        <v>0.6396459949680349</v>
      </c>
      <c r="CD62" s="7" t="n">
        <v>0.7841570861736713</v>
      </c>
      <c r="CE62" s="7" t="n">
        <v>1.13513377651247</v>
      </c>
    </row>
    <row r="63">
      <c r="A63" s="254" t="n">
        <v>43556</v>
      </c>
      <c r="B63" s="3" t="n">
        <v>0</v>
      </c>
      <c r="C63" s="40" t="n">
        <v>18</v>
      </c>
      <c r="D63" s="31" t="n">
        <v>0</v>
      </c>
      <c r="E63" s="7" t="n">
        <v>0</v>
      </c>
      <c r="F63" s="7" t="n">
        <v>0</v>
      </c>
      <c r="G63" s="7" t="n">
        <v>0</v>
      </c>
      <c r="H63" s="40" t="n">
        <v>39.06041210876652</v>
      </c>
      <c r="I63" s="31" t="n">
        <v>-1.820035384692261</v>
      </c>
      <c r="J63" s="7" t="n">
        <v>-1.695756644281257</v>
      </c>
      <c r="K63" s="7" t="n">
        <v>-1.990438993438602</v>
      </c>
      <c r="L63" s="7" t="n">
        <v>-2.670129836175363</v>
      </c>
      <c r="M63" s="40" t="n">
        <v>-3.973900761130835</v>
      </c>
      <c r="N63" s="31" t="n">
        <v>-3.567058198836548</v>
      </c>
      <c r="O63" s="7" t="n">
        <v>-2.875490614190236</v>
      </c>
      <c r="P63" s="40" t="n">
        <v>65.57886597938143</v>
      </c>
      <c r="Q63" s="31" t="n">
        <v>0</v>
      </c>
      <c r="R63" s="7" t="n">
        <v>0</v>
      </c>
      <c r="S63" s="7" t="n">
        <v>0</v>
      </c>
      <c r="T63" s="7" t="n">
        <v>0</v>
      </c>
      <c r="U63" s="40" t="n">
        <v>11</v>
      </c>
      <c r="V63" s="31" t="n">
        <v>0</v>
      </c>
      <c r="W63" s="7" t="n">
        <v>0</v>
      </c>
      <c r="X63" s="7" t="n">
        <v>0</v>
      </c>
      <c r="Y63" s="7" t="n">
        <v>0</v>
      </c>
      <c r="Z63" s="40" t="n">
        <v>9.05379484620585</v>
      </c>
      <c r="AA63" s="31" t="n">
        <v>0.4598277888201103</v>
      </c>
      <c r="AB63" s="7" t="n">
        <v>0.4605187256937038</v>
      </c>
      <c r="AC63" s="7" t="n">
        <v>0.5176839964939806</v>
      </c>
      <c r="AD63" s="7" t="n">
        <v>0.720741703327354</v>
      </c>
      <c r="AE63" s="9" t="n">
        <v>9.657354071796931</v>
      </c>
      <c r="AF63" s="7" t="n">
        <v>9.413281855111734</v>
      </c>
      <c r="AG63" s="7" t="n">
        <v>8.475189795926516</v>
      </c>
      <c r="AH63" s="40" t="n">
        <v>4.20551793524334</v>
      </c>
      <c r="AI63" s="31" t="n">
        <v>0.07975408610613499</v>
      </c>
      <c r="AJ63" s="7" t="n">
        <v>0.08613680583523964</v>
      </c>
      <c r="AK63" s="7" t="n">
        <v>0.09275229701181775</v>
      </c>
      <c r="AL63" s="7" t="n">
        <v>0.1343140309277775</v>
      </c>
      <c r="AM63" s="40" t="n">
        <v>0.5419283962077486</v>
      </c>
      <c r="AN63" s="31" t="n">
        <v>0.05749762303851225</v>
      </c>
      <c r="AO63" s="7" t="n">
        <v>0.1394353638579615</v>
      </c>
      <c r="AP63" s="7" t="n">
        <v>0.1030590915325859</v>
      </c>
      <c r="AQ63" s="7" t="n">
        <v>0.2163836650757944</v>
      </c>
      <c r="AR63" s="40" t="n">
        <v>41.89215345338148</v>
      </c>
      <c r="AS63" s="31" t="n">
        <v>-0.7128322766327742</v>
      </c>
      <c r="AT63" s="7" t="n">
        <v>-0.1990965330880883</v>
      </c>
      <c r="AU63" s="7" t="n">
        <v>-0.5603009656757862</v>
      </c>
      <c r="AV63" s="7" t="n">
        <v>-0.1770309142118052</v>
      </c>
      <c r="AW63" s="40" t="n">
        <v>40.771858361608</v>
      </c>
      <c r="AX63" s="31" t="n">
        <v>-0.6583577493617838</v>
      </c>
      <c r="AY63" s="7" t="n">
        <v>-0.730019074445174</v>
      </c>
      <c r="AZ63" s="7" t="n">
        <v>-0.7757826805066372</v>
      </c>
      <c r="BA63" s="7" t="n">
        <v>-1.168541037444321</v>
      </c>
      <c r="BB63" s="40" t="n">
        <v>135.5174028123871</v>
      </c>
      <c r="BC63" s="31" t="n">
        <v>0</v>
      </c>
      <c r="BD63" s="7" t="n">
        <v>0</v>
      </c>
      <c r="BE63" s="7" t="n">
        <v>0</v>
      </c>
      <c r="BF63" s="7" t="n">
        <v>0</v>
      </c>
      <c r="BG63" s="40" t="n">
        <v>6.608928095913011</v>
      </c>
      <c r="BH63" s="31" t="n">
        <v>0</v>
      </c>
      <c r="BI63" s="7" t="n">
        <v>0</v>
      </c>
      <c r="BJ63" s="7" t="n">
        <v>0</v>
      </c>
      <c r="BK63" s="7" t="n">
        <v>0</v>
      </c>
      <c r="BL63" s="40" t="n">
        <v>2.3</v>
      </c>
      <c r="BM63" s="40" t="n">
        <v>0</v>
      </c>
      <c r="BN63" s="40" t="n">
        <v>0</v>
      </c>
      <c r="BO63" s="40" t="n">
        <v>0</v>
      </c>
      <c r="BP63" s="40" t="n">
        <v>0</v>
      </c>
      <c r="BQ63" s="40" t="n">
        <v>67.34643873620999</v>
      </c>
      <c r="BR63" s="31" t="n">
        <v>-1.48606543965397</v>
      </c>
      <c r="BS63" s="7" t="n">
        <v>-0.6688621339162069</v>
      </c>
      <c r="BT63" s="7" t="n">
        <v>-1.288995635105692</v>
      </c>
      <c r="BU63" s="7" t="n">
        <v>-0.8776094091164026</v>
      </c>
      <c r="BV63" s="40" t="n">
        <v>0.4667373283778393</v>
      </c>
      <c r="BW63" s="31" t="n">
        <v>-4.804028107095117</v>
      </c>
      <c r="BX63" s="7" t="n">
        <v>-4.510853664470257</v>
      </c>
      <c r="BY63" s="7" t="n">
        <v>-5.27194175427412</v>
      </c>
      <c r="BZ63" s="7" t="n">
        <v>-7.18765322605541</v>
      </c>
      <c r="CA63" s="40" t="n">
        <v>6.12497453576436</v>
      </c>
      <c r="CB63" s="31" t="n">
        <v>0.7643104216542165</v>
      </c>
      <c r="CC63" s="7" t="n">
        <v>0.666922201569931</v>
      </c>
      <c r="CD63" s="7" t="n">
        <v>0.808532482127899</v>
      </c>
      <c r="CE63" s="7" t="n">
        <v>1.125963671861838</v>
      </c>
    </row>
    <row r="64">
      <c r="A64" s="254" t="n">
        <v>43647</v>
      </c>
      <c r="B64" s="3" t="n">
        <v>0</v>
      </c>
      <c r="C64" s="40" t="n">
        <v>18</v>
      </c>
      <c r="D64" s="31" t="n">
        <v>0</v>
      </c>
      <c r="E64" s="7" t="n">
        <v>0</v>
      </c>
      <c r="F64" s="7" t="n">
        <v>0</v>
      </c>
      <c r="G64" s="7" t="n">
        <v>0</v>
      </c>
      <c r="H64" s="40" t="n">
        <v>38.59580485912823</v>
      </c>
      <c r="I64" s="31" t="n">
        <v>-1.840339741561927</v>
      </c>
      <c r="J64" s="7" t="n">
        <v>-1.753471726756334</v>
      </c>
      <c r="K64" s="7" t="n">
        <v>-2.031107082006578</v>
      </c>
      <c r="L64" s="7" t="n">
        <v>-2.776554361746136</v>
      </c>
      <c r="M64" s="40" t="n">
        <v>-4.112477681365363</v>
      </c>
      <c r="N64" s="31" t="n">
        <v>-3.766919661695169</v>
      </c>
      <c r="O64" s="7" t="n">
        <v>-3.184600636023409</v>
      </c>
      <c r="P64" s="40" t="n">
        <v>65.57886597938143</v>
      </c>
      <c r="Q64" s="31" t="n">
        <v>0</v>
      </c>
      <c r="R64" s="7" t="n">
        <v>0</v>
      </c>
      <c r="S64" s="7" t="n">
        <v>0</v>
      </c>
      <c r="T64" s="7" t="n">
        <v>0</v>
      </c>
      <c r="U64" s="40" t="n">
        <v>11</v>
      </c>
      <c r="V64" s="31" t="n">
        <v>0</v>
      </c>
      <c r="W64" s="7" t="n">
        <v>0</v>
      </c>
      <c r="X64" s="7" t="n">
        <v>0</v>
      </c>
      <c r="Y64" s="7" t="n">
        <v>0</v>
      </c>
      <c r="Z64" s="40" t="n">
        <v>9.149388206821095</v>
      </c>
      <c r="AA64" s="31" t="n">
        <v>0.4336029395820482</v>
      </c>
      <c r="AB64" s="7" t="n">
        <v>0.4553319597066503</v>
      </c>
      <c r="AC64" s="7" t="n">
        <v>0.4981476756858001</v>
      </c>
      <c r="AD64" s="7" t="n">
        <v>0.7144780938377231</v>
      </c>
      <c r="AE64" s="9" t="n">
        <v>9.417958779651713</v>
      </c>
      <c r="AF64" s="7" t="n">
        <v>9.467598501685586</v>
      </c>
      <c r="AG64" s="7" t="n">
        <v>8.767500164221511</v>
      </c>
      <c r="AH64" s="40" t="n">
        <v>4.219474721112201</v>
      </c>
      <c r="AI64" s="31" t="n">
        <v>0.07114729895158689</v>
      </c>
      <c r="AJ64" s="7" t="n">
        <v>0.08200045146288293</v>
      </c>
      <c r="AK64" s="7" t="n">
        <v>0.08517488142186913</v>
      </c>
      <c r="AL64" s="7" t="n">
        <v>0.1283387286611335</v>
      </c>
      <c r="AM64" s="40" t="n">
        <v>0.5327463209547588</v>
      </c>
      <c r="AN64" s="31" t="n">
        <v>0.01699040930255624</v>
      </c>
      <c r="AO64" s="7" t="n">
        <v>0.1001264338342744</v>
      </c>
      <c r="AP64" s="7" t="n">
        <v>0.05901817531510567</v>
      </c>
      <c r="AQ64" s="7" t="n">
        <v>0.1632417677715404</v>
      </c>
      <c r="AR64" s="40" t="n">
        <v>41.62721718087317</v>
      </c>
      <c r="AS64" s="31" t="n">
        <v>-0.8712194316846507</v>
      </c>
      <c r="AT64" s="7" t="n">
        <v>-0.4348234520972056</v>
      </c>
      <c r="AU64" s="7" t="n">
        <v>-0.7754631049120846</v>
      </c>
      <c r="AV64" s="7" t="n">
        <v>-0.5561709227622345</v>
      </c>
      <c r="AW64" s="40" t="n">
        <v>40.62360326241299</v>
      </c>
      <c r="AX64" s="31" t="n">
        <v>-0.6278147976103483</v>
      </c>
      <c r="AY64" s="7" t="n">
        <v>-0.6998066489009247</v>
      </c>
      <c r="AZ64" s="7" t="n">
        <v>-0.7415330110903469</v>
      </c>
      <c r="BA64" s="7" t="n">
        <v>-1.131414417400556</v>
      </c>
      <c r="BB64" s="40" t="n">
        <v>135.5174028123871</v>
      </c>
      <c r="BC64" s="31" t="n">
        <v>0</v>
      </c>
      <c r="BD64" s="7" t="n">
        <v>0</v>
      </c>
      <c r="BE64" s="7" t="n">
        <v>0</v>
      </c>
      <c r="BF64" s="7" t="n">
        <v>0</v>
      </c>
      <c r="BG64" s="40" t="n">
        <v>6.608928095913011</v>
      </c>
      <c r="BH64" s="31" t="n">
        <v>0</v>
      </c>
      <c r="BI64" s="7" t="n">
        <v>0</v>
      </c>
      <c r="BJ64" s="7" t="n">
        <v>0</v>
      </c>
      <c r="BK64" s="7" t="n">
        <v>0</v>
      </c>
      <c r="BL64" s="40" t="n">
        <v>2.3</v>
      </c>
      <c r="BM64" s="40" t="n">
        <v>0</v>
      </c>
      <c r="BN64" s="40" t="n">
        <v>0</v>
      </c>
      <c r="BO64" s="40" t="n">
        <v>0</v>
      </c>
      <c r="BP64" s="40" t="n">
        <v>0</v>
      </c>
      <c r="BQ64" s="40" t="n">
        <v>66.7976520077965</v>
      </c>
      <c r="BR64" s="31" t="n">
        <v>-1.787595137440618</v>
      </c>
      <c r="BS64" s="7" t="n">
        <v>-1.058219529253144</v>
      </c>
      <c r="BT64" s="7" t="n">
        <v>-1.67056683004013</v>
      </c>
      <c r="BU64" s="7" t="n">
        <v>-1.509290082064908</v>
      </c>
      <c r="BV64" s="40" t="n">
        <v>-0.8248220780134227</v>
      </c>
      <c r="BW64" s="31" t="n">
        <v>-4.946586216013618</v>
      </c>
      <c r="BX64" s="7" t="n">
        <v>-4.666718654084794</v>
      </c>
      <c r="BY64" s="7" t="n">
        <v>-5.435787744547818</v>
      </c>
      <c r="BZ64" s="7" t="n">
        <v>-7.479798179898538</v>
      </c>
      <c r="CA64" s="40" t="n">
        <v>6.28725380539108</v>
      </c>
      <c r="CB64" s="31" t="n">
        <v>0.7393758205295766</v>
      </c>
      <c r="CC64" s="7" t="n">
        <v>0.6872594060397872</v>
      </c>
      <c r="CD64" s="7" t="n">
        <v>0.8040812013621359</v>
      </c>
      <c r="CE64" s="7" t="n">
        <v>1.111371037083061</v>
      </c>
    </row>
    <row r="65">
      <c r="A65" s="254" t="n">
        <v>43739</v>
      </c>
      <c r="B65" s="3" t="n">
        <v>0</v>
      </c>
      <c r="C65" s="40" t="n">
        <v>18</v>
      </c>
      <c r="D65" s="31" t="n">
        <v>0</v>
      </c>
      <c r="E65" s="7" t="n">
        <v>0</v>
      </c>
      <c r="F65" s="7" t="n">
        <v>0</v>
      </c>
      <c r="G65" s="7" t="n">
        <v>0</v>
      </c>
      <c r="H65" s="40" t="n">
        <v>38.12813673661788</v>
      </c>
      <c r="I65" s="31" t="n">
        <v>-1.85422783047359</v>
      </c>
      <c r="J65" s="7" t="n">
        <v>-1.795895986751152</v>
      </c>
      <c r="K65" s="7" t="n">
        <v>-2.060407272827845</v>
      </c>
      <c r="L65" s="7" t="n">
        <v>-2.858753141224774</v>
      </c>
      <c r="M65" s="40" t="n">
        <v>-4.245773212670201</v>
      </c>
      <c r="N65" s="31" t="n">
        <v>-3.941852678554596</v>
      </c>
      <c r="O65" s="7" t="n">
        <v>-3.450952091847967</v>
      </c>
      <c r="P65" s="40" t="n">
        <v>65.57886597938143</v>
      </c>
      <c r="Q65" s="31" t="n">
        <v>0</v>
      </c>
      <c r="R65" s="7" t="n">
        <v>0</v>
      </c>
      <c r="S65" s="7" t="n">
        <v>0</v>
      </c>
      <c r="T65" s="7" t="n">
        <v>0</v>
      </c>
      <c r="U65" s="40" t="n">
        <v>11</v>
      </c>
      <c r="V65" s="31" t="n">
        <v>0</v>
      </c>
      <c r="W65" s="7" t="n">
        <v>0</v>
      </c>
      <c r="X65" s="7" t="n">
        <v>0</v>
      </c>
      <c r="Y65" s="7" t="n">
        <v>0</v>
      </c>
      <c r="Z65" s="40" t="n">
        <v>9.233220739102187</v>
      </c>
      <c r="AA65" s="31" t="n">
        <v>0.3984804002055657</v>
      </c>
      <c r="AB65" s="7" t="n">
        <v>0.4402666755191724</v>
      </c>
      <c r="AC65" s="7" t="n">
        <v>0.4681472180402295</v>
      </c>
      <c r="AD65" s="7" t="n">
        <v>0.6929471279005313</v>
      </c>
      <c r="AE65" s="9" t="n">
        <v>9.056197008545723</v>
      </c>
      <c r="AF65" s="7" t="n">
        <v>9.385474440353107</v>
      </c>
      <c r="AG65" s="7" t="n">
        <v>8.947539802162623</v>
      </c>
      <c r="AH65" s="40" t="n">
        <v>4.230229341122441</v>
      </c>
      <c r="AI65" s="31" t="n">
        <v>0.0607374469239188</v>
      </c>
      <c r="AJ65" s="7" t="n">
        <v>0.07574698087561815</v>
      </c>
      <c r="AK65" s="7" t="n">
        <v>0.07542938856638859</v>
      </c>
      <c r="AL65" s="7" t="n">
        <v>0.1190418615418389</v>
      </c>
      <c r="AM65" s="40" t="n">
        <v>0.5171926584755426</v>
      </c>
      <c r="AN65" s="31" t="n">
        <v>-0.01775287762974753</v>
      </c>
      <c r="AO65" s="7" t="n">
        <v>0.06200361081399938</v>
      </c>
      <c r="AP65" s="7" t="n">
        <v>0.01843290437732087</v>
      </c>
      <c r="AQ65" s="7" t="n">
        <v>0.1088928624313226</v>
      </c>
      <c r="AR65" s="40" t="n">
        <v>41.3437241896661</v>
      </c>
      <c r="AS65" s="31" t="n">
        <v>-0.9934997774396521</v>
      </c>
      <c r="AT65" s="7" t="n">
        <v>-0.6348715654064279</v>
      </c>
      <c r="AU65" s="7" t="n">
        <v>-0.9502502330948417</v>
      </c>
      <c r="AV65" s="7" t="n">
        <v>-0.8832722889577056</v>
      </c>
      <c r="AW65" s="40" t="n">
        <v>40.47532912985982</v>
      </c>
      <c r="AX65" s="31" t="n">
        <v>-0.6077641501841811</v>
      </c>
      <c r="AY65" s="7" t="n">
        <v>-0.6712742379652958</v>
      </c>
      <c r="AZ65" s="7" t="n">
        <v>-0.7148554814182901</v>
      </c>
      <c r="BA65" s="7" t="n">
        <v>-1.096011594970093</v>
      </c>
      <c r="BB65" s="40" t="n">
        <v>135.5174028123871</v>
      </c>
      <c r="BC65" s="31" t="n">
        <v>0</v>
      </c>
      <c r="BD65" s="7" t="n">
        <v>0</v>
      </c>
      <c r="BE65" s="7" t="n">
        <v>0</v>
      </c>
      <c r="BF65" s="7" t="n">
        <v>0</v>
      </c>
      <c r="BG65" s="40" t="n">
        <v>6.608928095913011</v>
      </c>
      <c r="BH65" s="31" t="n">
        <v>0</v>
      </c>
      <c r="BI65" s="7" t="n">
        <v>0</v>
      </c>
      <c r="BJ65" s="7" t="n">
        <v>0</v>
      </c>
      <c r="BK65" s="7" t="n">
        <v>0</v>
      </c>
      <c r="BL65" s="40" t="n">
        <v>2.3</v>
      </c>
      <c r="BM65" s="40" t="n">
        <v>0</v>
      </c>
      <c r="BN65" s="40" t="n">
        <v>0</v>
      </c>
      <c r="BO65" s="40" t="n">
        <v>0</v>
      </c>
      <c r="BP65" s="40" t="n">
        <v>0</v>
      </c>
      <c r="BQ65" s="40" t="n">
        <v>66.19163249971766</v>
      </c>
      <c r="BR65" s="31" t="n">
        <v>-2.05666702560427</v>
      </c>
      <c r="BS65" s="7" t="n">
        <v>-1.408639392257662</v>
      </c>
      <c r="BT65" s="7" t="n">
        <v>-2.012031455805683</v>
      </c>
      <c r="BU65" s="7" t="n">
        <v>-2.086633455166222</v>
      </c>
      <c r="BV65" s="40" t="n">
        <v>-2.144850659088619</v>
      </c>
      <c r="BW65" s="31" t="n">
        <v>-5.084494254123054</v>
      </c>
      <c r="BX65" s="7" t="n">
        <v>-4.80754695460527</v>
      </c>
      <c r="BY65" s="7" t="n">
        <v>-5.589136662101817</v>
      </c>
      <c r="BZ65" s="7" t="n">
        <v>-7.740036233352506</v>
      </c>
      <c r="CA65" s="40" t="n">
        <v>6.418121880960144</v>
      </c>
      <c r="CB65" s="31" t="n">
        <v>0.6734473319912606</v>
      </c>
      <c r="CC65" s="7" t="n">
        <v>0.6877059723547254</v>
      </c>
      <c r="CD65" s="7" t="n">
        <v>0.7631344254212529</v>
      </c>
      <c r="CE65" s="7" t="n">
        <v>1.075828319184176</v>
      </c>
    </row>
    <row r="66">
      <c r="A66" s="254" t="n">
        <v>43831</v>
      </c>
      <c r="B66" s="3" t="n">
        <v>0</v>
      </c>
      <c r="C66" s="40" t="n">
        <v>18</v>
      </c>
      <c r="D66" s="31" t="n">
        <v>0</v>
      </c>
      <c r="E66" s="7" t="n">
        <v>0</v>
      </c>
      <c r="F66" s="7" t="n">
        <v>0</v>
      </c>
      <c r="G66" s="7" t="n">
        <v>0</v>
      </c>
      <c r="H66" s="40" t="n">
        <v>37.65429182261176</v>
      </c>
      <c r="I66" s="31" t="n">
        <v>-1.868624801982115</v>
      </c>
      <c r="J66" s="7" t="n">
        <v>-1.828020644552431</v>
      </c>
      <c r="K66" s="7" t="n">
        <v>-2.085278190146177</v>
      </c>
      <c r="L66" s="7" t="n">
        <v>-2.924986515768154</v>
      </c>
      <c r="M66" s="40" t="n">
        <v>-4.387237517205676</v>
      </c>
      <c r="N66" s="31" t="n">
        <v>-4.103110391577275</v>
      </c>
      <c r="O66" s="7" t="n">
        <v>-3.684088446673817</v>
      </c>
      <c r="P66" s="40" t="n">
        <v>65.57886597938143</v>
      </c>
      <c r="Q66" s="31" t="n">
        <v>0</v>
      </c>
      <c r="R66" s="7" t="n">
        <v>0</v>
      </c>
      <c r="S66" s="7" t="n">
        <v>0</v>
      </c>
      <c r="T66" s="7" t="n">
        <v>0</v>
      </c>
      <c r="U66" s="40" t="n">
        <v>11</v>
      </c>
      <c r="V66" s="31" t="n">
        <v>0</v>
      </c>
      <c r="W66" s="7" t="n">
        <v>0</v>
      </c>
      <c r="X66" s="7" t="n">
        <v>0</v>
      </c>
      <c r="Y66" s="7" t="n">
        <v>0</v>
      </c>
      <c r="Z66" s="40" t="n">
        <v>9.303954432849174</v>
      </c>
      <c r="AA66" s="31" t="n">
        <v>0.3557442224299923</v>
      </c>
      <c r="AB66" s="7" t="n">
        <v>0.4159697896924435</v>
      </c>
      <c r="AC66" s="7" t="n">
        <v>0.4288142429074231</v>
      </c>
      <c r="AD66" s="7" t="n">
        <v>0.6570820025980293</v>
      </c>
      <c r="AE66" s="9" t="n">
        <v>8.590422128459068</v>
      </c>
      <c r="AF66" s="7" t="n">
        <v>9.175083620358294</v>
      </c>
      <c r="AG66" s="7" t="n">
        <v>9.010400890550462</v>
      </c>
      <c r="AH66" s="40" t="n">
        <v>4.237458660751262</v>
      </c>
      <c r="AI66" s="31" t="n">
        <v>0.0487399852939534</v>
      </c>
      <c r="AJ66" s="7" t="n">
        <v>0.06754445849161739</v>
      </c>
      <c r="AK66" s="7" t="n">
        <v>0.06372196297630417</v>
      </c>
      <c r="AL66" s="7" t="n">
        <v>0.106620968557813</v>
      </c>
      <c r="AM66" s="40" t="n">
        <v>0.4971314081812302</v>
      </c>
      <c r="AN66" s="31" t="n">
        <v>-0.0461068122472707</v>
      </c>
      <c r="AO66" s="7" t="n">
        <v>0.0266419853803688</v>
      </c>
      <c r="AP66" s="7" t="n">
        <v>-0.01712924862049131</v>
      </c>
      <c r="AQ66" s="7" t="n">
        <v>0.05626645801182734</v>
      </c>
      <c r="AR66" s="40" t="n">
        <v>41.04590482365478</v>
      </c>
      <c r="AS66" s="31" t="n">
        <v>-1.085845789399364</v>
      </c>
      <c r="AT66" s="7" t="n">
        <v>-0.8003278404836109</v>
      </c>
      <c r="AU66" s="7" t="n">
        <v>-1.089351707754567</v>
      </c>
      <c r="AV66" s="7" t="n">
        <v>-1.160176729783558</v>
      </c>
      <c r="AW66" s="40" t="n">
        <v>40.32225194266555</v>
      </c>
      <c r="AX66" s="31" t="n">
        <v>-0.6017392954820195</v>
      </c>
      <c r="AY66" s="7" t="n">
        <v>-0.6485835142816363</v>
      </c>
      <c r="AZ66" s="7" t="n">
        <v>-0.7001141091212446</v>
      </c>
      <c r="BA66" s="7" t="n">
        <v>-1.068690839386484</v>
      </c>
      <c r="BB66" s="40" t="n">
        <v>135.5174028123871</v>
      </c>
      <c r="BC66" s="31" t="n">
        <v>0</v>
      </c>
      <c r="BD66" s="7" t="n">
        <v>0</v>
      </c>
      <c r="BE66" s="7" t="n">
        <v>0</v>
      </c>
      <c r="BF66" s="7" t="n">
        <v>0</v>
      </c>
      <c r="BG66" s="40" t="n">
        <v>6.608928095913011</v>
      </c>
      <c r="BH66" s="31" t="n">
        <v>0</v>
      </c>
      <c r="BI66" s="7" t="n">
        <v>0</v>
      </c>
      <c r="BJ66" s="7" t="n">
        <v>0</v>
      </c>
      <c r="BK66" s="7" t="n">
        <v>0</v>
      </c>
      <c r="BL66" s="40" t="n">
        <v>2.3</v>
      </c>
      <c r="BM66" s="40" t="n">
        <v>0</v>
      </c>
      <c r="BN66" s="40" t="n">
        <v>0</v>
      </c>
      <c r="BO66" s="40" t="n">
        <v>0</v>
      </c>
      <c r="BP66" s="40" t="n">
        <v>0</v>
      </c>
      <c r="BQ66" s="40" t="n">
        <v>65.5320197652203</v>
      </c>
      <c r="BR66" s="31" t="n">
        <v>-2.30035938061927</v>
      </c>
      <c r="BS66" s="7" t="n">
        <v>-1.722929929232194</v>
      </c>
      <c r="BT66" s="7" t="n">
        <v>-2.319484342238624</v>
      </c>
      <c r="BU66" s="7" t="n">
        <v>-2.612343668833475</v>
      </c>
      <c r="BV66" s="40" t="n">
        <v>-3.481953973510816</v>
      </c>
      <c r="BW66" s="31" t="n">
        <v>-5.204069142899066</v>
      </c>
      <c r="BX66" s="7" t="n">
        <v>-4.934897579617113</v>
      </c>
      <c r="BY66" s="7" t="n">
        <v>-5.724353237872696</v>
      </c>
      <c r="BZ66" s="7" t="n">
        <v>-7.965146508259832</v>
      </c>
      <c r="CA66" s="40" t="n">
        <v>6.508781278216074</v>
      </c>
      <c r="CB66" s="31" t="n">
        <v>0.5680936371479497</v>
      </c>
      <c r="CC66" s="7" t="n">
        <v>0.6588621001598667</v>
      </c>
      <c r="CD66" s="7" t="n">
        <v>0.6818673295885018</v>
      </c>
      <c r="CE66" s="7" t="n">
        <v>1.006841086354463</v>
      </c>
    </row>
    <row r="67">
      <c r="A67" s="254" t="n">
        <v>43922</v>
      </c>
      <c r="B67" s="3" t="n">
        <v>0</v>
      </c>
      <c r="C67" s="40" t="n">
        <v>18</v>
      </c>
      <c r="D67" s="31" t="n">
        <v>0</v>
      </c>
      <c r="E67" s="7" t="n">
        <v>0</v>
      </c>
      <c r="F67" s="7" t="n">
        <v>0</v>
      </c>
      <c r="G67" s="7" t="n">
        <v>0</v>
      </c>
      <c r="H67" s="40" t="n">
        <v>37.16939944775483</v>
      </c>
      <c r="I67" s="31" t="n">
        <v>-1.891012661011686</v>
      </c>
      <c r="J67" s="7" t="n">
        <v>-1.855524022851974</v>
      </c>
      <c r="K67" s="7" t="n">
        <v>-2.113165403865004</v>
      </c>
      <c r="L67" s="7" t="n">
        <v>-2.984388414308953</v>
      </c>
      <c r="M67" s="40" t="n">
        <v>-4.550489657691969</v>
      </c>
      <c r="N67" s="31" t="n">
        <v>-4.262195209411402</v>
      </c>
      <c r="O67" s="7" t="n">
        <v>-3.894868685121688</v>
      </c>
      <c r="P67" s="40" t="n">
        <v>65.57886597938143</v>
      </c>
      <c r="Q67" s="31" t="n">
        <v>0</v>
      </c>
      <c r="R67" s="7" t="n">
        <v>0</v>
      </c>
      <c r="S67" s="7" t="n">
        <v>0</v>
      </c>
      <c r="T67" s="7" t="n">
        <v>0</v>
      </c>
      <c r="U67" s="40" t="n">
        <v>11</v>
      </c>
      <c r="V67" s="31" t="n">
        <v>0</v>
      </c>
      <c r="W67" s="7" t="n">
        <v>0</v>
      </c>
      <c r="X67" s="7" t="n">
        <v>0</v>
      </c>
      <c r="Y67" s="7" t="n">
        <v>0</v>
      </c>
      <c r="Z67" s="40" t="n">
        <v>9.360833905721654</v>
      </c>
      <c r="AA67" s="31" t="n">
        <v>0.3070390595158035</v>
      </c>
      <c r="AB67" s="7" t="n">
        <v>0.3834334241679569</v>
      </c>
      <c r="AC67" s="7" t="n">
        <v>0.3817012683567906</v>
      </c>
      <c r="AD67" s="7" t="n">
        <v>0.6083968204988821</v>
      </c>
      <c r="AE67" s="9" t="n">
        <v>8.042863400102988</v>
      </c>
      <c r="AF67" s="7" t="n">
        <v>8.850108735949959</v>
      </c>
      <c r="AG67" s="7" t="n">
        <v>8.956475703442152</v>
      </c>
      <c r="AH67" s="40" t="n">
        <v>4.240900787735851</v>
      </c>
      <c r="AI67" s="31" t="n">
        <v>0.03538285249251061</v>
      </c>
      <c r="AJ67" s="7" t="n">
        <v>0.0575684692993228</v>
      </c>
      <c r="AK67" s="7" t="n">
        <v>0.05027797533798939</v>
      </c>
      <c r="AL67" s="7" t="n">
        <v>0.09133364072906502</v>
      </c>
      <c r="AM67" s="40" t="n">
        <v>0.5052428105588206</v>
      </c>
      <c r="AN67" s="31" t="n">
        <v>-0.03668558564892799</v>
      </c>
      <c r="AO67" s="7" t="n">
        <v>0.01040601869479213</v>
      </c>
      <c r="AP67" s="7" t="n">
        <v>-0.01567834258799317</v>
      </c>
      <c r="AQ67" s="7" t="n">
        <v>0.03858004212377214</v>
      </c>
      <c r="AR67" s="40" t="n">
        <v>40.73508319680347</v>
      </c>
      <c r="AS67" s="31" t="n">
        <v>-1.15707025657801</v>
      </c>
      <c r="AT67" s="7" t="n">
        <v>-0.9349512666053919</v>
      </c>
      <c r="AU67" s="7" t="n">
        <v>-1.20009137448497</v>
      </c>
      <c r="AV67" s="7" t="n">
        <v>-1.392303053199335</v>
      </c>
      <c r="AW67" s="40" t="n">
        <v>40.15873135531729</v>
      </c>
      <c r="AX67" s="31" t="n">
        <v>-0.6131270062907035</v>
      </c>
      <c r="AY67" s="7" t="n">
        <v>-0.6357423778262437</v>
      </c>
      <c r="AZ67" s="7" t="n">
        <v>-0.7014888178990901</v>
      </c>
      <c r="BA67" s="7" t="n">
        <v>-1.055782897471332</v>
      </c>
      <c r="BB67" s="40" t="n">
        <v>135.5174028123871</v>
      </c>
      <c r="BC67" s="31" t="n">
        <v>0</v>
      </c>
      <c r="BD67" s="7" t="n">
        <v>0</v>
      </c>
      <c r="BE67" s="7" t="n">
        <v>0</v>
      </c>
      <c r="BF67" s="7" t="n">
        <v>0</v>
      </c>
      <c r="BG67" s="40" t="n">
        <v>6.608928095913011</v>
      </c>
      <c r="BH67" s="31" t="n">
        <v>0</v>
      </c>
      <c r="BI67" s="7" t="n">
        <v>0</v>
      </c>
      <c r="BJ67" s="7" t="n">
        <v>0</v>
      </c>
      <c r="BK67" s="7" t="n">
        <v>0</v>
      </c>
      <c r="BL67" s="40" t="n">
        <v>2.3</v>
      </c>
      <c r="BM67" s="40" t="n">
        <v>0</v>
      </c>
      <c r="BN67" s="40" t="n">
        <v>0</v>
      </c>
      <c r="BO67" s="40" t="n">
        <v>0</v>
      </c>
      <c r="BP67" s="40" t="n">
        <v>0</v>
      </c>
      <c r="BQ67" s="40" t="n">
        <v>64.82006396360292</v>
      </c>
      <c r="BR67" s="31" t="n">
        <v>-2.52637477260707</v>
      </c>
      <c r="BS67" s="7" t="n">
        <v>-2.00622010613052</v>
      </c>
      <c r="BT67" s="7" t="n">
        <v>-2.600707661547958</v>
      </c>
      <c r="BU67" s="7" t="n">
        <v>-3.092537534686244</v>
      </c>
      <c r="BV67" s="40" t="n">
        <v>-4.818299651330035</v>
      </c>
      <c r="BW67" s="31" t="n">
        <v>-5.285036979707874</v>
      </c>
      <c r="BX67" s="7" t="n">
        <v>-5.044532543401496</v>
      </c>
      <c r="BY67" s="7" t="n">
        <v>-5.826974520787637</v>
      </c>
      <c r="BZ67" s="7" t="n">
        <v>-8.145344924578424</v>
      </c>
      <c r="CA67" s="40" t="n">
        <v>6.55054074719369</v>
      </c>
      <c r="CB67" s="31" t="n">
        <v>0.4255662114293299</v>
      </c>
      <c r="CC67" s="7" t="n">
        <v>0.5949383165417732</v>
      </c>
      <c r="CD67" s="7" t="n">
        <v>0.5589112735261503</v>
      </c>
      <c r="CE67" s="7" t="n">
        <v>0.8946517530750775</v>
      </c>
    </row>
    <row r="68">
      <c r="A68" s="254" t="n">
        <v>44013</v>
      </c>
      <c r="B68" s="3" t="n">
        <v>0</v>
      </c>
      <c r="C68" s="40" t="n">
        <v>18</v>
      </c>
      <c r="D68" s="31" t="n">
        <v>0</v>
      </c>
      <c r="E68" s="7" t="n">
        <v>0</v>
      </c>
      <c r="F68" s="7" t="n">
        <v>0</v>
      </c>
      <c r="G68" s="7" t="n">
        <v>0</v>
      </c>
      <c r="H68" s="40" t="n">
        <v>36.66905521227579</v>
      </c>
      <c r="I68" s="31" t="n">
        <v>-1.926749646852436</v>
      </c>
      <c r="J68" s="7" t="n">
        <v>-1.883544694207181</v>
      </c>
      <c r="K68" s="7" t="n">
        <v>-2.149628633631046</v>
      </c>
      <c r="L68" s="7" t="n">
        <v>-3.044522153990137</v>
      </c>
      <c r="M68" s="40" t="n">
        <v>-4.744397787620983</v>
      </c>
      <c r="N68" s="31" t="n">
        <v>-4.428437734493173</v>
      </c>
      <c r="O68" s="7" t="n">
        <v>-4.092745703670441</v>
      </c>
      <c r="P68" s="40" t="n">
        <v>65.57886597938143</v>
      </c>
      <c r="Q68" s="31" t="n">
        <v>0</v>
      </c>
      <c r="R68" s="7" t="n">
        <v>0</v>
      </c>
      <c r="S68" s="7" t="n">
        <v>0</v>
      </c>
      <c r="T68" s="7" t="n">
        <v>0</v>
      </c>
      <c r="U68" s="40" t="n">
        <v>11</v>
      </c>
      <c r="V68" s="31" t="n">
        <v>0</v>
      </c>
      <c r="W68" s="7" t="n">
        <v>0</v>
      </c>
      <c r="X68" s="7" t="n">
        <v>0</v>
      </c>
      <c r="Y68" s="7" t="n">
        <v>0</v>
      </c>
      <c r="Z68" s="40" t="n">
        <v>9.403807416937807</v>
      </c>
      <c r="AA68" s="31" t="n">
        <v>0.254419210116712</v>
      </c>
      <c r="AB68" s="7" t="n">
        <v>0.3440110748493801</v>
      </c>
      <c r="AC68" s="7" t="n">
        <v>0.3288164235309559</v>
      </c>
      <c r="AD68" s="7" t="n">
        <v>0.5490306224731007</v>
      </c>
      <c r="AE68" s="9" t="n">
        <v>7.440533456186586</v>
      </c>
      <c r="AF68" s="7" t="n">
        <v>8.429246117919149</v>
      </c>
      <c r="AG68" s="7" t="n">
        <v>8.791910153185919</v>
      </c>
      <c r="AH68" s="40" t="n">
        <v>4.240373685303261</v>
      </c>
      <c r="AI68" s="31" t="n">
        <v>0.02089896419106019</v>
      </c>
      <c r="AJ68" s="7" t="n">
        <v>0.04602313157132354</v>
      </c>
      <c r="AK68" s="7" t="n">
        <v>0.03535875558056922</v>
      </c>
      <c r="AL68" s="7" t="n">
        <v>0.07350183294956025</v>
      </c>
      <c r="AM68" s="40" t="n">
        <v>0.4015941288471122</v>
      </c>
      <c r="AN68" s="31" t="n">
        <v>-0.1311521921076467</v>
      </c>
      <c r="AO68" s="7" t="n">
        <v>-0.05708089140254521</v>
      </c>
      <c r="AP68" s="7" t="n">
        <v>-0.1219285289733997</v>
      </c>
      <c r="AQ68" s="7" t="n">
        <v>-0.08525073476018596</v>
      </c>
      <c r="AR68" s="40" t="n">
        <v>40.41072256857177</v>
      </c>
      <c r="AS68" s="31" t="n">
        <v>-1.216494612301396</v>
      </c>
      <c r="AT68" s="7" t="n">
        <v>-1.043857021993023</v>
      </c>
      <c r="AU68" s="7" t="n">
        <v>-1.290714186065316</v>
      </c>
      <c r="AV68" s="7" t="n">
        <v>-1.587058404534851</v>
      </c>
      <c r="AW68" s="40" t="n">
        <v>39.97980840451561</v>
      </c>
      <c r="AX68" s="31" t="n">
        <v>-0.6437948578973831</v>
      </c>
      <c r="AY68" s="7" t="n">
        <v>-0.6358048277538657</v>
      </c>
      <c r="AZ68" s="7" t="n">
        <v>-0.7214761742442164</v>
      </c>
      <c r="BA68" s="7" t="n">
        <v>-1.061942085341258</v>
      </c>
      <c r="BB68" s="40" t="n">
        <v>135.5174028123871</v>
      </c>
      <c r="BC68" s="31" t="n">
        <v>0</v>
      </c>
      <c r="BD68" s="7" t="n">
        <v>0</v>
      </c>
      <c r="BE68" s="7" t="n">
        <v>0</v>
      </c>
      <c r="BF68" s="7" t="n">
        <v>0</v>
      </c>
      <c r="BG68" s="40" t="n">
        <v>6.608928095913011</v>
      </c>
      <c r="BH68" s="31" t="n">
        <v>0</v>
      </c>
      <c r="BI68" s="7" t="n">
        <v>0</v>
      </c>
      <c r="BJ68" s="7" t="n">
        <v>0</v>
      </c>
      <c r="BK68" s="7" t="n">
        <v>0</v>
      </c>
      <c r="BL68" s="40" t="n">
        <v>2.3</v>
      </c>
      <c r="BM68" s="40" t="n">
        <v>0</v>
      </c>
      <c r="BN68" s="40" t="n">
        <v>0</v>
      </c>
      <c r="BO68" s="40" t="n">
        <v>0</v>
      </c>
      <c r="BP68" s="40" t="n">
        <v>0</v>
      </c>
      <c r="BQ68" s="40" t="n">
        <v>64.054350931797</v>
      </c>
      <c r="BR68" s="31" t="n">
        <v>-2.743301075999497</v>
      </c>
      <c r="BS68" s="7" t="n">
        <v>-2.265448106720058</v>
      </c>
      <c r="BT68" s="7" t="n">
        <v>-2.864865666821245</v>
      </c>
      <c r="BU68" s="7" t="n">
        <v>-3.536242313122187</v>
      </c>
      <c r="BV68" s="40" t="n">
        <v>-6.131063811933276</v>
      </c>
      <c r="BW68" s="31" t="n">
        <v>-5.306241733919854</v>
      </c>
      <c r="BX68" s="7" t="n">
        <v>-5.126413974966736</v>
      </c>
      <c r="BY68" s="7" t="n">
        <v>-5.878605545540505</v>
      </c>
      <c r="BZ68" s="7" t="n">
        <v>-8.265880392794299</v>
      </c>
      <c r="CA68" s="40" t="n">
        <v>6.536162517137575</v>
      </c>
      <c r="CB68" s="31" t="n">
        <v>0.2489087117464956</v>
      </c>
      <c r="CC68" s="7" t="n">
        <v>0.4941422661380361</v>
      </c>
      <c r="CD68" s="7" t="n">
        <v>0.3957984643345931</v>
      </c>
      <c r="CE68" s="7" t="n">
        <v>0.7336559718048639</v>
      </c>
    </row>
    <row r="69">
      <c r="A69" s="254" t="n">
        <v>44105</v>
      </c>
      <c r="B69" s="3" t="n">
        <v>0</v>
      </c>
      <c r="C69" s="40" t="n">
        <v>18</v>
      </c>
      <c r="D69" s="31" t="n">
        <v>0</v>
      </c>
      <c r="E69" s="7" t="n">
        <v>0</v>
      </c>
      <c r="F69" s="7" t="n">
        <v>0</v>
      </c>
      <c r="G69" s="7" t="n">
        <v>0</v>
      </c>
      <c r="H69" s="40" t="n">
        <v>36.15077639588181</v>
      </c>
      <c r="I69" s="31" t="n">
        <v>-1.977360340736077</v>
      </c>
      <c r="J69" s="7" t="n">
        <v>-1.915794085604833</v>
      </c>
      <c r="K69" s="7" t="n">
        <v>-2.197021276473237</v>
      </c>
      <c r="L69" s="7" t="n">
        <v>-3.10999321202037</v>
      </c>
      <c r="M69" s="40" t="n">
        <v>-4.968361940914065</v>
      </c>
      <c r="N69" s="31" t="n">
        <v>-4.607067576792133</v>
      </c>
      <c r="O69" s="7" t="n">
        <v>-4.284022432674419</v>
      </c>
      <c r="P69" s="40" t="n">
        <v>65.57886597938143</v>
      </c>
      <c r="Q69" s="31" t="n">
        <v>0</v>
      </c>
      <c r="R69" s="7" t="n">
        <v>0</v>
      </c>
      <c r="S69" s="7" t="n">
        <v>0</v>
      </c>
      <c r="T69" s="7" t="n">
        <v>0</v>
      </c>
      <c r="U69" s="40" t="n">
        <v>11</v>
      </c>
      <c r="V69" s="31" t="n">
        <v>0</v>
      </c>
      <c r="W69" s="7" t="n">
        <v>0</v>
      </c>
      <c r="X69" s="7" t="n">
        <v>0</v>
      </c>
      <c r="Y69" s="7" t="n">
        <v>0</v>
      </c>
      <c r="Z69" s="40" t="n">
        <v>9.4335974949499</v>
      </c>
      <c r="AA69" s="31" t="n">
        <v>0.2003767558477136</v>
      </c>
      <c r="AB69" s="7" t="n">
        <v>0.2994285780266397</v>
      </c>
      <c r="AC69" s="7" t="n">
        <v>0.2726037328307047</v>
      </c>
      <c r="AD69" s="7" t="n">
        <v>0.4817304396910274</v>
      </c>
      <c r="AE69" s="9" t="n">
        <v>6.814744497791366</v>
      </c>
      <c r="AF69" s="7" t="n">
        <v>7.935470753168545</v>
      </c>
      <c r="AG69" s="7" t="n">
        <v>8.528564459499194</v>
      </c>
      <c r="AH69" s="40" t="n">
        <v>4.235798930764363</v>
      </c>
      <c r="AI69" s="31" t="n">
        <v>0.005569589641922335</v>
      </c>
      <c r="AJ69" s="7" t="n">
        <v>0.03315351828292057</v>
      </c>
      <c r="AK69" s="7" t="n">
        <v>0.01927821814884023</v>
      </c>
      <c r="AL69" s="7" t="n">
        <v>0.05351875615092716</v>
      </c>
      <c r="AM69" s="40" t="n">
        <v>0.3982165784839825</v>
      </c>
      <c r="AN69" s="31" t="n">
        <v>-0.1189760799915601</v>
      </c>
      <c r="AO69" s="7" t="n">
        <v>-0.06836447881065383</v>
      </c>
      <c r="AP69" s="7" t="n">
        <v>-0.111035856485893</v>
      </c>
      <c r="AQ69" s="7" t="n">
        <v>-0.09438667475339074</v>
      </c>
      <c r="AR69" s="40" t="n">
        <v>40.07085392786819</v>
      </c>
      <c r="AS69" s="31" t="n">
        <v>-1.27287026179792</v>
      </c>
      <c r="AT69" s="7" t="n">
        <v>-1.133185019618786</v>
      </c>
      <c r="AU69" s="7" t="n">
        <v>-1.369618571270649</v>
      </c>
      <c r="AV69" s="7" t="n">
        <v>-1.753081918863792</v>
      </c>
      <c r="AW69" s="40" t="n">
        <v>39.78271918659128</v>
      </c>
      <c r="AX69" s="31" t="n">
        <v>-0.6926099432685433</v>
      </c>
      <c r="AY69" s="7" t="n">
        <v>-0.6501870467263622</v>
      </c>
      <c r="AZ69" s="7" t="n">
        <v>-0.7596141852300775</v>
      </c>
      <c r="BA69" s="7" t="n">
        <v>-1.088747290290655</v>
      </c>
      <c r="BB69" s="40" t="n">
        <v>135.5174028123871</v>
      </c>
      <c r="BC69" s="31" t="n">
        <v>0</v>
      </c>
      <c r="BD69" s="7" t="n">
        <v>0</v>
      </c>
      <c r="BE69" s="7" t="n">
        <v>0</v>
      </c>
      <c r="BF69" s="7" t="n">
        <v>0</v>
      </c>
      <c r="BG69" s="40" t="n">
        <v>6.608928095913011</v>
      </c>
      <c r="BH69" s="31" t="n">
        <v>0</v>
      </c>
      <c r="BI69" s="7" t="n">
        <v>0</v>
      </c>
      <c r="BJ69" s="7" t="n">
        <v>0</v>
      </c>
      <c r="BK69" s="7" t="n">
        <v>0</v>
      </c>
      <c r="BL69" s="40" t="n">
        <v>2.3</v>
      </c>
      <c r="BM69" s="40" t="n">
        <v>0</v>
      </c>
      <c r="BN69" s="40" t="n">
        <v>0</v>
      </c>
      <c r="BO69" s="40" t="n">
        <v>0</v>
      </c>
      <c r="BP69" s="40" t="n">
        <v>0</v>
      </c>
      <c r="BQ69" s="40" t="n">
        <v>63.23215589534044</v>
      </c>
      <c r="BR69" s="31" t="n">
        <v>-2.959476604377215</v>
      </c>
      <c r="BS69" s="7" t="n">
        <v>-2.508071814990743</v>
      </c>
      <c r="BT69" s="7" t="n">
        <v>-3.120698676597797</v>
      </c>
      <c r="BU69" s="7" t="n">
        <v>-3.953459005036606</v>
      </c>
      <c r="BV69" s="40" t="n">
        <v>-7.395350859827364</v>
      </c>
      <c r="BW69" s="31" t="n">
        <v>-5.250500200738744</v>
      </c>
      <c r="BX69" s="7" t="n">
        <v>-5.167497227430899</v>
      </c>
      <c r="BY69" s="7" t="n">
        <v>-5.861289099692908</v>
      </c>
      <c r="BZ69" s="7" t="n">
        <v>-8.310194187180933</v>
      </c>
      <c r="CA69" s="40" t="n">
        <v>6.462411741102474</v>
      </c>
      <c r="CB69" s="31" t="n">
        <v>0.04428986014232983</v>
      </c>
      <c r="CC69" s="7" t="n">
        <v>0.3588685960667952</v>
      </c>
      <c r="CD69" s="7" t="n">
        <v>0.198512121764983</v>
      </c>
      <c r="CE69" s="7" t="n">
        <v>0.5246195687842556</v>
      </c>
    </row>
    <row r="70">
      <c r="A70" s="254" t="n">
        <v>44197</v>
      </c>
      <c r="B70" s="3" t="n">
        <v>0</v>
      </c>
      <c r="C70" s="40" t="n">
        <v>18</v>
      </c>
      <c r="D70" s="31" t="n">
        <v>0</v>
      </c>
      <c r="E70" s="7" t="n">
        <v>0</v>
      </c>
      <c r="F70" s="7" t="n">
        <v>0</v>
      </c>
      <c r="G70" s="7" t="n">
        <v>0</v>
      </c>
      <c r="H70" s="40" t="n">
        <v>35.61419581661912</v>
      </c>
      <c r="I70" s="31" t="n">
        <v>-2.040096005992638</v>
      </c>
      <c r="J70" s="7" t="n">
        <v>-1.954360403987376</v>
      </c>
      <c r="K70" s="7" t="n">
        <v>-2.254653334334712</v>
      </c>
      <c r="L70" s="7" t="n">
        <v>-3.182477765096522</v>
      </c>
      <c r="M70" s="40" t="n">
        <v>-5.21126511796615</v>
      </c>
      <c r="N70" s="31" t="n">
        <v>-4.799251317585913</v>
      </c>
      <c r="O70" s="7" t="n">
        <v>-4.472495300373566</v>
      </c>
      <c r="P70" s="40" t="n">
        <v>65.57886597938143</v>
      </c>
      <c r="Q70" s="31" t="n">
        <v>0</v>
      </c>
      <c r="R70" s="7" t="n">
        <v>0</v>
      </c>
      <c r="S70" s="7" t="n">
        <v>0</v>
      </c>
      <c r="T70" s="7" t="n">
        <v>0</v>
      </c>
      <c r="U70" s="40" t="n">
        <v>11</v>
      </c>
      <c r="V70" s="31" t="n">
        <v>0</v>
      </c>
      <c r="W70" s="7" t="n">
        <v>0</v>
      </c>
      <c r="X70" s="7" t="n">
        <v>0</v>
      </c>
      <c r="Y70" s="7" t="n">
        <v>0</v>
      </c>
      <c r="Z70" s="40" t="n">
        <v>9.451650043357276</v>
      </c>
      <c r="AA70" s="31" t="n">
        <v>0.1476956105081015</v>
      </c>
      <c r="AB70" s="7" t="n">
        <v>0.2517199164690469</v>
      </c>
      <c r="AC70" s="7" t="n">
        <v>0.2157991367314196</v>
      </c>
      <c r="AD70" s="7" t="n">
        <v>0.4097071458578956</v>
      </c>
      <c r="AE70" s="9" t="n">
        <v>6.199318409177522</v>
      </c>
      <c r="AF70" s="7" t="n">
        <v>7.394870268818295</v>
      </c>
      <c r="AG70" s="7" t="n">
        <v>8.183161883298036</v>
      </c>
      <c r="AH70" s="40" t="n">
        <v>4.227210220304706</v>
      </c>
      <c r="AI70" s="31" t="n">
        <v>-0.01024844044655637</v>
      </c>
      <c r="AJ70" s="7" t="n">
        <v>0.01924577242369852</v>
      </c>
      <c r="AK70" s="7" t="n">
        <v>0.002401128118451723</v>
      </c>
      <c r="AL70" s="7" t="n">
        <v>0.03184141640850591</v>
      </c>
      <c r="AM70" s="40" t="n">
        <v>0.3946722272103851</v>
      </c>
      <c r="AN70" s="31" t="n">
        <v>-0.1024591809708451</v>
      </c>
      <c r="AO70" s="7" t="n">
        <v>-0.07428299660905791</v>
      </c>
      <c r="AP70" s="7" t="n">
        <v>-0.09748908805682693</v>
      </c>
      <c r="AQ70" s="7" t="n">
        <v>-0.09835028783002481</v>
      </c>
      <c r="AR70" s="40" t="n">
        <v>39.71420081539841</v>
      </c>
      <c r="AS70" s="31" t="n">
        <v>-1.331704008256366</v>
      </c>
      <c r="AT70" s="7" t="n">
        <v>-1.208774898827865</v>
      </c>
      <c r="AU70" s="7" t="n">
        <v>-1.442975428835723</v>
      </c>
      <c r="AV70" s="7" t="n">
        <v>-1.897850581949328</v>
      </c>
      <c r="AW70" s="40" t="n">
        <v>39.56723343111067</v>
      </c>
      <c r="AX70" s="31" t="n">
        <v>-0.7550185115548729</v>
      </c>
      <c r="AY70" s="7" t="n">
        <v>-0.6783789035184462</v>
      </c>
      <c r="AZ70" s="7" t="n">
        <v>-0.8125531790290879</v>
      </c>
      <c r="BA70" s="7" t="n">
        <v>-1.134636510838</v>
      </c>
      <c r="BB70" s="40" t="n">
        <v>135.5174028123871</v>
      </c>
      <c r="BC70" s="31" t="n">
        <v>0</v>
      </c>
      <c r="BD70" s="7" t="n">
        <v>0</v>
      </c>
      <c r="BE70" s="7" t="n">
        <v>0</v>
      </c>
      <c r="BF70" s="7" t="n">
        <v>0</v>
      </c>
      <c r="BG70" s="40" t="n">
        <v>6.608928095913011</v>
      </c>
      <c r="BH70" s="31" t="n">
        <v>0</v>
      </c>
      <c r="BI70" s="7" t="n">
        <v>0</v>
      </c>
      <c r="BJ70" s="7" t="n">
        <v>0</v>
      </c>
      <c r="BK70" s="7" t="n">
        <v>0</v>
      </c>
      <c r="BL70" s="40" t="n">
        <v>2.3</v>
      </c>
      <c r="BM70" s="40" t="n">
        <v>0</v>
      </c>
      <c r="BN70" s="40" t="n">
        <v>0</v>
      </c>
      <c r="BO70" s="40" t="n">
        <v>0</v>
      </c>
      <c r="BP70" s="40" t="n">
        <v>0</v>
      </c>
      <c r="BQ70" s="40" t="n">
        <v>62.35148366455653</v>
      </c>
      <c r="BR70" s="31" t="n">
        <v>-3.180536100663772</v>
      </c>
      <c r="BS70" s="7" t="n">
        <v>-2.740447740641521</v>
      </c>
      <c r="BT70" s="7" t="n">
        <v>-3.374352953634016</v>
      </c>
      <c r="BU70" s="7" t="n">
        <v>-4.352734953412821</v>
      </c>
      <c r="BV70" s="40" t="n">
        <v>-8.586849660926113</v>
      </c>
      <c r="BW70" s="31" t="n">
        <v>-5.104895687415297</v>
      </c>
      <c r="BX70" s="7" t="n">
        <v>-5.154482415157182</v>
      </c>
      <c r="BY70" s="7" t="n">
        <v>-5.760913593933933</v>
      </c>
      <c r="BZ70" s="7" t="n">
        <v>-8.262893479117242</v>
      </c>
      <c r="CA70" s="40" t="n">
        <v>6.332735868642419</v>
      </c>
      <c r="CB70" s="31" t="n">
        <v>-0.1760454095736552</v>
      </c>
      <c r="CC70" s="7" t="n">
        <v>0.1960241137871472</v>
      </c>
      <c r="CD70" s="7" t="n">
        <v>-0.02088089971177087</v>
      </c>
      <c r="CE70" s="7" t="n">
        <v>0.2766352125865517</v>
      </c>
    </row>
    <row r="71">
      <c r="A71" s="254" t="n">
        <v>44287</v>
      </c>
      <c r="B71" s="3" t="n">
        <v>0</v>
      </c>
      <c r="C71" s="40" t="n">
        <v>18</v>
      </c>
      <c r="D71" s="31" t="n">
        <v>0</v>
      </c>
      <c r="E71" s="7" t="n">
        <v>0</v>
      </c>
      <c r="F71" s="7" t="n">
        <v>0</v>
      </c>
      <c r="G71" s="7" t="n">
        <v>0</v>
      </c>
      <c r="H71" s="40" t="n">
        <v>35.06165627653403</v>
      </c>
      <c r="I71" s="31" t="n">
        <v>-2.107743171220804</v>
      </c>
      <c r="J71" s="7" t="n">
        <v>-1.999377916116245</v>
      </c>
      <c r="K71" s="7" t="n">
        <v>-2.318602773422967</v>
      </c>
      <c r="L71" s="7" t="n">
        <v>-3.260339197256819</v>
      </c>
      <c r="M71" s="40" t="n">
        <v>-5.452362656819105</v>
      </c>
      <c r="N71" s="31" t="n">
        <v>-5.001426157255537</v>
      </c>
      <c r="O71" s="7" t="n">
        <v>-4.658917691880636</v>
      </c>
      <c r="P71" s="40" t="n">
        <v>65.57886597938143</v>
      </c>
      <c r="Q71" s="31" t="n">
        <v>0</v>
      </c>
      <c r="R71" s="7" t="n">
        <v>0</v>
      </c>
      <c r="S71" s="7" t="n">
        <v>0</v>
      </c>
      <c r="T71" s="7" t="n">
        <v>0</v>
      </c>
      <c r="U71" s="40" t="n">
        <v>11</v>
      </c>
      <c r="V71" s="31" t="n">
        <v>0</v>
      </c>
      <c r="W71" s="7" t="n">
        <v>0</v>
      </c>
      <c r="X71" s="7" t="n">
        <v>0</v>
      </c>
      <c r="Y71" s="7" t="n">
        <v>0</v>
      </c>
      <c r="Z71" s="40" t="n">
        <v>9.460011494527567</v>
      </c>
      <c r="AA71" s="31" t="n">
        <v>0.09917758880591343</v>
      </c>
      <c r="AB71" s="7" t="n">
        <v>0.2031083241608584</v>
      </c>
      <c r="AC71" s="7" t="n">
        <v>0.1612306087844484</v>
      </c>
      <c r="AD71" s="7" t="n">
        <v>0.3364323312037723</v>
      </c>
      <c r="AE71" s="9" t="n">
        <v>5.627848358723782</v>
      </c>
      <c r="AF71" s="7" t="n">
        <v>6.835355879413385</v>
      </c>
      <c r="AG71" s="7" t="n">
        <v>7.776021943541234</v>
      </c>
      <c r="AH71" s="40" t="n">
        <v>4.214762033702788</v>
      </c>
      <c r="AI71" s="31" t="n">
        <v>-0.02613875403306309</v>
      </c>
      <c r="AJ71" s="7" t="n">
        <v>0.004622049229723757</v>
      </c>
      <c r="AK71" s="7" t="n">
        <v>-0.01485850158939073</v>
      </c>
      <c r="AL71" s="7" t="n">
        <v>0.008989856761864701</v>
      </c>
      <c r="AM71" s="40" t="n">
        <v>0.3909574673186581</v>
      </c>
      <c r="AN71" s="31" t="n">
        <v>-0.1142853432401625</v>
      </c>
      <c r="AO71" s="7" t="n">
        <v>-0.07548546444454524</v>
      </c>
      <c r="AP71" s="7" t="n">
        <v>-0.08263309879628944</v>
      </c>
      <c r="AQ71" s="7" t="n">
        <v>-0.09796711353757609</v>
      </c>
      <c r="AR71" s="40" t="n">
        <v>39.34040020276399</v>
      </c>
      <c r="AS71" s="31" t="n">
        <v>-1.394682994039485</v>
      </c>
      <c r="AT71" s="7" t="n">
        <v>-1.275876625308747</v>
      </c>
      <c r="AU71" s="7" t="n">
        <v>-1.514582316763189</v>
      </c>
      <c r="AV71" s="7" t="n">
        <v>-2.027287887148461</v>
      </c>
      <c r="AW71" s="40" t="n">
        <v>39.33582300655913</v>
      </c>
      <c r="AX71" s="31" t="n">
        <v>-0.8229083487581619</v>
      </c>
      <c r="AY71" s="7" t="n">
        <v>-0.7180176775244327</v>
      </c>
      <c r="AZ71" s="7" t="n">
        <v>-0.8743688777010235</v>
      </c>
      <c r="BA71" s="7" t="n">
        <v>-1.19503147371303</v>
      </c>
      <c r="BB71" s="40" t="n">
        <v>135.5174028123871</v>
      </c>
      <c r="BC71" s="31" t="n">
        <v>0</v>
      </c>
      <c r="BD71" s="7" t="n">
        <v>0</v>
      </c>
      <c r="BE71" s="7" t="n">
        <v>0</v>
      </c>
      <c r="BF71" s="7" t="n">
        <v>0</v>
      </c>
      <c r="BG71" s="40" t="n">
        <v>6.608928095913011</v>
      </c>
      <c r="BH71" s="31" t="n">
        <v>0</v>
      </c>
      <c r="BI71" s="7" t="n">
        <v>0</v>
      </c>
      <c r="BJ71" s="7" t="n">
        <v>0</v>
      </c>
      <c r="BK71" s="7" t="n">
        <v>0</v>
      </c>
      <c r="BL71" s="40" t="n">
        <v>2.3</v>
      </c>
      <c r="BM71" s="40" t="n">
        <v>0</v>
      </c>
      <c r="BN71" s="40" t="n">
        <v>0</v>
      </c>
      <c r="BO71" s="40" t="n">
        <v>0</v>
      </c>
      <c r="BP71" s="40" t="n">
        <v>0</v>
      </c>
      <c r="BQ71" s="40" t="n">
        <v>61.41294236547955</v>
      </c>
      <c r="BR71" s="31" t="n">
        <v>-3.407121598123368</v>
      </c>
      <c r="BS71" s="7" t="n">
        <v>-2.966748185365219</v>
      </c>
      <c r="BT71" s="7" t="n">
        <v>-3.627782317550611</v>
      </c>
      <c r="BU71" s="7" t="n">
        <v>-4.7390765892291</v>
      </c>
      <c r="BV71" s="40" t="n">
        <v>-9.689989597654652</v>
      </c>
      <c r="BW71" s="31" t="n">
        <v>-4.871689946324617</v>
      </c>
      <c r="BX71" s="7" t="n">
        <v>-5.078363463016245</v>
      </c>
      <c r="BY71" s="7" t="n">
        <v>-5.575432926873177</v>
      </c>
      <c r="BZ71" s="7" t="n">
        <v>-8.118142511958322</v>
      </c>
      <c r="CA71" s="40" t="n">
        <v>6.159155780465027</v>
      </c>
      <c r="CB71" s="31" t="n">
        <v>-0.3913849667286629</v>
      </c>
      <c r="CC71" s="7" t="n">
        <v>0.01709062235033354</v>
      </c>
      <c r="CD71" s="7" t="n">
        <v>-0.2434670163359502</v>
      </c>
      <c r="CE71" s="7" t="n">
        <v>0.007915225180321173</v>
      </c>
    </row>
    <row r="72">
      <c r="A72" s="254" t="n">
        <v>44378</v>
      </c>
      <c r="B72" s="3" t="n">
        <v>0</v>
      </c>
      <c r="C72" s="40" t="n">
        <v>18</v>
      </c>
      <c r="D72" s="31" t="n">
        <v>0</v>
      </c>
      <c r="E72" s="7" t="n">
        <v>0</v>
      </c>
      <c r="F72" s="7" t="n">
        <v>0</v>
      </c>
      <c r="G72" s="7" t="n">
        <v>0</v>
      </c>
      <c r="H72" s="40" t="n">
        <v>34.49764774339896</v>
      </c>
      <c r="I72" s="31" t="n">
        <v>-2.171407468876836</v>
      </c>
      <c r="J72" s="7" t="n">
        <v>-2.049078557864636</v>
      </c>
      <c r="K72" s="7" t="n">
        <v>-2.382766827528968</v>
      </c>
      <c r="L72" s="7" t="n">
        <v>-3.339448462314834</v>
      </c>
      <c r="M72" s="40" t="n">
        <v>-5.666800327342571</v>
      </c>
      <c r="N72" s="31" t="n">
        <v>-5.205599057481777</v>
      </c>
      <c r="O72" s="7" t="n">
        <v>-4.841225265442972</v>
      </c>
      <c r="P72" s="40" t="n">
        <v>65.57886597938143</v>
      </c>
      <c r="Q72" s="31" t="n">
        <v>0</v>
      </c>
      <c r="R72" s="7" t="n">
        <v>0</v>
      </c>
      <c r="S72" s="7" t="n">
        <v>0</v>
      </c>
      <c r="T72" s="7" t="n">
        <v>0</v>
      </c>
      <c r="U72" s="40" t="n">
        <v>11</v>
      </c>
      <c r="V72" s="31" t="n">
        <v>0</v>
      </c>
      <c r="W72" s="7" t="n">
        <v>0</v>
      </c>
      <c r="X72" s="7" t="n">
        <v>0</v>
      </c>
      <c r="Y72" s="7" t="n">
        <v>0</v>
      </c>
      <c r="Z72" s="40" t="n">
        <v>9.461130736942833</v>
      </c>
      <c r="AA72" s="31" t="n">
        <v>0.05732332000502538</v>
      </c>
      <c r="AB72" s="7" t="n">
        <v>0.1558712650608687</v>
      </c>
      <c r="AC72" s="7" t="n">
        <v>0.1115727701594995</v>
      </c>
      <c r="AD72" s="7" t="n">
        <v>0.2653812038572188</v>
      </c>
      <c r="AE72" s="9" t="n">
        <v>5.129823152043741</v>
      </c>
      <c r="AF72" s="7" t="n">
        <v>6.285178304115163</v>
      </c>
      <c r="AG72" s="7" t="n">
        <v>7.329438462627347</v>
      </c>
      <c r="AH72" s="40" t="n">
        <v>4.19867292431617</v>
      </c>
      <c r="AI72" s="31" t="n">
        <v>-0.04170076098709075</v>
      </c>
      <c r="AJ72" s="7" t="n">
        <v>-0.01040089839801528</v>
      </c>
      <c r="AK72" s="7" t="n">
        <v>-0.0321031232834379</v>
      </c>
      <c r="AL72" s="7" t="n">
        <v>-0.01451576800521792</v>
      </c>
      <c r="AM72" s="40" t="n">
        <v>0.3870885359321904</v>
      </c>
      <c r="AN72" s="31" t="n">
        <v>-0.01450559291492171</v>
      </c>
      <c r="AO72" s="7" t="n">
        <v>-0.07282889251128419</v>
      </c>
      <c r="AP72" s="7" t="n">
        <v>-0.06763066407162077</v>
      </c>
      <c r="AQ72" s="7" t="n">
        <v>-0.0940466027698289</v>
      </c>
      <c r="AR72" s="40" t="n">
        <v>38.95108596317533</v>
      </c>
      <c r="AS72" s="31" t="n">
        <v>-1.45963660539644</v>
      </c>
      <c r="AT72" s="7" t="n">
        <v>-1.338065608848918</v>
      </c>
      <c r="AU72" s="7" t="n">
        <v>-1.584927400024661</v>
      </c>
      <c r="AV72" s="7" t="n">
        <v>-2.144553332799596</v>
      </c>
      <c r="AW72" s="40" t="n">
        <v>39.09305078634101</v>
      </c>
      <c r="AX72" s="31" t="n">
        <v>-0.8867576181745989</v>
      </c>
      <c r="AY72" s="7" t="n">
        <v>-0.765276238035991</v>
      </c>
      <c r="AZ72" s="7" t="n">
        <v>-0.9376366785380341</v>
      </c>
      <c r="BA72" s="7" t="n">
        <v>-1.26327093523026</v>
      </c>
      <c r="BB72" s="40" t="n">
        <v>135.5174028123871</v>
      </c>
      <c r="BC72" s="31" t="n">
        <v>0</v>
      </c>
      <c r="BD72" s="7" t="n">
        <v>0</v>
      </c>
      <c r="BE72" s="7" t="n">
        <v>0</v>
      </c>
      <c r="BF72" s="7" t="n">
        <v>0</v>
      </c>
      <c r="BG72" s="40" t="n">
        <v>6.608928095913011</v>
      </c>
      <c r="BH72" s="31" t="n">
        <v>0</v>
      </c>
      <c r="BI72" s="7" t="n">
        <v>0</v>
      </c>
      <c r="BJ72" s="7" t="n">
        <v>0</v>
      </c>
      <c r="BK72" s="7" t="n">
        <v>0</v>
      </c>
      <c r="BL72" s="40" t="n">
        <v>2.3</v>
      </c>
      <c r="BM72" s="40" t="n">
        <v>0</v>
      </c>
      <c r="BN72" s="40" t="n">
        <v>0</v>
      </c>
      <c r="BO72" s="40" t="n">
        <v>0</v>
      </c>
      <c r="BP72" s="40" t="n">
        <v>0</v>
      </c>
      <c r="BQ72" s="40" t="n">
        <v>60.42075090537207</v>
      </c>
      <c r="BR72" s="31" t="n">
        <v>-3.633600026424936</v>
      </c>
      <c r="BS72" s="7" t="n">
        <v>-3.188450551212217</v>
      </c>
      <c r="BT72" s="7" t="n">
        <v>-3.878286731316798</v>
      </c>
      <c r="BU72" s="7" t="n">
        <v>-5.112971231804558</v>
      </c>
      <c r="BV72" s="40" t="n">
        <v>-10.69436434433128</v>
      </c>
      <c r="BW72" s="31" t="n">
        <v>-4.563300532398007</v>
      </c>
      <c r="BX72" s="7" t="n">
        <v>-4.934771133158931</v>
      </c>
      <c r="BY72" s="7" t="n">
        <v>-5.310216807795747</v>
      </c>
      <c r="BZ72" s="7" t="n">
        <v>-7.875787672540985</v>
      </c>
      <c r="CA72" s="40" t="n">
        <v>5.961715366765182</v>
      </c>
      <c r="CB72" s="31" t="n">
        <v>-0.5744471503723938</v>
      </c>
      <c r="CC72" s="7" t="n">
        <v>-0.1627692193129491</v>
      </c>
      <c r="CD72" s="7" t="n">
        <v>-0.4451800856233792</v>
      </c>
      <c r="CE72" s="7" t="n">
        <v>-0.2560661607157639</v>
      </c>
    </row>
    <row r="73">
      <c r="A73" s="254" t="n">
        <v>44470</v>
      </c>
      <c r="B73" s="3" t="n">
        <v>0</v>
      </c>
      <c r="C73" s="40" t="n">
        <v>18</v>
      </c>
      <c r="D73" s="31" t="n">
        <v>0</v>
      </c>
      <c r="E73" s="7" t="n">
        <v>0</v>
      </c>
      <c r="F73" s="7" t="n">
        <v>0</v>
      </c>
      <c r="G73" s="7" t="n">
        <v>0</v>
      </c>
      <c r="H73" s="40" t="n">
        <v>33.92759807792449</v>
      </c>
      <c r="I73" s="31" t="n">
        <v>-2.22317831795732</v>
      </c>
      <c r="J73" s="7" t="n">
        <v>-2.100269329346698</v>
      </c>
      <c r="K73" s="7" t="n">
        <v>-2.440546853537292</v>
      </c>
      <c r="L73" s="7" t="n">
        <v>-3.414623389681701</v>
      </c>
      <c r="M73" s="40" t="n">
        <v>-5.832024505622712</v>
      </c>
      <c r="N73" s="31" t="n">
        <v>-5.400193223268388</v>
      </c>
      <c r="O73" s="7" t="n">
        <v>-5.015386553068993</v>
      </c>
      <c r="P73" s="40" t="n">
        <v>65.57886597938143</v>
      </c>
      <c r="Q73" s="31" t="n">
        <v>0</v>
      </c>
      <c r="R73" s="7" t="n">
        <v>0</v>
      </c>
      <c r="S73" s="7" t="n">
        <v>0</v>
      </c>
      <c r="T73" s="7" t="n">
        <v>0</v>
      </c>
      <c r="U73" s="40" t="n">
        <v>11</v>
      </c>
      <c r="V73" s="31" t="n">
        <v>0</v>
      </c>
      <c r="W73" s="7" t="n">
        <v>0</v>
      </c>
      <c r="X73" s="7" t="n">
        <v>0</v>
      </c>
      <c r="Y73" s="7" t="n">
        <v>0</v>
      </c>
      <c r="Z73" s="40" t="n">
        <v>9.457581196131983</v>
      </c>
      <c r="AA73" s="31" t="n">
        <v>0.02398370118208248</v>
      </c>
      <c r="AB73" s="7" t="n">
        <v>0.1121802285148981</v>
      </c>
      <c r="AC73" s="7" t="n">
        <v>0.06905541308343288</v>
      </c>
      <c r="AD73" s="7" t="n">
        <v>0.1997195405710546</v>
      </c>
      <c r="AE73" s="9" t="n">
        <v>4.728612277617344</v>
      </c>
      <c r="AF73" s="7" t="n">
        <v>5.771678387704355</v>
      </c>
      <c r="AG73" s="7" t="n">
        <v>6.866517927984812</v>
      </c>
      <c r="AH73" s="40" t="n">
        <v>4.179212138582745</v>
      </c>
      <c r="AI73" s="31" t="n">
        <v>-0.05658679218161833</v>
      </c>
      <c r="AJ73" s="7" t="n">
        <v>-0.025508601269848</v>
      </c>
      <c r="AK73" s="7" t="n">
        <v>-0.04896368441736065</v>
      </c>
      <c r="AL73" s="7" t="n">
        <v>-0.03817201225160627</v>
      </c>
      <c r="AM73" s="40" t="n">
        <v>0.3830893272810492</v>
      </c>
      <c r="AN73" s="31" t="n">
        <v>-0.01512725120293329</v>
      </c>
      <c r="AO73" s="7" t="n">
        <v>-0.06705166559724671</v>
      </c>
      <c r="AP73" s="7" t="n">
        <v>-0.05342264959494097</v>
      </c>
      <c r="AQ73" s="7" t="n">
        <v>-0.08732353011096911</v>
      </c>
      <c r="AR73" s="40" t="n">
        <v>38.54866247217696</v>
      </c>
      <c r="AS73" s="31" t="n">
        <v>-1.522191455691221</v>
      </c>
      <c r="AT73" s="7" t="n">
        <v>-1.39753085874457</v>
      </c>
      <c r="AU73" s="7" t="n">
        <v>-1.652834488810797</v>
      </c>
      <c r="AV73" s="7" t="n">
        <v>-2.251364269682753</v>
      </c>
      <c r="AW73" s="40" t="n">
        <v>38.84428567712279</v>
      </c>
      <c r="AX73" s="31" t="n">
        <v>-0.9384335094684886</v>
      </c>
      <c r="AY73" s="7" t="n">
        <v>-0.8155217263685159</v>
      </c>
      <c r="AZ73" s="7" t="n">
        <v>-0.9950827282472474</v>
      </c>
      <c r="BA73" s="7" t="n">
        <v>-1.332172104974951</v>
      </c>
      <c r="BB73" s="40" t="n">
        <v>135.5174028123871</v>
      </c>
      <c r="BC73" s="31" t="n">
        <v>0</v>
      </c>
      <c r="BD73" s="7" t="n">
        <v>0</v>
      </c>
      <c r="BE73" s="7" t="n">
        <v>0</v>
      </c>
      <c r="BF73" s="7" t="n">
        <v>0</v>
      </c>
      <c r="BG73" s="40" t="n">
        <v>6.608928095913011</v>
      </c>
      <c r="BH73" s="31" t="n">
        <v>0</v>
      </c>
      <c r="BI73" s="7" t="n">
        <v>0</v>
      </c>
      <c r="BJ73" s="7" t="n">
        <v>0</v>
      </c>
      <c r="BK73" s="7" t="n">
        <v>0</v>
      </c>
      <c r="BL73" s="40" t="n">
        <v>2.3</v>
      </c>
      <c r="BM73" s="40" t="n">
        <v>0</v>
      </c>
      <c r="BN73" s="40" t="n">
        <v>0</v>
      </c>
      <c r="BO73" s="40" t="n">
        <v>0</v>
      </c>
      <c r="BP73" s="40" t="n">
        <v>0</v>
      </c>
      <c r="BQ73" s="40" t="n">
        <v>59.38189765682921</v>
      </c>
      <c r="BR73" s="31" t="n">
        <v>-3.850258238511231</v>
      </c>
      <c r="BS73" s="7" t="n">
        <v>-3.404867421444223</v>
      </c>
      <c r="BT73" s="7" t="n">
        <v>-4.120027342056595</v>
      </c>
      <c r="BU73" s="7" t="n">
        <v>-5.471449793692003</v>
      </c>
      <c r="BV73" s="40" t="n">
        <v>-11.59263549586659</v>
      </c>
      <c r="BW73" s="31" t="n">
        <v>-4.197284636039228</v>
      </c>
      <c r="BX73" s="7" t="n">
        <v>-4.723892418388987</v>
      </c>
      <c r="BY73" s="7" t="n">
        <v>-4.974795176041322</v>
      </c>
      <c r="BZ73" s="7" t="n">
        <v>-7.53938145054867</v>
      </c>
      <c r="CA73" s="40" t="n">
        <v>5.765843829788138</v>
      </c>
      <c r="CB73" s="31" t="n">
        <v>-0.6965679113143359</v>
      </c>
      <c r="CC73" s="7" t="n">
        <v>-0.3261390255860031</v>
      </c>
      <c r="CD73" s="7" t="n">
        <v>-0.6003593177721855</v>
      </c>
      <c r="CE73" s="7" t="n">
        <v>-0.4864241461847811</v>
      </c>
    </row>
    <row r="74">
      <c r="A74" s="254" t="n">
        <v>44562</v>
      </c>
      <c r="B74" s="3" t="n">
        <v>1</v>
      </c>
      <c r="C74" s="40" t="n">
        <v>18</v>
      </c>
      <c r="D74" s="31" t="n">
        <v>0</v>
      </c>
      <c r="E74" s="7" t="n">
        <v>0</v>
      </c>
      <c r="F74" s="7" t="n">
        <v>0</v>
      </c>
      <c r="G74" s="7" t="n">
        <v>0</v>
      </c>
      <c r="H74" s="40" t="n">
        <v>33.35722488274791</v>
      </c>
      <c r="I74" s="31" t="n">
        <v>-2.256970933871209</v>
      </c>
      <c r="J74" s="7" t="n">
        <v>-2.148533469931923</v>
      </c>
      <c r="K74" s="7" t="n">
        <v>-2.485852716377181</v>
      </c>
      <c r="L74" s="7" t="n">
        <v>-3.480432710761029</v>
      </c>
      <c r="M74" s="40" t="n">
        <v>-5.929864713344159</v>
      </c>
      <c r="N74" s="31" t="n">
        <v>-5.570564915655154</v>
      </c>
      <c r="O74" s="7" t="n">
        <v>-5.176122449505328</v>
      </c>
      <c r="P74" s="40" t="n">
        <v>65.57886597938143</v>
      </c>
      <c r="Q74" s="31" t="n">
        <v>0</v>
      </c>
      <c r="R74" s="7" t="n">
        <v>0</v>
      </c>
      <c r="S74" s="7" t="n">
        <v>0</v>
      </c>
      <c r="T74" s="7" t="n">
        <v>0</v>
      </c>
      <c r="U74" s="40" t="n">
        <v>11</v>
      </c>
      <c r="V74" s="31" t="n">
        <v>0</v>
      </c>
      <c r="W74" s="7" t="n">
        <v>0</v>
      </c>
      <c r="X74" s="7" t="n">
        <v>0</v>
      </c>
      <c r="Y74" s="7" t="n">
        <v>0</v>
      </c>
      <c r="Z74" s="40" t="n">
        <v>9.451906698716293</v>
      </c>
      <c r="AA74" s="31" t="n">
        <v>0.0002566553590170884</v>
      </c>
      <c r="AB74" s="7" t="n">
        <v>0.07397613293355931</v>
      </c>
      <c r="AC74" s="7" t="n">
        <v>0.03533585853901933</v>
      </c>
      <c r="AD74" s="7" t="n">
        <v>0.1421416383857501</v>
      </c>
      <c r="AE74" s="9" t="n">
        <v>4.440971177378856</v>
      </c>
      <c r="AF74" s="7" t="n">
        <v>5.320144793278189</v>
      </c>
      <c r="AG74" s="7" t="n">
        <v>6.410237238338482</v>
      </c>
      <c r="AH74" s="40" t="n">
        <v>4.156707752225432</v>
      </c>
      <c r="AI74" s="31" t="n">
        <v>-0.07050246807927341</v>
      </c>
      <c r="AJ74" s="7" t="n">
        <v>-0.04037545426291489</v>
      </c>
      <c r="AK74" s="7" t="n">
        <v>-0.06509092045721143</v>
      </c>
      <c r="AL74" s="7" t="n">
        <v>-0.06148641897427076</v>
      </c>
      <c r="AM74" s="40" t="n">
        <v>-1.318921673837899</v>
      </c>
      <c r="AN74" s="31" t="n">
        <v>-1.713593901048285</v>
      </c>
      <c r="AO74" s="7" t="n">
        <v>-0.9080265410095648</v>
      </c>
      <c r="AP74" s="7" t="n">
        <v>-1.738670734314578</v>
      </c>
      <c r="AQ74" s="7" t="n">
        <v>-1.776679847161231</v>
      </c>
      <c r="AR74" s="40" t="n">
        <v>38.13557892393661</v>
      </c>
      <c r="AS74" s="31" t="n">
        <v>-1.578621891461808</v>
      </c>
      <c r="AT74" s="7" t="n">
        <v>-1.455162949859087</v>
      </c>
      <c r="AU74" s="7" t="n">
        <v>-1.716535322365004</v>
      </c>
      <c r="AV74" s="7" t="n">
        <v>-2.348734360012379</v>
      </c>
      <c r="AW74" s="40" t="n">
        <v>38.59505556722765</v>
      </c>
      <c r="AX74" s="31" t="n">
        <v>-0.9721778638830259</v>
      </c>
      <c r="AY74" s="7" t="n">
        <v>-0.8635981877189494</v>
      </c>
      <c r="AZ74" s="7" t="n">
        <v>-1.040432406550266</v>
      </c>
      <c r="BA74" s="7" t="n">
        <v>-1.394834914626664</v>
      </c>
      <c r="BB74" s="40" t="n">
        <v>135.5174028123871</v>
      </c>
      <c r="BC74" s="31" t="n">
        <v>0</v>
      </c>
      <c r="BD74" s="7" t="n">
        <v>0</v>
      </c>
      <c r="BE74" s="7" t="n">
        <v>0</v>
      </c>
      <c r="BF74" s="7" t="n">
        <v>0</v>
      </c>
      <c r="BG74" s="40" t="n">
        <v>6.608928095913011</v>
      </c>
      <c r="BH74" s="31" t="n">
        <v>0</v>
      </c>
      <c r="BI74" s="7" t="n">
        <v>0</v>
      </c>
      <c r="BJ74" s="7" t="n">
        <v>0</v>
      </c>
      <c r="BK74" s="7" t="n">
        <v>0</v>
      </c>
      <c r="BL74" s="40" t="n">
        <v>2.3</v>
      </c>
      <c r="BM74" s="40" t="n">
        <v>0</v>
      </c>
      <c r="BN74" s="40" t="n">
        <v>0</v>
      </c>
      <c r="BO74" s="40" t="n">
        <v>0</v>
      </c>
      <c r="BP74" s="40" t="n">
        <v>0</v>
      </c>
      <c r="BQ74" s="40" t="n">
        <v>58.30566598867479</v>
      </c>
      <c r="BR74" s="31" t="n">
        <v>-4.045817675881736</v>
      </c>
      <c r="BS74" s="7" t="n">
        <v>-3.613176888272754</v>
      </c>
      <c r="BT74" s="7" t="n">
        <v>-4.345042154849963</v>
      </c>
      <c r="BU74" s="7" t="n">
        <v>-5.808814639472018</v>
      </c>
      <c r="BV74" s="40" t="n">
        <v>-12.37794489826894</v>
      </c>
      <c r="BW74" s="31" t="n">
        <v>-3.791095237342823</v>
      </c>
      <c r="BX74" s="7" t="n">
        <v>-4.44799546237906</v>
      </c>
      <c r="BY74" s="7" t="n">
        <v>-4.579131473846419</v>
      </c>
      <c r="BZ74" s="7" t="n">
        <v>-7.113667595375929</v>
      </c>
      <c r="CA74" s="40" t="n">
        <v>5.599022815717224</v>
      </c>
      <c r="CB74" s="31" t="n">
        <v>-0.7337130529251947</v>
      </c>
      <c r="CC74" s="7" t="n">
        <v>-0.454879231249425</v>
      </c>
      <c r="CD74" s="7" t="n">
        <v>-0.685645575446598</v>
      </c>
      <c r="CE74" s="7" t="n">
        <v>-0.6550092669906338</v>
      </c>
    </row>
    <row r="75">
      <c r="A75" s="254" t="n">
        <v>44652</v>
      </c>
      <c r="B75" s="3" t="n">
        <v>0</v>
      </c>
      <c r="C75" s="40" t="n">
        <v>18</v>
      </c>
      <c r="D75" s="31" t="n">
        <v>0</v>
      </c>
      <c r="E75" s="7" t="n">
        <v>0</v>
      </c>
      <c r="F75" s="7" t="n">
        <v>0</v>
      </c>
      <c r="G75" s="7" t="n">
        <v>0</v>
      </c>
      <c r="H75" s="40" t="n">
        <v>32.79166846773174</v>
      </c>
      <c r="I75" s="31" t="n">
        <v>-2.269987808802291</v>
      </c>
      <c r="J75" s="7" t="n">
        <v>-2.188865490011548</v>
      </c>
      <c r="K75" s="7" t="n">
        <v>-2.514275763910376</v>
      </c>
      <c r="L75" s="7" t="n">
        <v>-3.532181480623372</v>
      </c>
      <c r="M75" s="40" t="n">
        <v>-5.951361621146816</v>
      </c>
      <c r="N75" s="31" t="n">
        <v>-5.70186213898296</v>
      </c>
      <c r="O75" s="7" t="n">
        <v>-5.318071311885963</v>
      </c>
      <c r="P75" s="40" t="n">
        <v>65.57886597938143</v>
      </c>
      <c r="Q75" s="31" t="n">
        <v>0</v>
      </c>
      <c r="R75" s="7" t="n">
        <v>0</v>
      </c>
      <c r="S75" s="7" t="n">
        <v>0</v>
      </c>
      <c r="T75" s="7" t="n">
        <v>0</v>
      </c>
      <c r="U75" s="40" t="n">
        <v>11</v>
      </c>
      <c r="V75" s="31" t="n">
        <v>0</v>
      </c>
      <c r="W75" s="7" t="n">
        <v>0</v>
      </c>
      <c r="X75" s="7" t="n">
        <v>0</v>
      </c>
      <c r="Y75" s="7" t="n">
        <v>0</v>
      </c>
      <c r="Z75" s="40" t="n">
        <v>9.446472350397633</v>
      </c>
      <c r="AA75" s="31" t="n">
        <v>-0.0135391441299344</v>
      </c>
      <c r="AB75" s="7" t="n">
        <v>0.04281922233798952</v>
      </c>
      <c r="AC75" s="7" t="n">
        <v>0.0114074769869692</v>
      </c>
      <c r="AD75" s="7" t="n">
        <v>0.09473258270899798</v>
      </c>
      <c r="AE75" s="9" t="n">
        <v>4.277115254649289</v>
      </c>
      <c r="AF75" s="7" t="n">
        <v>4.952481806686535</v>
      </c>
      <c r="AG75" s="7" t="n">
        <v>5.982609004492019</v>
      </c>
      <c r="AH75" s="40" t="n">
        <v>4.131545050048849</v>
      </c>
      <c r="AI75" s="31" t="n">
        <v>-0.08321698365393893</v>
      </c>
      <c r="AJ75" s="7" t="n">
        <v>-0.05467786884350101</v>
      </c>
      <c r="AK75" s="7" t="n">
        <v>-0.08015975906806538</v>
      </c>
      <c r="AL75" s="7" t="n">
        <v>-0.08398154421486481</v>
      </c>
      <c r="AM75" s="40" t="n">
        <v>-1.065466822833853</v>
      </c>
      <c r="AN75" s="31" t="n">
        <v>-1.456424290152511</v>
      </c>
      <c r="AO75" s="7" t="n">
        <v>-0.7853548166963369</v>
      </c>
      <c r="AP75" s="7" t="n">
        <v>-1.25820924805814</v>
      </c>
      <c r="AQ75" s="7" t="n">
        <v>-1.368045004968318</v>
      </c>
      <c r="AR75" s="40" t="n">
        <v>37.71358799297612</v>
      </c>
      <c r="AS75" s="31" t="n">
        <v>-1.626812209787872</v>
      </c>
      <c r="AT75" s="7" t="n">
        <v>-1.510747601913678</v>
      </c>
      <c r="AU75" s="7" t="n">
        <v>-1.774735515860726</v>
      </c>
      <c r="AV75" s="7" t="n">
        <v>-2.43771098354641</v>
      </c>
      <c r="AW75" s="40" t="n">
        <v>38.35030730390828</v>
      </c>
      <c r="AX75" s="31" t="n">
        <v>-0.9855157026508508</v>
      </c>
      <c r="AY75" s="7" t="n">
        <v>-0.9042120257045063</v>
      </c>
      <c r="AZ75" s="7" t="n">
        <v>-1.069281122939898</v>
      </c>
      <c r="BA75" s="7" t="n">
        <v>-1.445505205369372</v>
      </c>
      <c r="BB75" s="40" t="n">
        <v>135.5174028123871</v>
      </c>
      <c r="BC75" s="31" t="n">
        <v>0</v>
      </c>
      <c r="BD75" s="7" t="n">
        <v>0</v>
      </c>
      <c r="BE75" s="7" t="n">
        <v>0</v>
      </c>
      <c r="BF75" s="7" t="n">
        <v>0</v>
      </c>
      <c r="BG75" s="40" t="n">
        <v>6.608928095913011</v>
      </c>
      <c r="BH75" s="31" t="n">
        <v>0</v>
      </c>
      <c r="BI75" s="7" t="n">
        <v>0</v>
      </c>
      <c r="BJ75" s="7" t="n">
        <v>0</v>
      </c>
      <c r="BK75" s="7" t="n">
        <v>0</v>
      </c>
      <c r="BL75" s="40" t="n">
        <v>2.3</v>
      </c>
      <c r="BM75" s="40" t="n">
        <v>0</v>
      </c>
      <c r="BN75" s="40" t="n">
        <v>0</v>
      </c>
      <c r="BO75" s="40" t="n">
        <v>0</v>
      </c>
      <c r="BP75" s="40" t="n">
        <v>0</v>
      </c>
      <c r="BQ75" s="40" t="n">
        <v>57.20196834220211</v>
      </c>
      <c r="BR75" s="31" t="n">
        <v>-4.210974023277444</v>
      </c>
      <c r="BS75" s="7" t="n">
        <v>-3.809047810700406</v>
      </c>
      <c r="BT75" s="7" t="n">
        <v>-4.545445579254455</v>
      </c>
      <c r="BU75" s="7" t="n">
        <v>-6.118619522847645</v>
      </c>
      <c r="BV75" s="40" t="n">
        <v>-13.04300555635357</v>
      </c>
      <c r="BW75" s="31" t="n">
        <v>-3.353015958698919</v>
      </c>
      <c r="BX75" s="7" t="n">
        <v>-4.112352952511768</v>
      </c>
      <c r="BY75" s="7" t="n">
        <v>-4.132193266336289</v>
      </c>
      <c r="BZ75" s="7" t="n">
        <v>-6.603723247822465</v>
      </c>
      <c r="CA75" s="40" t="n">
        <v>5.487243594464097</v>
      </c>
      <c r="CB75" s="31" t="n">
        <v>-0.6719121860009301</v>
      </c>
      <c r="CC75" s="7" t="n">
        <v>-0.5316485763647965</v>
      </c>
      <c r="CD75" s="7" t="n">
        <v>-0.683704988887369</v>
      </c>
      <c r="CE75" s="7" t="n">
        <v>-0.7383164194645184</v>
      </c>
    </row>
    <row r="76">
      <c r="A76" s="254" t="n">
        <v>44743</v>
      </c>
      <c r="B76" s="96" t="n">
        <v>0</v>
      </c>
      <c r="C76" s="40" t="n">
        <v>18</v>
      </c>
      <c r="D76" s="31" t="n">
        <v>0</v>
      </c>
      <c r="E76" s="7" t="n">
        <v>0</v>
      </c>
      <c r="F76" s="7" t="n">
        <v>0</v>
      </c>
      <c r="G76" s="7" t="n">
        <v>0</v>
      </c>
      <c r="H76" s="40" t="n">
        <v>32.23635817435094</v>
      </c>
      <c r="I76" s="31" t="n">
        <v>-2.261289569048017</v>
      </c>
      <c r="J76" s="7" t="n">
        <v>-2.216348518962427</v>
      </c>
      <c r="K76" s="7" t="n">
        <v>-2.522369684788288</v>
      </c>
      <c r="L76" s="7" t="n">
        <v>-3.565096470584606</v>
      </c>
      <c r="M76" s="40" t="n">
        <v>-5.892336989413252</v>
      </c>
      <c r="N76" s="31" t="n">
        <v>-5.779568658377912</v>
      </c>
      <c r="O76" s="7" t="n">
        <v>-5.434511701458935</v>
      </c>
      <c r="P76" s="40" t="n">
        <v>65.57886597938143</v>
      </c>
      <c r="Q76" s="31" t="n">
        <v>0</v>
      </c>
      <c r="R76" s="7" t="n">
        <v>0</v>
      </c>
      <c r="S76" s="7" t="n">
        <v>0</v>
      </c>
      <c r="T76" s="7" t="n">
        <v>0</v>
      </c>
      <c r="U76" s="40" t="n">
        <v>11</v>
      </c>
      <c r="V76" s="31" t="n">
        <v>0</v>
      </c>
      <c r="W76" s="7" t="n">
        <v>0</v>
      </c>
      <c r="X76" s="7" t="n">
        <v>0</v>
      </c>
      <c r="Y76" s="7" t="n">
        <v>0</v>
      </c>
      <c r="Z76" s="40" t="n">
        <v>9.443309718735769</v>
      </c>
      <c r="AA76" s="31" t="n">
        <v>-0.01782101820706394</v>
      </c>
      <c r="AB76" s="7" t="n">
        <v>0.01975115089898072</v>
      </c>
      <c r="AC76" s="7" t="n">
        <v>-0.002459960259393768</v>
      </c>
      <c r="AD76" s="7" t="n">
        <v>0.05884682569781852</v>
      </c>
      <c r="AE76" s="9" t="n">
        <v>4.24041857877296</v>
      </c>
      <c r="AF76" s="7" t="n">
        <v>4.685120865408351</v>
      </c>
      <c r="AG76" s="7" t="n">
        <v>5.603591729001096</v>
      </c>
      <c r="AH76" s="40" t="n">
        <v>4.104179714808271</v>
      </c>
      <c r="AI76" s="31" t="n">
        <v>-0.09449320950789897</v>
      </c>
      <c r="AJ76" s="7" t="n">
        <v>-0.06809698524749486</v>
      </c>
      <c r="AK76" s="7" t="n">
        <v>-0.09385562709776796</v>
      </c>
      <c r="AL76" s="7" t="n">
        <v>-0.1051824723559003</v>
      </c>
      <c r="AM76" s="40" t="n">
        <v>0.6570303727105153</v>
      </c>
      <c r="AN76" s="31" t="n">
        <v>0.2699418367783249</v>
      </c>
      <c r="AO76" s="7" t="n">
        <v>0.1277181219317016</v>
      </c>
      <c r="AP76" s="7" t="n">
        <v>0.6606266516603122</v>
      </c>
      <c r="AQ76" s="7" t="n">
        <v>0.4884017921628506</v>
      </c>
      <c r="AR76" s="40" t="n">
        <v>37.28408539273295</v>
      </c>
      <c r="AS76" s="31" t="n">
        <v>-1.667000570442376</v>
      </c>
      <c r="AT76" s="7" t="n">
        <v>-1.563318587919408</v>
      </c>
      <c r="AU76" s="7" t="n">
        <v>-1.826551215625472</v>
      </c>
      <c r="AV76" s="7" t="n">
        <v>-2.518999795422452</v>
      </c>
      <c r="AW76" s="40" t="n">
        <v>38.11523253141269</v>
      </c>
      <c r="AX76" s="31" t="n">
        <v>-0.977818254928323</v>
      </c>
      <c r="AY76" s="7" t="n">
        <v>-0.9322879365514609</v>
      </c>
      <c r="AZ76" s="7" t="n">
        <v>-1.078302889009365</v>
      </c>
      <c r="BA76" s="7" t="n">
        <v>-1.478784056389991</v>
      </c>
      <c r="BB76" s="40" t="n">
        <v>135.5174028123871</v>
      </c>
      <c r="BC76" s="31" t="n">
        <v>0</v>
      </c>
      <c r="BD76" s="7" t="n">
        <v>0</v>
      </c>
      <c r="BE76" s="7" t="n">
        <v>0</v>
      </c>
      <c r="BF76" s="7" t="n">
        <v>0</v>
      </c>
      <c r="BG76" s="40" t="n">
        <v>6.608928095913011</v>
      </c>
      <c r="BH76" s="31" t="n">
        <v>0</v>
      </c>
      <c r="BI76" s="7" t="n">
        <v>0</v>
      </c>
      <c r="BJ76" s="7" t="n">
        <v>0</v>
      </c>
      <c r="BK76" s="7" t="n">
        <v>0</v>
      </c>
      <c r="BL76" s="40" t="n">
        <v>2.3</v>
      </c>
      <c r="BM76" s="40" t="n">
        <v>0</v>
      </c>
      <c r="BN76" s="40" t="n">
        <v>0</v>
      </c>
      <c r="BO76" s="40" t="n">
        <v>0</v>
      </c>
      <c r="BP76" s="40" t="n">
        <v>0</v>
      </c>
      <c r="BQ76" s="40" t="n">
        <v>56.0804863133803</v>
      </c>
      <c r="BR76" s="31" t="n">
        <v>-4.340264591991769</v>
      </c>
      <c r="BS76" s="7" t="n">
        <v>-3.986932309208353</v>
      </c>
      <c r="BT76" s="7" t="n">
        <v>-4.714665655401163</v>
      </c>
      <c r="BU76" s="7" t="n">
        <v>-6.394729018835463</v>
      </c>
      <c r="BV76" s="40" t="n">
        <v>-13.58438500703433</v>
      </c>
      <c r="BW76" s="31" t="n">
        <v>-2.890020662703046</v>
      </c>
      <c r="BX76" s="7" t="n">
        <v>-3.726660597550527</v>
      </c>
      <c r="BY76" s="7" t="n">
        <v>-3.645484478889108</v>
      </c>
      <c r="BZ76" s="7" t="n">
        <v>-6.019290791442272</v>
      </c>
      <c r="CA76" s="40" t="n">
        <v>5.453983189302951</v>
      </c>
      <c r="CB76" s="31" t="n">
        <v>-0.5077321774622305</v>
      </c>
      <c r="CC76" s="7" t="n">
        <v>-0.5410896639173122</v>
      </c>
      <c r="CD76" s="7" t="n">
        <v>-0.5840532499573161</v>
      </c>
      <c r="CE76" s="7" t="n">
        <v>-0.7184325795173097</v>
      </c>
    </row>
    <row r="77">
      <c r="A77" s="254" t="n">
        <v>44835</v>
      </c>
      <c r="B77" s="96" t="n">
        <v>0</v>
      </c>
      <c r="C77" s="40" t="n">
        <v>18</v>
      </c>
      <c r="D77" s="31" t="n">
        <v>0</v>
      </c>
      <c r="E77" s="7" t="n">
        <v>0</v>
      </c>
      <c r="F77" s="7" t="n">
        <v>0</v>
      </c>
      <c r="G77" s="7" t="n">
        <v>0</v>
      </c>
      <c r="H77" s="40" t="n">
        <v>31.69707708552473</v>
      </c>
      <c r="I77" s="31" t="n">
        <v>-2.230520992399761</v>
      </c>
      <c r="J77" s="7" t="n">
        <v>-2.22684965517854</v>
      </c>
      <c r="K77" s="7" t="n">
        <v>-2.507563643873901</v>
      </c>
      <c r="L77" s="7" t="n">
        <v>-3.57442366901271</v>
      </c>
      <c r="M77" s="40" t="n">
        <v>-5.750895260149491</v>
      </c>
      <c r="N77" s="31" t="n">
        <v>-5.791459882886102</v>
      </c>
      <c r="O77" s="7" t="n">
        <v>-5.517093902228756</v>
      </c>
      <c r="P77" s="40" t="n">
        <v>65.57886597938143</v>
      </c>
      <c r="Q77" s="31" t="n">
        <v>0</v>
      </c>
      <c r="R77" s="7" t="n">
        <v>0</v>
      </c>
      <c r="S77" s="7" t="n">
        <v>0</v>
      </c>
      <c r="T77" s="7" t="n">
        <v>0</v>
      </c>
      <c r="U77" s="40" t="n">
        <v>11</v>
      </c>
      <c r="V77" s="31" t="n">
        <v>0</v>
      </c>
      <c r="W77" s="7" t="n">
        <v>0</v>
      </c>
      <c r="X77" s="7" t="n">
        <v>0</v>
      </c>
      <c r="Y77" s="7" t="n">
        <v>0</v>
      </c>
      <c r="Z77" s="40" t="n">
        <v>9.444013968602775</v>
      </c>
      <c r="AA77" s="31" t="n">
        <v>-0.01356722752920803</v>
      </c>
      <c r="AB77" s="7" t="n">
        <v>0.005208236826437229</v>
      </c>
      <c r="AC77" s="7" t="n">
        <v>-0.006693498117131824</v>
      </c>
      <c r="AD77" s="7" t="n">
        <v>0.0350576162386016</v>
      </c>
      <c r="AE77" s="9" t="n">
        <v>4.324299233628608</v>
      </c>
      <c r="AF77" s="7" t="n">
        <v>4.526455755622976</v>
      </c>
      <c r="AG77" s="7" t="n">
        <v>5.289218669679106</v>
      </c>
      <c r="AH77" s="40" t="n">
        <v>4.075089557867584</v>
      </c>
      <c r="AI77" s="31" t="n">
        <v>-0.1041225807151607</v>
      </c>
      <c r="AJ77" s="7" t="n">
        <v>-0.0803546864483895</v>
      </c>
      <c r="AK77" s="7" t="n">
        <v>-0.105921537726581</v>
      </c>
      <c r="AL77" s="7" t="n">
        <v>-0.1246647121045941</v>
      </c>
      <c r="AM77" s="40" t="n">
        <v>0.7278388735197807</v>
      </c>
      <c r="AN77" s="31" t="n">
        <v>0.3447495462387315</v>
      </c>
      <c r="AO77" s="7" t="n">
        <v>0.1648111475178991</v>
      </c>
      <c r="AP77" s="7" t="n">
        <v>0.6995056219866522</v>
      </c>
      <c r="AQ77" s="7" t="n">
        <v>0.5488532886591363</v>
      </c>
      <c r="AR77" s="40" t="n">
        <v>36.84797737850526</v>
      </c>
      <c r="AS77" s="31" t="n">
        <v>-1.700685093671709</v>
      </c>
      <c r="AT77" s="7" t="n">
        <v>-1.611438274681465</v>
      </c>
      <c r="AU77" s="7" t="n">
        <v>-1.871829582873318</v>
      </c>
      <c r="AV77" s="7" t="n">
        <v>-2.593180160638468</v>
      </c>
      <c r="AW77" s="40" t="n">
        <v>37.89480483392961</v>
      </c>
      <c r="AX77" s="31" t="n">
        <v>-0.9494808431931858</v>
      </c>
      <c r="AY77" s="7" t="n">
        <v>-0.9439571763308372</v>
      </c>
      <c r="AZ77" s="7" t="n">
        <v>-1.065658602354581</v>
      </c>
      <c r="BA77" s="7" t="n">
        <v>-1.490180859623045</v>
      </c>
      <c r="BB77" s="40" t="n">
        <v>135.5174028123871</v>
      </c>
      <c r="BC77" s="31" t="n">
        <v>0</v>
      </c>
      <c r="BD77" s="7" t="n">
        <v>0</v>
      </c>
      <c r="BE77" s="7" t="n">
        <v>0</v>
      </c>
      <c r="BF77" s="7" t="n">
        <v>0</v>
      </c>
      <c r="BG77" s="40" t="n">
        <v>6.608928095913011</v>
      </c>
      <c r="BH77" s="31" t="n">
        <v>0</v>
      </c>
      <c r="BI77" s="7" t="n">
        <v>0</v>
      </c>
      <c r="BJ77" s="7" t="n">
        <v>0</v>
      </c>
      <c r="BK77" s="7" t="n">
        <v>0</v>
      </c>
      <c r="BL77" s="40" t="n">
        <v>2.3</v>
      </c>
      <c r="BM77" s="40" t="n">
        <v>0</v>
      </c>
      <c r="BN77" s="40" t="n">
        <v>0</v>
      </c>
      <c r="BO77" s="40" t="n">
        <v>0</v>
      </c>
      <c r="BP77" s="40" t="n">
        <v>0</v>
      </c>
      <c r="BQ77" s="40" t="n">
        <v>54.95199894482046</v>
      </c>
      <c r="BR77" s="31" t="n">
        <v>-4.42989871200875</v>
      </c>
      <c r="BS77" s="7" t="n">
        <v>-4.14007847525999</v>
      </c>
      <c r="BT77" s="7" t="n">
        <v>-4.846419946658912</v>
      </c>
      <c r="BU77" s="7" t="n">
        <v>-6.630119246193949</v>
      </c>
      <c r="BV77" s="40" t="n">
        <v>-14.0046691669127</v>
      </c>
      <c r="BW77" s="31" t="n">
        <v>-2.412033671046103</v>
      </c>
      <c r="BX77" s="7" t="n">
        <v>-3.304659153542666</v>
      </c>
      <c r="BY77" s="7" t="n">
        <v>-3.134103489379839</v>
      </c>
      <c r="BZ77" s="7" t="n">
        <v>-5.376278040568897</v>
      </c>
      <c r="CA77" s="40" t="n">
        <v>5.518540646926811</v>
      </c>
      <c r="CB77" s="31" t="n">
        <v>-0.2473031828613275</v>
      </c>
      <c r="CC77" s="7" t="n">
        <v>-0.4719355470878317</v>
      </c>
      <c r="CD77" s="7" t="n">
        <v>-0.3842233763541287</v>
      </c>
      <c r="CE77" s="7" t="n">
        <v>-0.5844359038861056</v>
      </c>
    </row>
    <row r="78">
      <c r="A78" s="254" t="n">
        <v>44927</v>
      </c>
      <c r="B78" s="96" t="n">
        <v>0</v>
      </c>
      <c r="C78" s="40" t="n">
        <v>18</v>
      </c>
      <c r="D78" s="31" t="n">
        <v>0</v>
      </c>
      <c r="E78" s="7" t="n">
        <v>0</v>
      </c>
      <c r="F78" s="7" t="n">
        <v>0</v>
      </c>
      <c r="G78" s="7" t="n">
        <v>0</v>
      </c>
      <c r="H78" s="40" t="n">
        <v>31.17854125101448</v>
      </c>
      <c r="I78" s="31" t="n">
        <v>-2.178683631733431</v>
      </c>
      <c r="J78" s="7" t="n">
        <v>-2.21782728280232</v>
      </c>
      <c r="K78" s="7" t="n">
        <v>-2.469387064589508</v>
      </c>
      <c r="L78" s="7" t="n">
        <v>-3.557037865931864</v>
      </c>
      <c r="M78" s="40" t="n">
        <v>-5.531624335854758</v>
      </c>
      <c r="N78" s="31" t="n">
        <v>-5.730744524599459</v>
      </c>
      <c r="O78" s="7" t="n">
        <v>-5.557584722388356</v>
      </c>
      <c r="P78" s="40" t="n">
        <v>65.57886597938143</v>
      </c>
      <c r="Q78" s="31" t="n">
        <v>0</v>
      </c>
      <c r="R78" s="7" t="n">
        <v>0</v>
      </c>
      <c r="S78" s="7" t="n">
        <v>0</v>
      </c>
      <c r="T78" s="7" t="n">
        <v>0</v>
      </c>
      <c r="U78" s="40" t="n">
        <v>11</v>
      </c>
      <c r="V78" s="31" t="n">
        <v>0</v>
      </c>
      <c r="W78" s="7" t="n">
        <v>0</v>
      </c>
      <c r="X78" s="7" t="n">
        <v>0</v>
      </c>
      <c r="Y78" s="7" t="n">
        <v>0</v>
      </c>
      <c r="Z78" s="40" t="n">
        <v>9.449618243208729</v>
      </c>
      <c r="AA78" s="31" t="n">
        <v>-0.00228845550756418</v>
      </c>
      <c r="AB78" s="7" t="n">
        <v>-0.001015900074273546</v>
      </c>
      <c r="AC78" s="7" t="n">
        <v>-0.002391282717786325</v>
      </c>
      <c r="AD78" s="7" t="n">
        <v>0.02309578838617377</v>
      </c>
      <c r="AE78" s="9" t="n">
        <v>4.511093256966433</v>
      </c>
      <c r="AF78" s="7" t="n">
        <v>4.476032217172644</v>
      </c>
      <c r="AG78" s="7" t="n">
        <v>5.050460947840937</v>
      </c>
      <c r="AH78" s="40" t="n">
        <v>4.044717159757284</v>
      </c>
      <c r="AI78" s="31" t="n">
        <v>-0.1119905924681479</v>
      </c>
      <c r="AJ78" s="7" t="n">
        <v>-0.09124653027371066</v>
      </c>
      <c r="AK78" s="7" t="n">
        <v>-0.1162052642247842</v>
      </c>
      <c r="AL78" s="7" t="n">
        <v>-0.1421087949436561</v>
      </c>
      <c r="AM78" s="40" t="n">
        <v>0.7191200619571577</v>
      </c>
      <c r="AN78" s="31" t="n">
        <v>2.038041735795057</v>
      </c>
      <c r="AO78" s="7" t="n">
        <v>0.1622239173733863</v>
      </c>
      <c r="AP78" s="7" t="n">
        <v>0.6495840235445545</v>
      </c>
      <c r="AQ78" s="7" t="n">
        <v>0.5225806258428267</v>
      </c>
      <c r="AR78" s="40" t="n">
        <v>36.40657395404492</v>
      </c>
      <c r="AS78" s="31" t="n">
        <v>-1.729004969891683</v>
      </c>
      <c r="AT78" s="7" t="n">
        <v>-1.653813430676745</v>
      </c>
      <c r="AU78" s="7" t="n">
        <v>-1.910373438663278</v>
      </c>
      <c r="AV78" s="7" t="n">
        <v>-2.659938017502064</v>
      </c>
      <c r="AW78" s="40" t="n">
        <v>37.69257720894</v>
      </c>
      <c r="AX78" s="31" t="n">
        <v>-0.9024783582876452</v>
      </c>
      <c r="AY78" s="7" t="n">
        <v>-0.9373281110853355</v>
      </c>
      <c r="AZ78" s="7" t="n">
        <v>-1.031896933261471</v>
      </c>
      <c r="BA78" s="7" t="n">
        <v>-1.477364793285126</v>
      </c>
      <c r="BB78" s="40" t="n">
        <v>135.5174028123871</v>
      </c>
      <c r="BC78" s="31" t="n">
        <v>0</v>
      </c>
      <c r="BD78" s="7" t="n">
        <v>0</v>
      </c>
      <c r="BE78" s="7" t="n">
        <v>0</v>
      </c>
      <c r="BF78" s="7" t="n">
        <v>0</v>
      </c>
      <c r="BG78" s="40" t="n">
        <v>6.608928095913011</v>
      </c>
      <c r="BH78" s="31" t="n">
        <v>0</v>
      </c>
      <c r="BI78" s="7" t="n">
        <v>0</v>
      </c>
      <c r="BJ78" s="7" t="n">
        <v>0</v>
      </c>
      <c r="BK78" s="7" t="n">
        <v>0</v>
      </c>
      <c r="BL78" s="40" t="n">
        <v>2.3</v>
      </c>
      <c r="BM78" s="40" t="n">
        <v>0</v>
      </c>
      <c r="BN78" s="40" t="n">
        <v>0</v>
      </c>
      <c r="BO78" s="40" t="n">
        <v>0</v>
      </c>
      <c r="BP78" s="40" t="n">
        <v>0</v>
      </c>
      <c r="BQ78" s="40" t="n">
        <v>53.82873971574007</v>
      </c>
      <c r="BR78" s="31" t="n">
        <v>-4.476926272934719</v>
      </c>
      <c r="BS78" s="7" t="n">
        <v>-4.261371974408227</v>
      </c>
      <c r="BT78" s="7" t="n">
        <v>-4.934659556924309</v>
      </c>
      <c r="BU78" s="7" t="n">
        <v>-6.816742345699573</v>
      </c>
      <c r="BV78" s="40" t="n">
        <v>-14.30697507295016</v>
      </c>
      <c r="BW78" s="31" t="n">
        <v>-1.929030174681229</v>
      </c>
      <c r="BX78" s="7" t="n">
        <v>-2.860062706012026</v>
      </c>
      <c r="BY78" s="7" t="n">
        <v>-2.610244607031643</v>
      </c>
      <c r="BZ78" s="7" t="n">
        <v>-4.690265737621026</v>
      </c>
      <c r="CA78" s="40" t="n">
        <v>5.693777882783002</v>
      </c>
      <c r="CB78" s="31" t="n">
        <v>0.09475506706577796</v>
      </c>
      <c r="CC78" s="7" t="n">
        <v>-0.3194789929297084</v>
      </c>
      <c r="CD78" s="7" t="n">
        <v>-0.09100225372597937</v>
      </c>
      <c r="CE78" s="7" t="n">
        <v>-0.3342335651938031</v>
      </c>
    </row>
    <row r="79">
      <c r="A79" s="254" t="n">
        <v>45017</v>
      </c>
      <c r="B79" s="96" t="n">
        <v>0</v>
      </c>
      <c r="C79" s="40" t="n">
        <v>18</v>
      </c>
      <c r="D79" s="31" t="n">
        <v>0</v>
      </c>
      <c r="E79" s="7" t="n">
        <v>0</v>
      </c>
      <c r="F79" s="7" t="n">
        <v>0</v>
      </c>
      <c r="G79" s="7" t="n">
        <v>0</v>
      </c>
      <c r="H79" s="40" t="n">
        <v>30.68406067754103</v>
      </c>
      <c r="I79" s="31" t="n">
        <v>-2.107607790190713</v>
      </c>
      <c r="J79" s="7" t="n">
        <v>-2.188797799496502</v>
      </c>
      <c r="K79" s="7" t="n">
        <v>-2.409410817362385</v>
      </c>
      <c r="L79" s="7" t="n">
        <v>-3.511872558438874</v>
      </c>
      <c r="M79" s="40" t="n">
        <v>-5.243074645777369</v>
      </c>
      <c r="N79" s="31" t="n">
        <v>-5.597218133462093</v>
      </c>
      <c r="O79" s="7" t="n">
        <v>-5.548932974581096</v>
      </c>
      <c r="P79" s="40" t="n">
        <v>65.57886597938143</v>
      </c>
      <c r="Q79" s="31" t="n">
        <v>0</v>
      </c>
      <c r="R79" s="7" t="n">
        <v>0</v>
      </c>
      <c r="S79" s="7" t="n">
        <v>0</v>
      </c>
      <c r="T79" s="7" t="n">
        <v>0</v>
      </c>
      <c r="U79" s="40" t="n">
        <v>11</v>
      </c>
      <c r="V79" s="31" t="n">
        <v>0</v>
      </c>
      <c r="W79" s="7" t="n">
        <v>0</v>
      </c>
      <c r="X79" s="7" t="n">
        <v>0</v>
      </c>
      <c r="Y79" s="7" t="n">
        <v>0</v>
      </c>
      <c r="Z79" s="40" t="n">
        <v>9.460634652818017</v>
      </c>
      <c r="AA79" s="31" t="n">
        <v>0.01416230242038452</v>
      </c>
      <c r="AB79" s="7" t="n">
        <v>0.0003115791452250605</v>
      </c>
      <c r="AC79" s="7" t="n">
        <v>0.00887910191007002</v>
      </c>
      <c r="AD79" s="7" t="n">
        <v>0.02197354713216626</v>
      </c>
      <c r="AE79" s="9" t="n">
        <v>4.774070357322785</v>
      </c>
      <c r="AF79" s="7" t="n">
        <v>4.525592805986037</v>
      </c>
      <c r="AG79" s="7" t="n">
        <v>4.893011323565285</v>
      </c>
      <c r="AH79" s="40" t="n">
        <v>4.013441689373917</v>
      </c>
      <c r="AI79" s="31" t="n">
        <v>-0.1181033606749313</v>
      </c>
      <c r="AJ79" s="7" t="n">
        <v>-0.1006601721644351</v>
      </c>
      <c r="AK79" s="7" t="n">
        <v>-0.1246691020397233</v>
      </c>
      <c r="AL79" s="7" t="n">
        <v>-0.1573224735775245</v>
      </c>
      <c r="AM79" s="40" t="n">
        <v>0.7103386474258454</v>
      </c>
      <c r="AN79" s="31" t="n">
        <v>1.775805470259698</v>
      </c>
      <c r="AO79" s="7" t="n">
        <v>0.1596905900535937</v>
      </c>
      <c r="AP79" s="7" t="n">
        <v>0.6002466296698955</v>
      </c>
      <c r="AQ79" s="7" t="n">
        <v>0.4953001568301871</v>
      </c>
      <c r="AR79" s="40" t="n">
        <v>35.96200115672197</v>
      </c>
      <c r="AS79" s="31" t="n">
        <v>-1.751586836254148</v>
      </c>
      <c r="AT79" s="7" t="n">
        <v>-1.68919952302101</v>
      </c>
      <c r="AU79" s="7" t="n">
        <v>-1.94149287831705</v>
      </c>
      <c r="AV79" s="7" t="n">
        <v>-2.717899909024197</v>
      </c>
      <c r="AW79" s="40" t="n">
        <v>37.51007180408489</v>
      </c>
      <c r="AX79" s="31" t="n">
        <v>-0.8402354998233861</v>
      </c>
      <c r="AY79" s="7" t="n">
        <v>-0.9128756012371184</v>
      </c>
      <c r="AZ79" s="7" t="n">
        <v>-0.9800703103452477</v>
      </c>
      <c r="BA79" s="7" t="n">
        <v>-1.440730636996435</v>
      </c>
      <c r="BB79" s="40" t="n">
        <v>135.5174028123871</v>
      </c>
      <c r="BC79" s="31" t="n">
        <v>0</v>
      </c>
      <c r="BD79" s="7" t="n">
        <v>0</v>
      </c>
      <c r="BE79" s="7" t="n">
        <v>0</v>
      </c>
      <c r="BF79" s="7" t="n">
        <v>0</v>
      </c>
      <c r="BG79" s="40" t="n">
        <v>6.608928095913011</v>
      </c>
      <c r="BH79" s="31" t="n">
        <v>0</v>
      </c>
      <c r="BI79" s="7" t="n">
        <v>0</v>
      </c>
      <c r="BJ79" s="7" t="n">
        <v>0</v>
      </c>
      <c r="BK79" s="7" t="n">
        <v>0</v>
      </c>
      <c r="BL79" s="40" t="n">
        <v>2.3</v>
      </c>
      <c r="BM79" s="40" t="n">
        <v>0</v>
      </c>
      <c r="BN79" s="40" t="n">
        <v>0</v>
      </c>
      <c r="BO79" s="40" t="n">
        <v>0</v>
      </c>
      <c r="BP79" s="40" t="n">
        <v>0</v>
      </c>
      <c r="BQ79" s="40" t="n">
        <v>52.72288691532762</v>
      </c>
      <c r="BR79" s="31" t="n">
        <v>-4.479081426874487</v>
      </c>
      <c r="BS79" s="7" t="n">
        <v>-4.345027725075965</v>
      </c>
      <c r="BT79" s="7" t="n">
        <v>-4.975169363734693</v>
      </c>
      <c r="BU79" s="7" t="n">
        <v>-6.947321808655339</v>
      </c>
      <c r="BV79" s="40" t="n">
        <v>-14.49323263540907</v>
      </c>
      <c r="BW79" s="31" t="n">
        <v>-1.450227079055503</v>
      </c>
      <c r="BX79" s="7" t="n">
        <v>-2.401621518877211</v>
      </c>
      <c r="BY79" s="7" t="n">
        <v>-2.081486492987546</v>
      </c>
      <c r="BZ79" s="7" t="n">
        <v>-3.97443820845999</v>
      </c>
      <c r="CA79" s="40" t="n">
        <v>5.983647002610843</v>
      </c>
      <c r="CB79" s="31" t="n">
        <v>0.4964034081467465</v>
      </c>
      <c r="CC79" s="7" t="n">
        <v>-0.08775438892709175</v>
      </c>
      <c r="CD79" s="7" t="n">
        <v>0.2787366143342895</v>
      </c>
      <c r="CE79" s="7" t="n">
        <v>0.02355250425346078</v>
      </c>
    </row>
    <row r="80">
      <c r="A80" s="254" t="n">
        <v>45108</v>
      </c>
      <c r="B80" s="96" t="n">
        <v>0</v>
      </c>
      <c r="C80" s="40" t="n">
        <v>18</v>
      </c>
      <c r="D80" s="31" t="n">
        <v>0</v>
      </c>
      <c r="E80" s="7" t="n">
        <v>0</v>
      </c>
      <c r="F80" s="7" t="n">
        <v>0</v>
      </c>
      <c r="G80" s="7" t="n">
        <v>0</v>
      </c>
      <c r="H80" s="40" t="n">
        <v>30.21628577079807</v>
      </c>
      <c r="I80" s="31" t="n">
        <v>-2.02007240355287</v>
      </c>
      <c r="J80" s="7" t="n">
        <v>-2.140680986300444</v>
      </c>
      <c r="K80" s="7" t="n">
        <v>-2.329986274231214</v>
      </c>
      <c r="L80" s="7" t="n">
        <v>-3.439202567664015</v>
      </c>
      <c r="M80" s="40" t="n">
        <v>-4.898428635408663</v>
      </c>
      <c r="N80" s="31" t="n">
        <v>-5.395382812410958</v>
      </c>
      <c r="O80" s="7" t="n">
        <v>-5.485855317388162</v>
      </c>
      <c r="P80" s="40" t="n">
        <v>65.57886597938143</v>
      </c>
      <c r="Q80" s="31" t="n">
        <v>0</v>
      </c>
      <c r="R80" s="7" t="n">
        <v>0</v>
      </c>
      <c r="S80" s="7" t="n">
        <v>0</v>
      </c>
      <c r="T80" s="7" t="n">
        <v>0</v>
      </c>
      <c r="U80" s="40" t="n">
        <v>11</v>
      </c>
      <c r="V80" s="31" t="n">
        <v>0</v>
      </c>
      <c r="W80" s="7" t="n">
        <v>0</v>
      </c>
      <c r="X80" s="7" t="n">
        <v>0</v>
      </c>
      <c r="Y80" s="7" t="n">
        <v>0</v>
      </c>
      <c r="Z80" s="40" t="n">
        <v>9.47709832158216</v>
      </c>
      <c r="AA80" s="31" t="n">
        <v>0.03378860284639096</v>
      </c>
      <c r="AB80" s="7" t="n">
        <v>0.007983792319663507</v>
      </c>
      <c r="AC80" s="7" t="n">
        <v>0.02526487588790616</v>
      </c>
      <c r="AD80" s="7" t="n">
        <v>0.03012048697161163</v>
      </c>
      <c r="AE80" s="9" t="n">
        <v>5.080429698581156</v>
      </c>
      <c r="AF80" s="7" t="n">
        <v>4.660424138677058</v>
      </c>
      <c r="AG80" s="7" t="n">
        <v>4.816890476465953</v>
      </c>
      <c r="AH80" s="40" t="n">
        <v>3.981581885612191</v>
      </c>
      <c r="AI80" s="31" t="n">
        <v>-0.1225978291960805</v>
      </c>
      <c r="AJ80" s="7" t="n">
        <v>-0.1085455193519897</v>
      </c>
      <c r="AK80" s="7" t="n">
        <v>-0.1313638627603408</v>
      </c>
      <c r="AL80" s="7" t="n">
        <v>-0.1702273524757567</v>
      </c>
      <c r="AM80" s="40" t="n">
        <v>0.7015551297709707</v>
      </c>
      <c r="AN80" s="31" t="n">
        <v>0.04452475706045533</v>
      </c>
      <c r="AO80" s="7" t="n">
        <v>0.1572332969193901</v>
      </c>
      <c r="AP80" s="7" t="n">
        <v>0.5515404645016224</v>
      </c>
      <c r="AQ80" s="7" t="n">
        <v>0.4694253194363937</v>
      </c>
      <c r="AR80" s="40" t="n">
        <v>35.51732188549076</v>
      </c>
      <c r="AS80" s="31" t="n">
        <v>-1.766763507242196</v>
      </c>
      <c r="AT80" s="7" t="n">
        <v>-1.716882038842286</v>
      </c>
      <c r="AU80" s="7" t="n">
        <v>-1.963872268793004</v>
      </c>
      <c r="AV80" s="7" t="n">
        <v>-2.764822343581947</v>
      </c>
      <c r="AW80" s="40" t="n">
        <v>37.34759141926412</v>
      </c>
      <c r="AX80" s="31" t="n">
        <v>-0.7676411121485671</v>
      </c>
      <c r="AY80" s="7" t="n">
        <v>-0.872729683538445</v>
      </c>
      <c r="AZ80" s="7" t="n">
        <v>-0.91433179485675</v>
      </c>
      <c r="BA80" s="7" t="n">
        <v>-1.382489392547846</v>
      </c>
      <c r="BB80" s="40" t="n">
        <v>135.5174028123871</v>
      </c>
      <c r="BC80" s="31" t="n">
        <v>0</v>
      </c>
      <c r="BD80" s="7" t="n">
        <v>0</v>
      </c>
      <c r="BE80" s="7" t="n">
        <v>0</v>
      </c>
      <c r="BF80" s="7" t="n">
        <v>0</v>
      </c>
      <c r="BG80" s="40" t="n">
        <v>6.608928095913011</v>
      </c>
      <c r="BH80" s="31" t="n">
        <v>0</v>
      </c>
      <c r="BI80" s="7" t="n">
        <v>0</v>
      </c>
      <c r="BJ80" s="7" t="n">
        <v>0</v>
      </c>
      <c r="BK80" s="7" t="n">
        <v>0</v>
      </c>
      <c r="BL80" s="40" t="n">
        <v>2.3</v>
      </c>
      <c r="BM80" s="40" t="n">
        <v>0</v>
      </c>
      <c r="BN80" s="40" t="n">
        <v>0</v>
      </c>
      <c r="BO80" s="40" t="n">
        <v>0</v>
      </c>
      <c r="BP80" s="40" t="n">
        <v>0</v>
      </c>
      <c r="BQ80" s="40" t="n">
        <v>51.64509837541947</v>
      </c>
      <c r="BR80" s="31" t="n">
        <v>-4.435387937960833</v>
      </c>
      <c r="BS80" s="7" t="n">
        <v>-4.387826264976301</v>
      </c>
      <c r="BT80" s="7" t="n">
        <v>-4.966700972373864</v>
      </c>
      <c r="BU80" s="7" t="n">
        <v>-7.017012261207221</v>
      </c>
      <c r="BV80" s="40" t="n">
        <v>-14.5666958832096</v>
      </c>
      <c r="BW80" s="31" t="n">
        <v>-0.982310876175271</v>
      </c>
      <c r="BX80" s="7" t="n">
        <v>-1.936165769439159</v>
      </c>
      <c r="BY80" s="7" t="n">
        <v>-1.554544361068769</v>
      </c>
      <c r="BZ80" s="7" t="n">
        <v>-3.241657040920597</v>
      </c>
      <c r="CA80" s="40" t="n">
        <v>6.381269692955658</v>
      </c>
      <c r="CB80" s="31" t="n">
        <v>0.9272865036527067</v>
      </c>
      <c r="CC80" s="7" t="n">
        <v>0.2097771630952381</v>
      </c>
      <c r="CD80" s="7" t="n">
        <v>0.6982979019108768</v>
      </c>
      <c r="CE80" s="7" t="n">
        <v>0.4684163399801795</v>
      </c>
    </row>
    <row r="81">
      <c r="A81" s="254" t="n">
        <v>45200</v>
      </c>
      <c r="B81" s="96" t="n">
        <v>0</v>
      </c>
      <c r="C81" s="40" t="n">
        <v>18</v>
      </c>
      <c r="D81" s="31" t="n">
        <v>0</v>
      </c>
      <c r="E81" s="7" t="n">
        <v>0</v>
      </c>
      <c r="F81" s="7" t="n">
        <v>0</v>
      </c>
      <c r="G81" s="7" t="n">
        <v>0</v>
      </c>
      <c r="H81" s="40" t="n">
        <v>29.77719279368207</v>
      </c>
      <c r="I81" s="31" t="n">
        <v>-1.919884291842656</v>
      </c>
      <c r="J81" s="7" t="n">
        <v>-2.075202642121209</v>
      </c>
      <c r="K81" s="7" t="n">
        <v>-2.233909004772109</v>
      </c>
      <c r="L81" s="7" t="n">
        <v>-3.340564757990208</v>
      </c>
      <c r="M81" s="40" t="n">
        <v>-4.514529780473367</v>
      </c>
      <c r="N81" s="31" t="n">
        <v>-5.132712520311429</v>
      </c>
      <c r="O81" s="7" t="n">
        <v>-5.36581651541519</v>
      </c>
      <c r="P81" s="40" t="n">
        <v>65.57886597938143</v>
      </c>
      <c r="Q81" s="31" t="n">
        <v>0</v>
      </c>
      <c r="R81" s="7" t="n">
        <v>0</v>
      </c>
      <c r="S81" s="7" t="n">
        <v>0</v>
      </c>
      <c r="T81" s="7" t="n">
        <v>0</v>
      </c>
      <c r="U81" s="40" t="n">
        <v>11</v>
      </c>
      <c r="V81" s="31" t="n">
        <v>0</v>
      </c>
      <c r="W81" s="7" t="n">
        <v>0</v>
      </c>
      <c r="X81" s="7" t="n">
        <v>0</v>
      </c>
      <c r="Y81" s="7" t="n">
        <v>0</v>
      </c>
      <c r="Z81" s="40" t="n">
        <v>9.498577213895659</v>
      </c>
      <c r="AA81" s="31" t="n">
        <v>0.05456324529288459</v>
      </c>
      <c r="AB81" s="7" t="n">
        <v>0.02049800888183828</v>
      </c>
      <c r="AC81" s="7" t="n">
        <v>0.04474782012148992</v>
      </c>
      <c r="AD81" s="7" t="n">
        <v>0.04549180389808072</v>
      </c>
      <c r="AE81" s="9" t="n">
        <v>5.397189096856437</v>
      </c>
      <c r="AF81" s="7" t="n">
        <v>4.860744165242522</v>
      </c>
      <c r="AG81" s="7" t="n">
        <v>4.816700202700797</v>
      </c>
      <c r="AH81" s="40" t="n">
        <v>3.949401272243778</v>
      </c>
      <c r="AI81" s="31" t="n">
        <v>-0.1256882856238062</v>
      </c>
      <c r="AJ81" s="7" t="n">
        <v>-0.1149054331694834</v>
      </c>
      <c r="AK81" s="7" t="n">
        <v>-0.1364080962907557</v>
      </c>
      <c r="AL81" s="7" t="n">
        <v>-0.1808419825365806</v>
      </c>
      <c r="AM81" s="40" t="n">
        <v>0.692837847814974</v>
      </c>
      <c r="AN81" s="31" t="n">
        <v>-0.03500102570480668</v>
      </c>
      <c r="AO81" s="7" t="n">
        <v>0.1548742602669624</v>
      </c>
      <c r="AP81" s="7" t="n">
        <v>0.5035148583157782</v>
      </c>
      <c r="AQ81" s="7" t="n">
        <v>0.4357112874034089</v>
      </c>
      <c r="AR81" s="40" t="n">
        <v>35.07599589974992</v>
      </c>
      <c r="AS81" s="31" t="n">
        <v>-1.771981478755336</v>
      </c>
      <c r="AT81" s="7" t="n">
        <v>-1.736333286213522</v>
      </c>
      <c r="AU81" s="7" t="n">
        <v>-1.975977744823268</v>
      </c>
      <c r="AV81" s="7" t="n">
        <v>-2.79836493906604</v>
      </c>
      <c r="AW81" s="40" t="n">
        <v>37.20455068898473</v>
      </c>
      <c r="AX81" s="31" t="n">
        <v>-0.6902541449448734</v>
      </c>
      <c r="AY81" s="7" t="n">
        <v>-0.8198674940690296</v>
      </c>
      <c r="AZ81" s="7" t="n">
        <v>-0.8391901042515215</v>
      </c>
      <c r="BA81" s="7" t="n">
        <v>-1.306178707389606</v>
      </c>
      <c r="BB81" s="40" t="n">
        <v>135.5174028123871</v>
      </c>
      <c r="BC81" s="31" t="n">
        <v>0</v>
      </c>
      <c r="BD81" s="7" t="n">
        <v>0</v>
      </c>
      <c r="BE81" s="7" t="n">
        <v>0</v>
      </c>
      <c r="BF81" s="7" t="n">
        <v>0</v>
      </c>
      <c r="BG81" s="40" t="n">
        <v>6.608928095913011</v>
      </c>
      <c r="BH81" s="31" t="n">
        <v>0</v>
      </c>
      <c r="BI81" s="7" t="n">
        <v>0</v>
      </c>
      <c r="BJ81" s="7" t="n">
        <v>0</v>
      </c>
      <c r="BK81" s="7" t="n">
        <v>0</v>
      </c>
      <c r="BL81" s="40" t="n">
        <v>2.3</v>
      </c>
      <c r="BM81" s="40" t="n">
        <v>0</v>
      </c>
      <c r="BN81" s="40" t="n">
        <v>0</v>
      </c>
      <c r="BO81" s="40" t="n">
        <v>0</v>
      </c>
      <c r="BP81" s="40" t="n">
        <v>0</v>
      </c>
      <c r="BQ81" s="40" t="n">
        <v>50.60373028776118</v>
      </c>
      <c r="BR81" s="31" t="n">
        <v>-4.348268657059279</v>
      </c>
      <c r="BS81" s="7" t="n">
        <v>-4.389083684534015</v>
      </c>
      <c r="BT81" s="7" t="n">
        <v>-4.911112493788075</v>
      </c>
      <c r="BU81" s="7" t="n">
        <v>-7.02427596916737</v>
      </c>
      <c r="BV81" s="40" t="n">
        <v>-14.52910588534452</v>
      </c>
      <c r="BW81" s="31" t="n">
        <v>-0.5244367184318275</v>
      </c>
      <c r="BX81" s="7" t="n">
        <v>-1.468235194738965</v>
      </c>
      <c r="BY81" s="7" t="n">
        <v>-1.032912920843902</v>
      </c>
      <c r="BZ81" s="7" t="n">
        <v>-2.501097703782492</v>
      </c>
      <c r="CA81" s="40" t="n">
        <v>6.870094031144119</v>
      </c>
      <c r="CB81" s="31" t="n">
        <v>1.351553384217309</v>
      </c>
      <c r="CC81" s="7" t="n">
        <v>0.5521251006779906</v>
      </c>
      <c r="CD81" s="7" t="n">
        <v>1.134677949325529</v>
      </c>
      <c r="CE81" s="7" t="n">
        <v>0.9701484135171334</v>
      </c>
    </row>
    <row r="82">
      <c r="A82" s="254" t="n">
        <v>45292</v>
      </c>
      <c r="B82" s="96" t="n">
        <v>0</v>
      </c>
      <c r="C82" s="40" t="n">
        <v>18</v>
      </c>
      <c r="D82" s="31" t="n">
        <v>0</v>
      </c>
      <c r="E82" s="7" t="n">
        <v>0</v>
      </c>
      <c r="F82" s="7" t="n">
        <v>0</v>
      </c>
      <c r="G82" s="7" t="n">
        <v>0</v>
      </c>
      <c r="H82" s="40" t="n">
        <v>29.36860029850134</v>
      </c>
      <c r="I82" s="31" t="n">
        <v>-1.809940952513141</v>
      </c>
      <c r="J82" s="7" t="n">
        <v>-1.994312292123286</v>
      </c>
      <c r="K82" s="7" t="n">
        <v>-2.123700839422529</v>
      </c>
      <c r="L82" s="7" t="n">
        <v>-3.218025286320952</v>
      </c>
      <c r="M82" s="40" t="n">
        <v>-4.104071894510298</v>
      </c>
      <c r="N82" s="31" t="n">
        <v>-4.817848115182528</v>
      </c>
      <c r="O82" s="7" t="n">
        <v>-5.188520314569739</v>
      </c>
      <c r="P82" s="40" t="n">
        <v>65.57886597938143</v>
      </c>
      <c r="Q82" s="31" t="n">
        <v>0</v>
      </c>
      <c r="R82" s="7" t="n">
        <v>0</v>
      </c>
      <c r="S82" s="7" t="n">
        <v>0</v>
      </c>
      <c r="T82" s="7" t="n">
        <v>0</v>
      </c>
      <c r="U82" s="40" t="n">
        <v>11</v>
      </c>
      <c r="V82" s="31" t="n">
        <v>0</v>
      </c>
      <c r="W82" s="7" t="n">
        <v>0</v>
      </c>
      <c r="X82" s="7" t="n">
        <v>0</v>
      </c>
      <c r="Y82" s="7" t="n">
        <v>0</v>
      </c>
      <c r="Z82" s="40" t="n">
        <v>9.524290276940555</v>
      </c>
      <c r="AA82" s="31" t="n">
        <v>0.07467203373182585</v>
      </c>
      <c r="AB82" s="7" t="n">
        <v>0.03619178911213083</v>
      </c>
      <c r="AC82" s="7" t="n">
        <v>0.06533638094592575</v>
      </c>
      <c r="AD82" s="7" t="n">
        <v>0.06578989036416338</v>
      </c>
      <c r="AE82" s="9" t="n">
        <v>5.695141899506098</v>
      </c>
      <c r="AF82" s="7" t="n">
        <v>5.103117578236265</v>
      </c>
      <c r="AG82" s="7" t="n">
        <v>4.882402111283795</v>
      </c>
      <c r="AH82" s="40" t="n">
        <v>3.917163755474628</v>
      </c>
      <c r="AI82" s="31" t="n">
        <v>-0.1275534042826565</v>
      </c>
      <c r="AJ82" s="7" t="n">
        <v>-0.1197719983754022</v>
      </c>
      <c r="AK82" s="7" t="n">
        <v>-0.1399192547675354</v>
      </c>
      <c r="AL82" s="7" t="n">
        <v>-0.1892130277623481</v>
      </c>
      <c r="AM82" s="40" t="n">
        <v>0.6842729840173938</v>
      </c>
      <c r="AN82" s="31" t="n">
        <v>-0.03484707793976394</v>
      </c>
      <c r="AO82" s="7" t="n">
        <v>1.001597328927647</v>
      </c>
      <c r="AP82" s="7" t="n">
        <v>0.4562314294514574</v>
      </c>
      <c r="AQ82" s="7" t="n">
        <v>0.4025946511615793</v>
      </c>
      <c r="AR82" s="40" t="n">
        <v>34.6423863208372</v>
      </c>
      <c r="AS82" s="31" t="n">
        <v>-1.764187633207719</v>
      </c>
      <c r="AT82" s="7" t="n">
        <v>-1.746596301549701</v>
      </c>
      <c r="AU82" s="7" t="n">
        <v>-1.97550400218261</v>
      </c>
      <c r="AV82" s="7" t="n">
        <v>-2.815736348968898</v>
      </c>
      <c r="AW82" s="40" t="n">
        <v>37.07998264671427</v>
      </c>
      <c r="AX82" s="31" t="n">
        <v>-0.6125945622257305</v>
      </c>
      <c r="AY82" s="7" t="n">
        <v>-0.7575364602566879</v>
      </c>
      <c r="AZ82" s="7" t="n">
        <v>-0.758791273004725</v>
      </c>
      <c r="BA82" s="7" t="n">
        <v>-1.215899374859525</v>
      </c>
      <c r="BB82" s="40" t="n">
        <v>135.5174028123871</v>
      </c>
      <c r="BC82" s="31" t="n">
        <v>0</v>
      </c>
      <c r="BD82" s="7" t="n">
        <v>0</v>
      </c>
      <c r="BE82" s="7" t="n">
        <v>0</v>
      </c>
      <c r="BF82" s="7" t="n">
        <v>0</v>
      </c>
      <c r="BG82" s="40" t="n">
        <v>6.608928095913011</v>
      </c>
      <c r="BH82" s="31" t="n">
        <v>0</v>
      </c>
      <c r="BI82" s="7" t="n">
        <v>0</v>
      </c>
      <c r="BJ82" s="7" t="n">
        <v>0</v>
      </c>
      <c r="BK82" s="7" t="n">
        <v>0</v>
      </c>
      <c r="BL82" s="40" t="n">
        <v>2.3</v>
      </c>
      <c r="BM82" s="40" t="n">
        <v>0</v>
      </c>
      <c r="BN82" s="40" t="n">
        <v>0</v>
      </c>
      <c r="BO82" s="40" t="n">
        <v>0</v>
      </c>
      <c r="BP82" s="40" t="n">
        <v>0</v>
      </c>
      <c r="BQ82" s="40" t="n">
        <v>49.60576344783609</v>
      </c>
      <c r="BR82" s="31" t="n">
        <v>-4.222976267903981</v>
      </c>
      <c r="BS82" s="7" t="n">
        <v>-4.34995127041935</v>
      </c>
      <c r="BT82" s="7" t="n">
        <v>-4.811808412579659</v>
      </c>
      <c r="BU82" s="7" t="n">
        <v>-6.969874008460849</v>
      </c>
      <c r="BV82" s="40" t="n">
        <v>-14.38614636099586</v>
      </c>
      <c r="BW82" s="31" t="n">
        <v>-0.07917128804569451</v>
      </c>
      <c r="BX82" s="7" t="n">
        <v>-1.004100731363462</v>
      </c>
      <c r="BY82" s="7" t="n">
        <v>-0.5228945978104971</v>
      </c>
      <c r="BZ82" s="7" t="n">
        <v>-1.763658593974066</v>
      </c>
      <c r="CA82" s="40" t="n">
        <v>7.427840641853664</v>
      </c>
      <c r="CB82" s="31" t="n">
        <v>1.734062759070662</v>
      </c>
      <c r="CC82" s="7" t="n">
        <v>0.91440891306822</v>
      </c>
      <c r="CD82" s="7" t="n">
        <v>1.554393284865576</v>
      </c>
      <c r="CE82" s="7" t="n">
        <v>1.493921500056542</v>
      </c>
    </row>
    <row r="83">
      <c r="A83" s="254" t="n">
        <v>45383</v>
      </c>
      <c r="B83" s="96" t="n">
        <v>0</v>
      </c>
      <c r="C83" s="40" t="n">
        <v>18</v>
      </c>
      <c r="D83" s="31" t="n">
        <v>0</v>
      </c>
      <c r="E83" s="7" t="n">
        <v>0</v>
      </c>
      <c r="F83" s="7" t="n">
        <v>0</v>
      </c>
      <c r="G83" s="7" t="n">
        <v>0</v>
      </c>
      <c r="H83" s="40" t="n">
        <v>28.99252167820012</v>
      </c>
      <c r="I83" s="31" t="n">
        <v>-1.691538999340903</v>
      </c>
      <c r="J83" s="7" t="n">
        <v>-1.899573394765808</v>
      </c>
      <c r="K83" s="7" t="n">
        <v>-2.001201386692927</v>
      </c>
      <c r="L83" s="7" t="n">
        <v>-3.073637613445694</v>
      </c>
      <c r="M83" s="40" t="n">
        <v>-3.67387804508985</v>
      </c>
      <c r="N83" s="31" t="n">
        <v>-4.45847634543361</v>
      </c>
      <c r="O83" s="7" t="n">
        <v>-4.956104770671345</v>
      </c>
      <c r="P83" s="40" t="n">
        <v>65.57886597938143</v>
      </c>
      <c r="Q83" s="31" t="n">
        <v>0</v>
      </c>
      <c r="R83" s="7" t="n">
        <v>0</v>
      </c>
      <c r="S83" s="7" t="n">
        <v>0</v>
      </c>
      <c r="T83" s="7" t="n">
        <v>0</v>
      </c>
      <c r="U83" s="40" t="n">
        <v>11</v>
      </c>
      <c r="V83" s="31" t="n">
        <v>0</v>
      </c>
      <c r="W83" s="7" t="n">
        <v>0</v>
      </c>
      <c r="X83" s="7" t="n">
        <v>0</v>
      </c>
      <c r="Y83" s="7" t="n">
        <v>0</v>
      </c>
      <c r="Z83" s="40" t="n">
        <v>9.553217202612764</v>
      </c>
      <c r="AA83" s="31" t="n">
        <v>0.09258254979474678</v>
      </c>
      <c r="AB83" s="7" t="n">
        <v>0.05337242610756565</v>
      </c>
      <c r="AC83" s="7" t="n">
        <v>0.0852153593401006</v>
      </c>
      <c r="AD83" s="7" t="n">
        <v>0.08866346323776675</v>
      </c>
      <c r="AE83" s="9" t="n">
        <v>5.949556334633485</v>
      </c>
      <c r="AF83" s="7" t="n">
        <v>5.361813345978135</v>
      </c>
      <c r="AG83" s="7" t="n">
        <v>5.000247315535186</v>
      </c>
      <c r="AH83" s="40" t="n">
        <v>3.885142099762998</v>
      </c>
      <c r="AI83" s="31" t="n">
        <v>-0.1282995896109194</v>
      </c>
      <c r="AJ83" s="7" t="n">
        <v>-0.1232014751429253</v>
      </c>
      <c r="AK83" s="7" t="n">
        <v>-0.1419979108853147</v>
      </c>
      <c r="AL83" s="7" t="n">
        <v>-0.195397478071472</v>
      </c>
      <c r="AM83" s="40" t="n">
        <v>0.3400862710261428</v>
      </c>
      <c r="AN83" s="31" t="n">
        <v>-0.3702523763997027</v>
      </c>
      <c r="AO83" s="7" t="n">
        <v>0.7027765469299979</v>
      </c>
      <c r="AP83" s="7" t="n">
        <v>-0.1383546157717053</v>
      </c>
      <c r="AQ83" s="7" t="n">
        <v>0.03427454176974415</v>
      </c>
      <c r="AR83" s="40" t="n">
        <v>34.2214463823738</v>
      </c>
      <c r="AS83" s="31" t="n">
        <v>-1.740554774348169</v>
      </c>
      <c r="AT83" s="7" t="n">
        <v>-1.746070805301159</v>
      </c>
      <c r="AU83" s="7" t="n">
        <v>-1.959794865258587</v>
      </c>
      <c r="AV83" s="7" t="n">
        <v>-2.814025079552202</v>
      </c>
      <c r="AW83" s="40" t="n">
        <v>36.97309118680356</v>
      </c>
      <c r="AX83" s="31" t="n">
        <v>-0.5369806172813369</v>
      </c>
      <c r="AY83" s="7" t="n">
        <v>-0.6886080585523615</v>
      </c>
      <c r="AZ83" s="7" t="n">
        <v>-0.6762986178512662</v>
      </c>
      <c r="BA83" s="7" t="n">
        <v>-1.115519936070541</v>
      </c>
      <c r="BB83" s="40" t="n">
        <v>135.5174028123871</v>
      </c>
      <c r="BC83" s="31" t="n">
        <v>0</v>
      </c>
      <c r="BD83" s="7" t="n">
        <v>0</v>
      </c>
      <c r="BE83" s="7" t="n">
        <v>0</v>
      </c>
      <c r="BF83" s="7" t="n">
        <v>0</v>
      </c>
      <c r="BG83" s="40" t="n">
        <v>6.608928095913011</v>
      </c>
      <c r="BH83" s="31" t="n">
        <v>0</v>
      </c>
      <c r="BI83" s="7" t="n">
        <v>0</v>
      </c>
      <c r="BJ83" s="7" t="n">
        <v>0</v>
      </c>
      <c r="BK83" s="7" t="n">
        <v>0</v>
      </c>
      <c r="BL83" s="40" t="n">
        <v>2.3</v>
      </c>
      <c r="BM83" s="40" t="n">
        <v>0</v>
      </c>
      <c r="BN83" s="40" t="n">
        <v>0</v>
      </c>
      <c r="BO83" s="40" t="n">
        <v>0</v>
      </c>
      <c r="BP83" s="40" t="n">
        <v>0</v>
      </c>
      <c r="BQ83" s="40" t="n">
        <v>48.65829715955351</v>
      </c>
      <c r="BR83" s="31" t="n">
        <v>-4.064589755774115</v>
      </c>
      <c r="BS83" s="7" t="n">
        <v>-4.271835591324301</v>
      </c>
      <c r="BT83" s="7" t="n">
        <v>-4.671786883257411</v>
      </c>
      <c r="BU83" s="7" t="n">
        <v>-6.855196945350073</v>
      </c>
      <c r="BV83" s="40" t="n">
        <v>-14.14514847269008</v>
      </c>
      <c r="BW83" s="31" t="n">
        <v>0.3480841627189921</v>
      </c>
      <c r="BX83" s="7" t="n">
        <v>-0.5510714581682556</v>
      </c>
      <c r="BY83" s="7" t="n">
        <v>-0.03087152666385506</v>
      </c>
      <c r="BZ83" s="7" t="n">
        <v>-1.039385980662475</v>
      </c>
      <c r="CA83" s="40" t="n">
        <v>8.030976379661434</v>
      </c>
      <c r="CB83" s="31" t="n">
        <v>2.04732937705059</v>
      </c>
      <c r="CC83" s="7" t="n">
        <v>1.271866392598668</v>
      </c>
      <c r="CD83" s="7" t="n">
        <v>1.928926794406291</v>
      </c>
      <c r="CE83" s="7" t="n">
        <v>2.005798506763374</v>
      </c>
    </row>
    <row r="84">
      <c r="A84" s="254" t="n">
        <v>45474</v>
      </c>
      <c r="B84" s="96" t="n">
        <v>0</v>
      </c>
      <c r="C84" s="40" t="n">
        <v>18</v>
      </c>
      <c r="D84" s="31" t="n">
        <v>0</v>
      </c>
      <c r="E84" s="7" t="n">
        <v>0</v>
      </c>
      <c r="F84" s="7" t="n">
        <v>0</v>
      </c>
      <c r="G84" s="7" t="n">
        <v>0</v>
      </c>
      <c r="H84" s="40" t="n">
        <v>28.65118415716804</v>
      </c>
      <c r="I84" s="31" t="n">
        <v>-1.565101613630034</v>
      </c>
      <c r="J84" s="7" t="n">
        <v>-1.792587008591452</v>
      </c>
      <c r="K84" s="7" t="n">
        <v>-1.867645559033562</v>
      </c>
      <c r="L84" s="7" t="n">
        <v>-2.909213917949952</v>
      </c>
      <c r="M84" s="40" t="n">
        <v>-3.227367469073897</v>
      </c>
      <c r="N84" s="31" t="n">
        <v>-4.06289805224128</v>
      </c>
      <c r="O84" s="7" t="n">
        <v>-4.672711031298604</v>
      </c>
      <c r="P84" s="40" t="n">
        <v>65.57886597938143</v>
      </c>
      <c r="Q84" s="31" t="n">
        <v>0</v>
      </c>
      <c r="R84" s="7" t="n">
        <v>0</v>
      </c>
      <c r="S84" s="7" t="n">
        <v>0</v>
      </c>
      <c r="T84" s="7" t="n">
        <v>0</v>
      </c>
      <c r="U84" s="40" t="n">
        <v>11</v>
      </c>
      <c r="V84" s="31" t="n">
        <v>0</v>
      </c>
      <c r="W84" s="7" t="n">
        <v>0</v>
      </c>
      <c r="X84" s="7" t="n">
        <v>0</v>
      </c>
      <c r="Y84" s="7" t="n">
        <v>0</v>
      </c>
      <c r="Z84" s="40" t="n">
        <v>9.58416467415983</v>
      </c>
      <c r="AA84" s="31" t="n">
        <v>0.1070663525776698</v>
      </c>
      <c r="AB84" s="7" t="n">
        <v>0.0704274777120304</v>
      </c>
      <c r="AC84" s="7" t="n">
        <v>0.1028197243602769</v>
      </c>
      <c r="AD84" s="7" t="n">
        <v>0.1118437924443985</v>
      </c>
      <c r="AE84" s="9" t="n">
        <v>6.141148516714338</v>
      </c>
      <c r="AF84" s="7" t="n">
        <v>5.610789107647747</v>
      </c>
      <c r="AG84" s="7" t="n">
        <v>5.153998931356152</v>
      </c>
      <c r="AH84" s="40" t="n">
        <v>3.853642866432681</v>
      </c>
      <c r="AI84" s="31" t="n">
        <v>-0.1279390191795096</v>
      </c>
      <c r="AJ84" s="7" t="n">
        <v>-0.125268424187795</v>
      </c>
      <c r="AK84" s="7" t="n">
        <v>-0.1426967754298998</v>
      </c>
      <c r="AL84" s="7" t="n">
        <v>-0.1994283835734723</v>
      </c>
      <c r="AM84" s="40" t="n">
        <v>0.3360864553831219</v>
      </c>
      <c r="AN84" s="31" t="n">
        <v>-0.3654686743878487</v>
      </c>
      <c r="AO84" s="7" t="n">
        <v>-0.1604719586636967</v>
      </c>
      <c r="AP84" s="7" t="n">
        <v>-0.3180485681472257</v>
      </c>
      <c r="AQ84" s="7" t="n">
        <v>0.03451399248443299</v>
      </c>
      <c r="AR84" s="40" t="n">
        <v>33.81896181234394</v>
      </c>
      <c r="AS84" s="31" t="n">
        <v>-1.698360073146823</v>
      </c>
      <c r="AT84" s="7" t="n">
        <v>-1.732561790194509</v>
      </c>
      <c r="AU84" s="7" t="n">
        <v>-1.925761733963164</v>
      </c>
      <c r="AV84" s="7" t="n">
        <v>-2.789930164549546</v>
      </c>
      <c r="AW84" s="40" t="n">
        <v>36.88322776386217</v>
      </c>
      <c r="AX84" s="31" t="n">
        <v>-0.4643636554019466</v>
      </c>
      <c r="AY84" s="7" t="n">
        <v>-0.6160023837752568</v>
      </c>
      <c r="AZ84" s="7" t="n">
        <v>-0.5940100261545567</v>
      </c>
      <c r="BA84" s="7" t="n">
        <v>-1.008489040698962</v>
      </c>
      <c r="BB84" s="40" t="n">
        <v>135.5174028123871</v>
      </c>
      <c r="BC84" s="31" t="n">
        <v>0</v>
      </c>
      <c r="BD84" s="7" t="n">
        <v>0</v>
      </c>
      <c r="BE84" s="7" t="n">
        <v>0</v>
      </c>
      <c r="BF84" s="7" t="n">
        <v>0</v>
      </c>
      <c r="BG84" s="40" t="n">
        <v>6.608928095913011</v>
      </c>
      <c r="BH84" s="31" t="n">
        <v>0</v>
      </c>
      <c r="BI84" s="7" t="n">
        <v>0</v>
      </c>
      <c r="BJ84" s="7" t="n">
        <v>0</v>
      </c>
      <c r="BK84" s="7" t="n">
        <v>0</v>
      </c>
      <c r="BL84" s="40" t="n">
        <v>2.3</v>
      </c>
      <c r="BM84" s="40" t="n">
        <v>0</v>
      </c>
      <c r="BN84" s="40" t="n">
        <v>0</v>
      </c>
      <c r="BO84" s="40" t="n">
        <v>0</v>
      </c>
      <c r="BP84" s="40" t="n">
        <v>0</v>
      </c>
      <c r="BQ84" s="40" t="n">
        <v>47.76903170802204</v>
      </c>
      <c r="BR84" s="31" t="n">
        <v>-3.876066667397424</v>
      </c>
      <c r="BS84" s="7" t="n">
        <v>-4.155727302679129</v>
      </c>
      <c r="BT84" s="7" t="n">
        <v>-4.493093436957793</v>
      </c>
      <c r="BU84" s="7" t="n">
        <v>-6.681575296387699</v>
      </c>
      <c r="BV84" s="40" t="inlineStr"/>
      <c r="BW84" s="31" t="inlineStr"/>
      <c r="BX84" s="7" t="inlineStr"/>
      <c r="BY84" s="7" t="inlineStr"/>
      <c r="BZ84" s="7" t="inlineStr"/>
      <c r="CA84" s="40" t="n">
        <v>8.656221501562232</v>
      </c>
      <c r="CB84" s="31" t="n">
        <v>2.274951808606574</v>
      </c>
      <c r="CC84" s="7" t="n">
        <v>1.601119156129641</v>
      </c>
      <c r="CD84" s="7" t="n">
        <v>2.236205318157422</v>
      </c>
      <c r="CE84" s="7" t="n">
        <v>2.475058578731139</v>
      </c>
    </row>
    <row r="85">
      <c r="A85" s="254" t="n">
        <v>45566</v>
      </c>
      <c r="B85" s="96" t="n">
        <v>0</v>
      </c>
      <c r="C85" s="40" t="n">
        <v>18</v>
      </c>
      <c r="D85" s="31" t="n">
        <v>0</v>
      </c>
      <c r="E85" s="7" t="n">
        <v>0</v>
      </c>
      <c r="F85" s="7" t="n">
        <v>0</v>
      </c>
      <c r="G85" s="7" t="n">
        <v>0</v>
      </c>
      <c r="H85" s="40" t="n">
        <v>28.34667512295677</v>
      </c>
      <c r="I85" s="31" t="n">
        <v>-1.430517670725298</v>
      </c>
      <c r="J85" s="7" t="n">
        <v>-1.675200981283977</v>
      </c>
      <c r="K85" s="7" t="n">
        <v>-1.724007841096959</v>
      </c>
      <c r="L85" s="7" t="n">
        <v>-2.726517653308644</v>
      </c>
      <c r="M85" s="40" t="n">
        <v>-2.765572093677292</v>
      </c>
      <c r="N85" s="31" t="n">
        <v>-3.64005093707533</v>
      </c>
      <c r="O85" s="7" t="n">
        <v>-4.343665711433384</v>
      </c>
      <c r="P85" s="40" t="n">
        <v>65.57886597938143</v>
      </c>
      <c r="Q85" s="31" t="n">
        <v>0</v>
      </c>
      <c r="R85" s="7" t="n">
        <v>0</v>
      </c>
      <c r="S85" s="7" t="n">
        <v>0</v>
      </c>
      <c r="T85" s="7" t="n">
        <v>0</v>
      </c>
      <c r="U85" s="40" t="n">
        <v>11</v>
      </c>
      <c r="V85" s="31" t="n">
        <v>0</v>
      </c>
      <c r="W85" s="7" t="n">
        <v>0</v>
      </c>
      <c r="X85" s="7" t="n">
        <v>0</v>
      </c>
      <c r="Y85" s="7" t="n">
        <v>0</v>
      </c>
      <c r="Z85" s="40" t="n">
        <v>9.615816569992285</v>
      </c>
      <c r="AA85" s="31" t="n">
        <v>0.1172393560966256</v>
      </c>
      <c r="AB85" s="7" t="n">
        <v>0.0859013006947551</v>
      </c>
      <c r="AC85" s="7" t="n">
        <v>0.1168647507647229</v>
      </c>
      <c r="AD85" s="7" t="n">
        <v>0.1332428601754376</v>
      </c>
      <c r="AE85" s="9" t="n">
        <v>6.25702123195731</v>
      </c>
      <c r="AF85" s="7" t="n">
        <v>5.827105164406873</v>
      </c>
      <c r="AG85" s="7" t="n">
        <v>5.326169854147452</v>
      </c>
      <c r="AH85" s="40" t="n">
        <v>3.82301829001052</v>
      </c>
      <c r="AI85" s="31" t="n">
        <v>-0.1263829822332583</v>
      </c>
      <c r="AJ85" s="7" t="n">
        <v>-0.1260356339285322</v>
      </c>
      <c r="AK85" s="7" t="n">
        <v>-0.1420042458051127</v>
      </c>
      <c r="AL85" s="7" t="n">
        <v>-0.2013004551720101</v>
      </c>
      <c r="AM85" s="40" t="n">
        <v>0.3323307908026398</v>
      </c>
      <c r="AN85" s="31" t="n">
        <v>-0.3605070570123343</v>
      </c>
      <c r="AO85" s="7" t="n">
        <v>-0.1977540413585705</v>
      </c>
      <c r="AP85" s="7" t="n">
        <v>-0.2816862430617835</v>
      </c>
      <c r="AQ85" s="7" t="n">
        <v>0.03500850128303989</v>
      </c>
      <c r="AR85" s="40" t="n">
        <v>33.44104513348667</v>
      </c>
      <c r="AS85" s="31" t="n">
        <v>-1.634950766263245</v>
      </c>
      <c r="AT85" s="7" t="n">
        <v>-1.70346612250929</v>
      </c>
      <c r="AU85" s="7" t="n">
        <v>-1.870537965271794</v>
      </c>
      <c r="AV85" s="7" t="n">
        <v>-2.740169830837523</v>
      </c>
      <c r="AW85" s="40" t="n">
        <v>36.8098380233969</v>
      </c>
      <c r="AX85" s="31" t="n">
        <v>-0.3947126655878321</v>
      </c>
      <c r="AY85" s="7" t="n">
        <v>-0.5424834052663527</v>
      </c>
      <c r="AZ85" s="7" t="n">
        <v>-0.513399170676017</v>
      </c>
      <c r="BA85" s="7" t="n">
        <v>-0.8977268626243244</v>
      </c>
      <c r="BB85" s="40" t="n">
        <v>135.5174028123871</v>
      </c>
      <c r="BC85" s="31" t="n">
        <v>0</v>
      </c>
      <c r="BD85" s="7" t="n">
        <v>0</v>
      </c>
      <c r="BE85" s="7" t="n">
        <v>0</v>
      </c>
      <c r="BF85" s="7" t="n">
        <v>0</v>
      </c>
      <c r="BG85" s="40" t="n">
        <v>6.608928095913011</v>
      </c>
      <c r="BH85" s="31" t="n">
        <v>0</v>
      </c>
      <c r="BI85" s="7" t="n">
        <v>0</v>
      </c>
      <c r="BJ85" s="7" t="n">
        <v>0</v>
      </c>
      <c r="BK85" s="7" t="n">
        <v>0</v>
      </c>
      <c r="BL85" s="40" t="n">
        <v>2.3</v>
      </c>
      <c r="BM85" s="40" t="n">
        <v>0</v>
      </c>
      <c r="BN85" s="40" t="n">
        <v>0</v>
      </c>
      <c r="BO85" s="40" t="n">
        <v>0</v>
      </c>
      <c r="BP85" s="40" t="n">
        <v>0</v>
      </c>
      <c r="BQ85" s="40" t="n">
        <v>46.94620021017545</v>
      </c>
      <c r="BR85" s="31" t="n">
        <v>-3.657530077585733</v>
      </c>
      <c r="BS85" s="7" t="n">
        <v>-4.002899367322506</v>
      </c>
      <c r="BT85" s="7" t="n">
        <v>-4.276993109134601</v>
      </c>
      <c r="BU85" s="7" t="n">
        <v>-6.450096861121786</v>
      </c>
      <c r="BV85" s="40" t="inlineStr"/>
      <c r="BW85" s="31" t="inlineStr"/>
      <c r="BX85" s="7" t="inlineStr"/>
      <c r="BY85" s="7" t="inlineStr"/>
      <c r="BZ85" s="7" t="inlineStr"/>
      <c r="CA85" s="40" t="n">
        <v>9.281794699123306</v>
      </c>
      <c r="CB85" s="31" t="n">
        <v>2.411700667979187</v>
      </c>
      <c r="CC85" s="7" t="n">
        <v>1.881627026098248</v>
      </c>
      <c r="CD85" s="7" t="n">
        <v>2.461498726686086</v>
      </c>
      <c r="CE85" s="7" t="n">
        <v>2.876089598392459</v>
      </c>
    </row>
    <row r="86">
      <c r="A86" s="254" t="n">
        <v>45658</v>
      </c>
      <c r="B86" s="96" t="n">
        <v>0</v>
      </c>
      <c r="C86" s="40" t="n">
        <v>18</v>
      </c>
      <c r="D86" s="31" t="n">
        <v>0</v>
      </c>
      <c r="E86" s="7" t="n">
        <v>0</v>
      </c>
      <c r="F86" s="7" t="n">
        <v>0</v>
      </c>
      <c r="G86" s="7" t="n">
        <v>0</v>
      </c>
      <c r="H86" s="40" t="n">
        <v>28.08037675073655</v>
      </c>
      <c r="I86" s="31" t="n">
        <v>-1.288223547764787</v>
      </c>
      <c r="J86" s="7" t="n">
        <v>-1.549082250138964</v>
      </c>
      <c r="K86" s="7" t="n">
        <v>-1.571505967996185</v>
      </c>
      <c r="L86" s="7" t="n">
        <v>-2.527739112614885</v>
      </c>
      <c r="M86" s="40" t="n">
        <v>-2.290164297093042</v>
      </c>
      <c r="N86" s="31" t="n">
        <v>-3.19711809580167</v>
      </c>
      <c r="O86" s="7" t="n">
        <v>-3.975286842486033</v>
      </c>
      <c r="P86" s="40" t="n">
        <v>65.57886597938143</v>
      </c>
      <c r="Q86" s="31" t="n">
        <v>0</v>
      </c>
      <c r="R86" s="7" t="n">
        <v>0</v>
      </c>
      <c r="S86" s="7" t="n">
        <v>0</v>
      </c>
      <c r="T86" s="7" t="n">
        <v>0</v>
      </c>
      <c r="U86" s="40" t="n">
        <v>11</v>
      </c>
      <c r="V86" s="31" t="n">
        <v>0</v>
      </c>
      <c r="W86" s="7" t="n">
        <v>0</v>
      </c>
      <c r="X86" s="7" t="n">
        <v>0</v>
      </c>
      <c r="Y86" s="7" t="n">
        <v>0</v>
      </c>
      <c r="Z86" s="40" t="n">
        <v>9.646858937455391</v>
      </c>
      <c r="AA86" s="31" t="n">
        <v>0.1225686605148368</v>
      </c>
      <c r="AB86" s="7" t="n">
        <v>0.09862034712333134</v>
      </c>
      <c r="AC86" s="7" t="n">
        <v>0.1264317930541417</v>
      </c>
      <c r="AD86" s="7" t="n">
        <v>0.1510989464835202</v>
      </c>
      <c r="AE86" s="9" t="n">
        <v>6.291182338168596</v>
      </c>
      <c r="AF86" s="7" t="n">
        <v>5.993162118837347</v>
      </c>
      <c r="AG86" s="7" t="n">
        <v>5.499139164880376</v>
      </c>
      <c r="AH86" s="40" t="n">
        <v>3.793634560922197</v>
      </c>
      <c r="AI86" s="31" t="n">
        <v>-0.1235291945524306</v>
      </c>
      <c r="AJ86" s="7" t="n">
        <v>-0.1255412994175436</v>
      </c>
      <c r="AK86" s="7" t="n">
        <v>-0.1398790664113028</v>
      </c>
      <c r="AL86" s="7" t="n">
        <v>-0.2010013635459806</v>
      </c>
      <c r="AM86" s="40" t="n">
        <v>0.328881356368533</v>
      </c>
      <c r="AN86" s="31" t="n">
        <v>-0.3553916276488608</v>
      </c>
      <c r="AO86" s="7" t="n">
        <v>-0.1951193527943124</v>
      </c>
      <c r="AP86" s="7" t="n">
        <v>-0.2356971671562478</v>
      </c>
      <c r="AQ86" s="7" t="n">
        <v>0.03578894488880052</v>
      </c>
      <c r="AR86" s="40" t="n">
        <v>33.09394310205176</v>
      </c>
      <c r="AS86" s="31" t="n">
        <v>-1.548443218785444</v>
      </c>
      <c r="AT86" s="7" t="n">
        <v>-1.656315425996581</v>
      </c>
      <c r="AU86" s="7" t="n">
        <v>-1.791773466079384</v>
      </c>
      <c r="AV86" s="7" t="n">
        <v>-2.661637084048252</v>
      </c>
      <c r="AW86" s="40" t="n">
        <v>36.75212850507211</v>
      </c>
      <c r="AX86" s="31" t="n">
        <v>-0.3278541416421561</v>
      </c>
      <c r="AY86" s="7" t="n">
        <v>-0.4702243519339433</v>
      </c>
      <c r="AZ86" s="7" t="n">
        <v>-0.4354878376842208</v>
      </c>
      <c r="BA86" s="7" t="n">
        <v>-0.7858990764719636</v>
      </c>
      <c r="BB86" s="40" t="n">
        <v>135.5174028123871</v>
      </c>
      <c r="BC86" s="31" t="n">
        <v>0</v>
      </c>
      <c r="BD86" s="7" t="n">
        <v>0</v>
      </c>
      <c r="BE86" s="7" t="n">
        <v>0</v>
      </c>
      <c r="BF86" s="7" t="n">
        <v>0</v>
      </c>
      <c r="BG86" s="40" t="n">
        <v>6.608928095913011</v>
      </c>
      <c r="BH86" s="31" t="n">
        <v>0</v>
      </c>
      <c r="BI86" s="7" t="n">
        <v>0</v>
      </c>
      <c r="BJ86" s="7" t="n">
        <v>0</v>
      </c>
      <c r="BK86" s="7" t="n">
        <v>0</v>
      </c>
      <c r="BL86" s="40" t="n">
        <v>2.3</v>
      </c>
      <c r="BM86" s="40" t="n">
        <v>0</v>
      </c>
      <c r="BN86" s="40" t="n">
        <v>0</v>
      </c>
      <c r="BO86" s="40" t="n">
        <v>0</v>
      </c>
      <c r="BP86" s="40" t="n">
        <v>0</v>
      </c>
      <c r="BQ86" s="40" t="n">
        <v>46.19785776866974</v>
      </c>
      <c r="BR86" s="31" t="n">
        <v>-3.407905679166348</v>
      </c>
      <c r="BS86" s="7" t="n">
        <v>-3.815440973535164</v>
      </c>
      <c r="BT86" s="7" t="n">
        <v>-4.024610708809682</v>
      </c>
      <c r="BU86" s="7" t="n">
        <v>-6.162131182073011</v>
      </c>
      <c r="BV86" s="40" t="inlineStr"/>
      <c r="BW86" s="31" t="inlineStr"/>
      <c r="BX86" s="7" t="inlineStr"/>
      <c r="BY86" s="7" t="inlineStr"/>
      <c r="BZ86" s="7" t="inlineStr"/>
      <c r="CA86" s="40" t="n">
        <v>9.887297195460231</v>
      </c>
      <c r="CB86" s="31" t="n">
        <v>2.459456553606567</v>
      </c>
      <c r="CC86" s="7" t="n">
        <v>2.096759656338615</v>
      </c>
      <c r="CD86" s="7" t="n">
        <v>2.596594466498448</v>
      </c>
      <c r="CE86" s="7" t="n">
        <v>3.188596188951453</v>
      </c>
    </row>
    <row r="87">
      <c r="A87" s="254" t="n">
        <v>45748</v>
      </c>
      <c r="B87" s="96" t="n">
        <v>0</v>
      </c>
      <c r="C87" s="108" t="n">
        <v>18</v>
      </c>
      <c r="D87" s="7" t="n">
        <v>0</v>
      </c>
      <c r="E87" s="7" t="n">
        <v>0</v>
      </c>
      <c r="F87" s="7" t="n">
        <v>0</v>
      </c>
      <c r="G87" s="7" t="n">
        <v>0</v>
      </c>
      <c r="H87" s="108" t="n">
        <v>27.85304163891622</v>
      </c>
      <c r="I87" s="7" t="n">
        <v>-1.1394800392839</v>
      </c>
      <c r="J87" s="7" t="n">
        <v>-1.415509519312401</v>
      </c>
      <c r="K87" s="7" t="n">
        <v>-1.411570517281774</v>
      </c>
      <c r="L87" s="7" t="n">
        <v>-2.315336880100933</v>
      </c>
      <c r="M87" s="108" t="n">
        <v>-1.804553854985215</v>
      </c>
      <c r="N87" s="7" t="n">
        <v>-2.739215950037533</v>
      </c>
      <c r="O87" s="7" t="n">
        <v>-3.573835515284145</v>
      </c>
      <c r="P87" s="108" t="n">
        <v>65.57886597938143</v>
      </c>
      <c r="Q87" s="7" t="n">
        <v>0</v>
      </c>
      <c r="R87" s="7" t="n">
        <v>0</v>
      </c>
      <c r="S87" s="7" t="n">
        <v>0</v>
      </c>
      <c r="T87" s="7" t="n">
        <v>0</v>
      </c>
      <c r="U87" s="108" t="n">
        <v>11</v>
      </c>
      <c r="V87" s="7" t="n">
        <v>0</v>
      </c>
      <c r="W87" s="7" t="n">
        <v>0</v>
      </c>
      <c r="X87" s="7" t="n">
        <v>0</v>
      </c>
      <c r="Y87" s="7" t="n">
        <v>0</v>
      </c>
      <c r="Z87" s="108" t="n">
        <v>9.676148720940846</v>
      </c>
      <c r="AA87" s="7" t="n">
        <v>0.1229315183280821</v>
      </c>
      <c r="AB87" s="7" t="n">
        <v>0.1077570340614145</v>
      </c>
      <c r="AC87" s="7" t="n">
        <v>0.1310664897587639</v>
      </c>
      <c r="AD87" s="7" t="n">
        <v>0.1641427100740493</v>
      </c>
      <c r="AE87" s="7" t="n">
        <v>6.245268718355419</v>
      </c>
      <c r="AF87" s="7" t="n">
        <v>6.097412526494452</v>
      </c>
      <c r="AG87" s="7" t="n">
        <v>5.656298470103896</v>
      </c>
      <c r="AH87" s="7" t="n">
        <v>3.765874411855556</v>
      </c>
      <c r="AI87" s="7" t="n">
        <v>-0.1192676879074419</v>
      </c>
      <c r="AJ87" s="7" t="n">
        <v>-0.1237836387591806</v>
      </c>
      <c r="AK87" s="7" t="n">
        <v>-0.1362538906235575</v>
      </c>
      <c r="AL87" s="7" t="n">
        <v>-0.1985054133373523</v>
      </c>
      <c r="AM87" s="108" t="n">
        <v>0.3258061214763633</v>
      </c>
      <c r="AN87" s="7" t="n">
        <v>-0.01428014954977946</v>
      </c>
      <c r="AO87" s="7" t="n">
        <v>-0.1922662629747411</v>
      </c>
      <c r="AP87" s="7" t="n">
        <v>-0.1899925638498394</v>
      </c>
      <c r="AQ87" s="7" t="n">
        <v>-0.1046032091872385</v>
      </c>
      <c r="AR87" s="108" t="n">
        <v>32.78449519150232</v>
      </c>
      <c r="AS87" s="7" t="n">
        <v>-1.436951190871476</v>
      </c>
      <c r="AT87" s="7" t="n">
        <v>-1.588752982609822</v>
      </c>
      <c r="AU87" s="7" t="n">
        <v>-1.687142520129683</v>
      </c>
      <c r="AV87" s="7" t="n">
        <v>-2.550948676107282</v>
      </c>
      <c r="AW87" s="108" t="n">
        <v>36.70934994047217</v>
      </c>
      <c r="AX87" s="7" t="n">
        <v>-0.2637412463313851</v>
      </c>
      <c r="AY87" s="7" t="n">
        <v>-0.400360931806361</v>
      </c>
      <c r="AZ87" s="7" t="n">
        <v>-0.3607103143006753</v>
      </c>
      <c r="BA87" s="7" t="n">
        <v>-0.6751003858922715</v>
      </c>
      <c r="BB87" s="108" t="n">
        <v>135.5174028123871</v>
      </c>
      <c r="BC87" s="7" t="n">
        <v>0</v>
      </c>
      <c r="BD87" s="7" t="n">
        <v>0</v>
      </c>
      <c r="BE87" s="7" t="n">
        <v>0</v>
      </c>
      <c r="BF87" s="7" t="n">
        <v>0</v>
      </c>
      <c r="BG87" s="108" t="n">
        <v>6.608928095913011</v>
      </c>
      <c r="BH87" s="7" t="n">
        <v>0</v>
      </c>
      <c r="BI87" s="7" t="n">
        <v>0</v>
      </c>
      <c r="BJ87" s="7" t="n">
        <v>0</v>
      </c>
      <c r="BK87" s="7" t="n">
        <v>0</v>
      </c>
      <c r="BL87" s="108" t="n">
        <v>2.3</v>
      </c>
      <c r="BM87" s="108" t="n">
        <v>0</v>
      </c>
      <c r="BN87" s="108" t="n">
        <v>0</v>
      </c>
      <c r="BO87" s="108" t="n">
        <v>0</v>
      </c>
      <c r="BP87" s="108" t="n">
        <v>0</v>
      </c>
      <c r="BQ87" s="108" t="n">
        <v>45.53104886374123</v>
      </c>
      <c r="BR87" s="7" t="n">
        <v>-3.127248295812272</v>
      </c>
      <c r="BS87" s="7" t="n">
        <v>-3.595919025793194</v>
      </c>
      <c r="BT87" s="7" t="n">
        <v>-3.737559370354397</v>
      </c>
      <c r="BU87" s="7" t="n">
        <v>-5.819956068667771</v>
      </c>
      <c r="BV87" s="108" t="inlineStr"/>
      <c r="BW87" s="7" t="inlineStr"/>
      <c r="BX87" s="7" t="inlineStr"/>
      <c r="BY87" s="7" t="inlineStr"/>
      <c r="BZ87" s="7" t="inlineStr"/>
      <c r="CA87" s="108" t="n">
        <v>10.45448031418647</v>
      </c>
      <c r="CB87" s="7" t="n">
        <v>2.423503934525041</v>
      </c>
      <c r="CC87" s="7" t="n">
        <v>2.235416655787815</v>
      </c>
      <c r="CD87" s="7" t="n">
        <v>2.639587671140038</v>
      </c>
      <c r="CE87" s="7" t="n">
        <v>3.398423109365778</v>
      </c>
    </row>
    <row r="88">
      <c r="A88" s="254" t="n">
        <v>45839</v>
      </c>
      <c r="B88" s="96" t="n">
        <v>0</v>
      </c>
      <c r="C88" s="108" t="n">
        <v>18</v>
      </c>
      <c r="D88" s="7" t="n">
        <v>0</v>
      </c>
      <c r="E88" s="7" t="n">
        <v>0</v>
      </c>
      <c r="F88" s="7" t="n">
        <v>0</v>
      </c>
      <c r="G88" s="7" t="n">
        <v>0</v>
      </c>
      <c r="H88" s="108" t="n">
        <v>27.66514206444763</v>
      </c>
      <c r="I88" s="7" t="n">
        <v>-0.9860420927204032</v>
      </c>
      <c r="J88" s="7" t="n">
        <v>-1.275571853175219</v>
      </c>
      <c r="K88" s="7" t="n">
        <v>-1.245592711922267</v>
      </c>
      <c r="L88" s="7" t="n">
        <v>-2.091684218834899</v>
      </c>
      <c r="M88" s="108" t="n">
        <v>-1.31154071586252</v>
      </c>
      <c r="N88" s="7" t="n">
        <v>-2.269454092468209</v>
      </c>
      <c r="O88" s="7" t="n">
        <v>-3.145778940115027</v>
      </c>
      <c r="P88" s="108" t="n">
        <v>65.57886597938143</v>
      </c>
      <c r="Q88" s="7" t="n">
        <v>0</v>
      </c>
      <c r="R88" s="7" t="n">
        <v>0</v>
      </c>
      <c r="S88" s="7" t="n">
        <v>0</v>
      </c>
      <c r="T88" s="7" t="n">
        <v>0</v>
      </c>
      <c r="U88" s="108" t="n">
        <v>11</v>
      </c>
      <c r="V88" s="7" t="n">
        <v>0</v>
      </c>
      <c r="W88" s="7" t="n">
        <v>0</v>
      </c>
      <c r="X88" s="7" t="n">
        <v>0</v>
      </c>
      <c r="Y88" s="7" t="n">
        <v>0</v>
      </c>
      <c r="Z88" s="108" t="n">
        <v>9.702850359265438</v>
      </c>
      <c r="AA88" s="7" t="n">
        <v>0.1186856851056088</v>
      </c>
      <c r="AB88" s="7" t="n">
        <v>0.1128760188416393</v>
      </c>
      <c r="AC88" s="7" t="n">
        <v>0.1308288695680027</v>
      </c>
      <c r="AD88" s="7" t="n">
        <v>0.1717046508533748</v>
      </c>
      <c r="AE88" s="7" t="n">
        <v>6.128738509821574</v>
      </c>
      <c r="AF88" s="7" t="n">
        <v>6.134943513267956</v>
      </c>
      <c r="AG88" s="7" t="n">
        <v>5.783438908372356</v>
      </c>
      <c r="AH88" s="7" t="n">
        <v>3.740089540995083</v>
      </c>
      <c r="AI88" s="7" t="n">
        <v>-0.1135533254375982</v>
      </c>
      <c r="AJ88" s="7" t="n">
        <v>-0.1207461723085539</v>
      </c>
      <c r="AK88" s="7" t="n">
        <v>-0.1310928517942354</v>
      </c>
      <c r="AL88" s="7" t="n">
        <v>-0.1938177310150504</v>
      </c>
      <c r="AM88" s="108" t="n">
        <v>0.323169898552068</v>
      </c>
      <c r="AN88" s="7" t="n">
        <v>-0.01291655683105392</v>
      </c>
      <c r="AO88" s="7" t="n">
        <v>-0.1891926156094513</v>
      </c>
      <c r="AP88" s="7" t="n">
        <v>-0.1445622210304494</v>
      </c>
      <c r="AQ88" s="7" t="n">
        <v>-0.2231788441373852</v>
      </c>
      <c r="AR88" s="108" t="n">
        <v>32.51922320276973</v>
      </c>
      <c r="AS88" s="7" t="n">
        <v>-1.299738609574206</v>
      </c>
      <c r="AT88" s="7" t="n">
        <v>-1.499049341360514</v>
      </c>
      <c r="AU88" s="7" t="n">
        <v>-1.555226263209818</v>
      </c>
      <c r="AV88" s="7" t="n">
        <v>-2.405462931383724</v>
      </c>
      <c r="AW88" s="108" t="n">
        <v>36.68123073563797</v>
      </c>
      <c r="AX88" s="7" t="n">
        <v>-0.2019970282242056</v>
      </c>
      <c r="AY88" s="7" t="n">
        <v>-0.3331803418130761</v>
      </c>
      <c r="AZ88" s="7" t="n">
        <v>-0.2887392861832865</v>
      </c>
      <c r="BA88" s="7" t="n">
        <v>-0.5664731437734716</v>
      </c>
      <c r="BB88" s="108" t="n">
        <v>135.5174028123871</v>
      </c>
      <c r="BC88" s="7" t="n">
        <v>0</v>
      </c>
      <c r="BD88" s="7" t="n">
        <v>0</v>
      </c>
      <c r="BE88" s="7" t="n">
        <v>0</v>
      </c>
      <c r="BF88" s="7" t="n">
        <v>0</v>
      </c>
      <c r="BG88" s="108" t="n">
        <v>6.608928095913011</v>
      </c>
      <c r="BH88" s="7" t="n">
        <v>0</v>
      </c>
      <c r="BI88" s="7" t="n">
        <v>0</v>
      </c>
      <c r="BJ88" s="7" t="n">
        <v>0</v>
      </c>
      <c r="BK88" s="7" t="n">
        <v>0</v>
      </c>
      <c r="BL88" s="108" t="n">
        <v>2.3</v>
      </c>
      <c r="BM88" s="108" t="n">
        <v>0</v>
      </c>
      <c r="BN88" s="108" t="n">
        <v>0</v>
      </c>
      <c r="BO88" s="108" t="n">
        <v>0</v>
      </c>
      <c r="BP88" s="108" t="n">
        <v>0</v>
      </c>
      <c r="BQ88" s="108" t="n">
        <v>44.95204832958986</v>
      </c>
      <c r="BR88" s="7" t="n">
        <v>-2.816983378432184</v>
      </c>
      <c r="BS88" s="7" t="n">
        <v>-3.346525022914804</v>
      </c>
      <c r="BT88" s="7" t="n">
        <v>-3.417580148057482</v>
      </c>
      <c r="BU88" s="7" t="n">
        <v>-5.426379979614062</v>
      </c>
      <c r="BV88" s="108" t="inlineStr"/>
      <c r="BW88" s="7" t="inlineStr"/>
      <c r="BX88" s="7" t="inlineStr"/>
      <c r="BY88" s="7" t="inlineStr"/>
      <c r="BZ88" s="7" t="inlineStr"/>
      <c r="CA88" s="108" t="n">
        <v>10.96857395393259</v>
      </c>
      <c r="CB88" s="7" t="n">
        <v>2.312352452370359</v>
      </c>
      <c r="CC88" s="7" t="n">
        <v>2.293652130488467</v>
      </c>
      <c r="CD88" s="7" t="n">
        <v>2.594827146939201</v>
      </c>
      <c r="CE88" s="7" t="n">
        <v>3.498580355801697</v>
      </c>
    </row>
    <row r="89">
      <c r="A89" s="254" t="n">
        <v>45931</v>
      </c>
      <c r="B89" s="96" t="n">
        <v>0</v>
      </c>
      <c r="C89" s="108" t="n">
        <v>18</v>
      </c>
      <c r="D89" s="7" t="n">
        <v>0</v>
      </c>
      <c r="E89" s="7" t="n">
        <v>0</v>
      </c>
      <c r="F89" s="7" t="n">
        <v>0</v>
      </c>
      <c r="G89" s="7" t="n">
        <v>0</v>
      </c>
      <c r="H89" s="108" t="n">
        <v>27.51687480221797</v>
      </c>
      <c r="I89" s="7" t="n">
        <v>-0.8298003207387978</v>
      </c>
      <c r="J89" s="7" t="n">
        <v>-1.130158995732048</v>
      </c>
      <c r="K89" s="7" t="n">
        <v>-1.074967010858121</v>
      </c>
      <c r="L89" s="7" t="n">
        <v>-1.859016805239285</v>
      </c>
      <c r="M89" s="108" t="n">
        <v>-0.8134795010103062</v>
      </c>
      <c r="N89" s="7" t="n">
        <v>-1.789525797343799</v>
      </c>
      <c r="O89" s="7" t="n">
        <v>-2.697860458386989</v>
      </c>
      <c r="P89" s="108" t="n">
        <v>65.57886597938143</v>
      </c>
      <c r="Q89" s="7" t="n">
        <v>0</v>
      </c>
      <c r="R89" s="7" t="n">
        <v>0</v>
      </c>
      <c r="S89" s="7" t="n">
        <v>0</v>
      </c>
      <c r="T89" s="7" t="n">
        <v>0</v>
      </c>
      <c r="U89" s="108" t="n">
        <v>11</v>
      </c>
      <c r="V89" s="7" t="n">
        <v>0</v>
      </c>
      <c r="W89" s="7" t="n">
        <v>0</v>
      </c>
      <c r="X89" s="7" t="n">
        <v>0</v>
      </c>
      <c r="Y89" s="7" t="n">
        <v>0</v>
      </c>
      <c r="Z89" s="108" t="n">
        <v>9.726461504957605</v>
      </c>
      <c r="AA89" s="7" t="n">
        <v>0.11064493496532</v>
      </c>
      <c r="AB89" s="7" t="n">
        <v>0.1139421455309728</v>
      </c>
      <c r="AC89" s="7" t="n">
        <v>0.1262210105497594</v>
      </c>
      <c r="AD89" s="7" t="n">
        <v>0.1736874098347343</v>
      </c>
      <c r="AE89" s="7" t="n">
        <v>5.956736562549509</v>
      </c>
      <c r="AF89" s="7" t="n">
        <v>6.106878897253409</v>
      </c>
      <c r="AG89" s="7" t="n">
        <v>5.870315630454418</v>
      </c>
      <c r="AH89" s="7" t="n">
        <v>3.716548768486463</v>
      </c>
      <c r="AI89" s="7" t="n">
        <v>-0.106469521524057</v>
      </c>
      <c r="AJ89" s="7" t="n">
        <v>-0.1164262518786576</v>
      </c>
      <c r="AK89" s="7" t="n">
        <v>-0.1244470812257172</v>
      </c>
      <c r="AL89" s="7" t="n">
        <v>-0.1870176557059051</v>
      </c>
      <c r="AM89" s="108" t="n">
        <v>0.3210299659614203</v>
      </c>
      <c r="AN89" s="7" t="n">
        <v>-0.01130082484121947</v>
      </c>
      <c r="AO89" s="7" t="n">
        <v>-0.1859039409267769</v>
      </c>
      <c r="AP89" s="7" t="n">
        <v>-0.09940399971873426</v>
      </c>
      <c r="AQ89" s="7" t="n">
        <v>-0.1974970705481623</v>
      </c>
      <c r="AR89" s="108" t="n">
        <v>32.30389081610272</v>
      </c>
      <c r="AS89" s="7" t="n">
        <v>-1.13715431738396</v>
      </c>
      <c r="AT89" s="7" t="n">
        <v>-1.386052541823602</v>
      </c>
      <c r="AU89" s="7" t="n">
        <v>-1.395796314536703</v>
      </c>
      <c r="AV89" s="7" t="n">
        <v>-2.223723468887137</v>
      </c>
      <c r="AW89" s="108" t="n">
        <v>36.66790395730409</v>
      </c>
      <c r="AX89" s="7" t="n">
        <v>-0.1419340660928086</v>
      </c>
      <c r="AY89" s="7" t="n">
        <v>-0.2683233658403203</v>
      </c>
      <c r="AZ89" s="7" t="n">
        <v>-0.2187709790638976</v>
      </c>
      <c r="BA89" s="7" t="n">
        <v>-0.4602997724594502</v>
      </c>
      <c r="BB89" s="108" t="n">
        <v>135.5174028123871</v>
      </c>
      <c r="BC89" s="7" t="n">
        <v>0</v>
      </c>
      <c r="BD89" s="7" t="n">
        <v>0</v>
      </c>
      <c r="BE89" s="7" t="n">
        <v>0</v>
      </c>
      <c r="BF89" s="7" t="n">
        <v>0</v>
      </c>
      <c r="BG89" s="108" t="n">
        <v>6.608928095913011</v>
      </c>
      <c r="BH89" s="7" t="n">
        <v>0</v>
      </c>
      <c r="BI89" s="7" t="n">
        <v>0</v>
      </c>
      <c r="BJ89" s="7" t="n">
        <v>0</v>
      </c>
      <c r="BK89" s="7" t="n">
        <v>0</v>
      </c>
      <c r="BL89" s="108" t="n">
        <v>2.3</v>
      </c>
      <c r="BM89" s="108" t="n">
        <v>0</v>
      </c>
      <c r="BN89" s="108" t="n">
        <v>0</v>
      </c>
      <c r="BO89" s="108" t="n">
        <v>0</v>
      </c>
      <c r="BP89" s="108" t="n">
        <v>0</v>
      </c>
      <c r="BQ89" s="108" t="n">
        <v>44.46666086754073</v>
      </c>
      <c r="BR89" s="7" t="n">
        <v>-2.479539342634716</v>
      </c>
      <c r="BS89" s="7" t="n">
        <v>-3.068534710110224</v>
      </c>
      <c r="BT89" s="7" t="n">
        <v>-3.066336354377903</v>
      </c>
      <c r="BU89" s="7" t="n">
        <v>-4.98439760968067</v>
      </c>
      <c r="BV89" s="108" t="inlineStr"/>
      <c r="BW89" s="7" t="inlineStr"/>
      <c r="BX89" s="7" t="inlineStr"/>
      <c r="BY89" s="7" t="inlineStr"/>
      <c r="BZ89" s="7" t="inlineStr"/>
      <c r="CA89" s="108" t="n">
        <v>11.41850406451022</v>
      </c>
      <c r="CB89" s="7" t="n">
        <v>2.136709365386913</v>
      </c>
      <c r="CC89" s="7" t="n">
        <v>2.27420501668305</v>
      </c>
      <c r="CD89" s="7" t="n">
        <v>2.471344224894713</v>
      </c>
      <c r="CE89" s="7" t="n">
        <v>3.488961235993522</v>
      </c>
    </row>
    <row r="90">
      <c r="A90" s="252" t="n">
        <v>46023</v>
      </c>
      <c r="B90" t="n">
        <v>0</v>
      </c>
      <c r="C90" s="7" t="n">
        <v>18</v>
      </c>
      <c r="D90" s="7" t="n">
        <v>0</v>
      </c>
      <c r="E90" s="7" t="n">
        <v>0</v>
      </c>
      <c r="F90" s="7" t="n">
        <v>0</v>
      </c>
      <c r="G90" s="7" t="n">
        <v>0</v>
      </c>
      <c r="H90" t="n">
        <v>27.40801054486138</v>
      </c>
      <c r="I90" t="n">
        <v>-0.6723662058751749</v>
      </c>
      <c r="J90" t="n">
        <v>-0.9802948768199808</v>
      </c>
      <c r="K90" t="n">
        <v>-0.9012915192817026</v>
      </c>
      <c r="L90" t="n">
        <v>-1.619530872320315</v>
      </c>
      <c r="M90" t="n">
        <v>-0.3121193539625438</v>
      </c>
      <c r="N90" t="n">
        <v>-1.301141825527793</v>
      </c>
      <c r="O90" t="n">
        <v>-2.235451848521961</v>
      </c>
      <c r="P90" t="n">
        <v>65.57886597938143</v>
      </c>
      <c r="Q90" t="n">
        <v>0</v>
      </c>
      <c r="R90" t="n">
        <v>0</v>
      </c>
      <c r="S90" t="n">
        <v>0</v>
      </c>
      <c r="T90" t="n">
        <v>0</v>
      </c>
      <c r="U90" t="n">
        <v>11</v>
      </c>
      <c r="V90" t="n">
        <v>0</v>
      </c>
      <c r="W90" t="n">
        <v>0</v>
      </c>
      <c r="X90" t="n">
        <v>0</v>
      </c>
      <c r="Y90" t="n">
        <v>0</v>
      </c>
      <c r="Z90" t="n">
        <v>9.746794594569469</v>
      </c>
      <c r="AA90" t="n">
        <v>0.09993565711407726</v>
      </c>
      <c r="AB90" t="n">
        <v>0.111252158814457</v>
      </c>
      <c r="AC90" t="n">
        <v>0.1180685637788788</v>
      </c>
      <c r="AD90" t="n">
        <v>0.1704832047503615</v>
      </c>
      <c r="AE90" t="n">
        <v>5.747672938011419</v>
      </c>
      <c r="AF90" t="n">
        <v>6.019427638090008</v>
      </c>
      <c r="AG90" t="n">
        <v>5.911332391895371</v>
      </c>
      <c r="AH90" t="n">
        <v>3.695412981942525</v>
      </c>
      <c r="AI90" t="n">
        <v>-0.09822157897967232</v>
      </c>
      <c r="AJ90" t="n">
        <v>-0.1108753867660515</v>
      </c>
      <c r="AK90" t="n">
        <v>-0.116476304799991</v>
      </c>
      <c r="AL90" t="n">
        <v>-0.1782750431347497</v>
      </c>
      <c r="AM90" t="n">
        <v>0.319432237910794</v>
      </c>
      <c r="AN90" t="n">
        <v>-0.009449118457738992</v>
      </c>
      <c r="AO90" t="n">
        <v>-0.1824203730532999</v>
      </c>
      <c r="AP90" t="n">
        <v>-0.05452574253766634</v>
      </c>
      <c r="AQ90" t="n">
        <v>-0.1651940563022586</v>
      </c>
      <c r="AR90" t="n">
        <v>32.14311818434329</v>
      </c>
      <c r="AS90" t="n">
        <v>-0.9508249177084735</v>
      </c>
      <c r="AT90" t="n">
        <v>-1.249634068246959</v>
      </c>
      <c r="AU90" t="n">
        <v>-1.210055810840231</v>
      </c>
      <c r="AV90" t="n">
        <v>-2.005822220446355</v>
      </c>
      <c r="AW90" t="n">
        <v>36.66948571215771</v>
      </c>
      <c r="AX90" t="n">
        <v>-0.08264279291440602</v>
      </c>
      <c r="AY90" t="n">
        <v>-0.2052484672782811</v>
      </c>
      <c r="AZ90" t="n">
        <v>-0.1501083827501972</v>
      </c>
      <c r="BA90" t="n">
        <v>-0.3564762778870403</v>
      </c>
      <c r="BB90" t="n">
        <v>135.5174028123871</v>
      </c>
      <c r="BC90" t="n">
        <v>0</v>
      </c>
      <c r="BD90" t="n">
        <v>0</v>
      </c>
      <c r="BE90" t="n">
        <v>0</v>
      </c>
      <c r="BF90" t="n">
        <v>0</v>
      </c>
      <c r="BG90" s="7" t="n">
        <v>6.608928095913011</v>
      </c>
      <c r="BH90" s="7" t="n">
        <v>0</v>
      </c>
      <c r="BI90" s="7" t="n">
        <v>0</v>
      </c>
      <c r="BJ90" s="7" t="n">
        <v>0</v>
      </c>
      <c r="BK90" s="7" t="n">
        <v>0</v>
      </c>
      <c r="BL90" s="7" t="n">
        <v>2.3</v>
      </c>
      <c r="BM90" s="7" t="n">
        <v>0</v>
      </c>
      <c r="BN90" s="7" t="n">
        <v>0</v>
      </c>
      <c r="BO90" s="7" t="n">
        <v>0</v>
      </c>
      <c r="BP90" s="7" t="n">
        <v>0</v>
      </c>
      <c r="BQ90" s="7" t="n">
        <v>44.07924598204059</v>
      </c>
      <c r="BR90" s="7" t="n">
        <v>-2.118611786629153</v>
      </c>
      <c r="BS90" s="7" t="n">
        <v>-2.76325873289775</v>
      </c>
      <c r="BT90" s="7" t="n">
        <v>-2.686617562350492</v>
      </c>
      <c r="BU90" s="7" t="n">
        <v>-4.498034322074155</v>
      </c>
      <c r="BV90" s="7" t="inlineStr"/>
      <c r="BW90" s="7" t="inlineStr"/>
      <c r="BX90" s="7" t="inlineStr"/>
      <c r="BY90" s="7" t="inlineStr"/>
      <c r="BZ90" s="7" t="inlineStr"/>
      <c r="CA90" s="7" t="n">
        <v>11.79750384827798</v>
      </c>
      <c r="CB90" s="7" t="n">
        <v>1.910206652817747</v>
      </c>
      <c r="CC90" s="7" t="n">
        <v>2.184831603212157</v>
      </c>
      <c r="CD90" s="7" t="n">
        <v>2.281792754491709</v>
      </c>
      <c r="CE90" s="7" t="n">
        <v>3.37629740162933</v>
      </c>
    </row>
    <row r="91">
      <c r="A91" s="252" t="n">
        <v>46113</v>
      </c>
      <c r="B91" t="n">
        <v>0</v>
      </c>
      <c r="C91" s="7" t="n">
        <v>18</v>
      </c>
      <c r="D91" s="7" t="n">
        <v>0</v>
      </c>
      <c r="E91" s="7" t="n">
        <v>0</v>
      </c>
      <c r="F91" s="7" t="n">
        <v>0</v>
      </c>
      <c r="G91" s="7" t="n">
        <v>0</v>
      </c>
      <c r="H91" t="n">
        <v>27.33796795336966</v>
      </c>
      <c r="I91" t="n">
        <v>-0.5150736855465645</v>
      </c>
      <c r="J91" t="n">
        <v>-0.827276862415232</v>
      </c>
      <c r="K91" t="n">
        <v>-0.7262603915684274</v>
      </c>
      <c r="L91" t="n">
        <v>-1.375362571632607</v>
      </c>
      <c r="M91" t="n">
        <v>0.1899869020126062</v>
      </c>
      <c r="N91" t="n">
        <v>-0.8072834764863046</v>
      </c>
      <c r="O91" t="n">
        <v>-1.762814999354153</v>
      </c>
      <c r="P91" t="n">
        <v>65.57886597938143</v>
      </c>
      <c r="Q91" t="n">
        <v>0</v>
      </c>
      <c r="R91" t="n">
        <v>0</v>
      </c>
      <c r="S91" t="n">
        <v>0</v>
      </c>
      <c r="T91" t="n">
        <v>0</v>
      </c>
      <c r="U91" t="n">
        <v>11</v>
      </c>
      <c r="V91" t="n">
        <v>0</v>
      </c>
      <c r="W91" t="n">
        <v>0</v>
      </c>
      <c r="X91" t="n">
        <v>0</v>
      </c>
      <c r="Y91" t="n">
        <v>0</v>
      </c>
      <c r="Z91" t="n">
        <v>9.763961984975516</v>
      </c>
      <c r="AA91" t="n">
        <v>0.08781326403467027</v>
      </c>
      <c r="AB91" t="n">
        <v>0.1053723911813762</v>
      </c>
      <c r="AC91" t="n">
        <v>0.1074229144813135</v>
      </c>
      <c r="AD91" t="n">
        <v>0.162885899209682</v>
      </c>
      <c r="AE91" t="n">
        <v>5.521246167654795</v>
      </c>
      <c r="AF91" t="n">
        <v>5.883257443005107</v>
      </c>
      <c r="AG91" t="n">
        <v>5.9053570735479</v>
      </c>
      <c r="AH91" t="n">
        <v>3.676723747170239</v>
      </c>
      <c r="AI91" t="n">
        <v>-0.08915066468531707</v>
      </c>
      <c r="AJ91" t="n">
        <v>-0.1042091762963795</v>
      </c>
      <c r="AK91" t="n">
        <v>-0.1074466928807642</v>
      </c>
      <c r="AL91" t="n">
        <v>-0.1678555964224722</v>
      </c>
      <c r="AM91" t="n">
        <v>0.3184017666371172</v>
      </c>
      <c r="AN91" t="n">
        <v>-0.007404354839246063</v>
      </c>
      <c r="AO91" t="n">
        <v>-0.01084225219451276</v>
      </c>
      <c r="AP91" t="n">
        <v>-0.009951120548018111</v>
      </c>
      <c r="AQ91" t="n">
        <v>-0.132917208905405</v>
      </c>
      <c r="AR91" t="n">
        <v>32.03942620837994</v>
      </c>
      <c r="AS91" t="n">
        <v>-0.7450689831223798</v>
      </c>
      <c r="AT91" t="n">
        <v>-1.091010086996928</v>
      </c>
      <c r="AU91" t="n">
        <v>-1.001339269741834</v>
      </c>
      <c r="AV91" t="n">
        <v>-1.754226215601228</v>
      </c>
      <c r="AW91" t="n">
        <v>36.68608887688578</v>
      </c>
      <c r="AX91" t="n">
        <v>-0.02326106358639635</v>
      </c>
      <c r="AY91" t="n">
        <v>-0.1435011549588907</v>
      </c>
      <c r="AZ91" t="n">
        <v>-0.08219310120255585</v>
      </c>
      <c r="BA91" t="n">
        <v>-0.2546154884271132</v>
      </c>
      <c r="BB91" t="n">
        <v>135.5174028123871</v>
      </c>
      <c r="BC91" t="n">
        <v>0</v>
      </c>
      <c r="BD91" t="n">
        <v>0</v>
      </c>
      <c r="BE91" t="n">
        <v>0</v>
      </c>
      <c r="BF91" t="n">
        <v>0</v>
      </c>
      <c r="BG91" s="7" t="n">
        <v>6.608928095913011</v>
      </c>
      <c r="BH91" s="7" t="n">
        <v>0</v>
      </c>
      <c r="BI91" s="7" t="n">
        <v>0</v>
      </c>
      <c r="BJ91" s="7" t="n">
        <v>0</v>
      </c>
      <c r="BK91" s="7" t="n">
        <v>0</v>
      </c>
      <c r="BL91" s="7" t="n">
        <v>2.3</v>
      </c>
      <c r="BM91" s="7" t="n">
        <v>0</v>
      </c>
      <c r="BN91" s="7" t="n">
        <v>0</v>
      </c>
      <c r="BO91" s="7" t="n">
        <v>0</v>
      </c>
      <c r="BP91" s="7" t="n">
        <v>0</v>
      </c>
      <c r="BQ91" s="7" t="n">
        <v>43.79146086685448</v>
      </c>
      <c r="BR91" s="7" t="n">
        <v>-1.739587996886755</v>
      </c>
      <c r="BS91" s="7" t="n">
        <v>-2.433418146349513</v>
      </c>
      <c r="BT91" s="7" t="n">
        <v>-2.283587994312164</v>
      </c>
      <c r="BU91" s="7" t="n">
        <v>-3.973361626118638</v>
      </c>
      <c r="BV91" s="7" t="inlineStr"/>
      <c r="BW91" s="7" t="inlineStr"/>
      <c r="BX91" s="7" t="inlineStr"/>
      <c r="BY91" s="7" t="inlineStr"/>
      <c r="BZ91" s="7" t="inlineStr"/>
      <c r="CA91" s="7" t="n">
        <v>12.10337355690235</v>
      </c>
      <c r="CB91" s="7" t="n">
        <v>1.648893242715873</v>
      </c>
      <c r="CC91" s="7" t="n">
        <v>2.036198588620457</v>
      </c>
      <c r="CD91" s="7" t="n">
        <v>2.041454562313039</v>
      </c>
      <c r="CE91" s="7" t="n">
        <v>3.173523279795786</v>
      </c>
    </row>
  </sheetData>
  <mergeCells count="23">
    <mergeCell ref="AE2:AG2"/>
    <mergeCell ref="C1:T1"/>
    <mergeCell ref="AW2:BA2"/>
    <mergeCell ref="AM2:AQ2"/>
    <mergeCell ref="AH1:AV1"/>
    <mergeCell ref="U1:AG1"/>
    <mergeCell ref="U2:Y2"/>
    <mergeCell ref="AW1:BK1"/>
    <mergeCell ref="P2:T2"/>
    <mergeCell ref="CA2:CE2"/>
    <mergeCell ref="H2:L2"/>
    <mergeCell ref="BV1:CE1"/>
    <mergeCell ref="BL1:BU1"/>
    <mergeCell ref="C2:G2"/>
    <mergeCell ref="Z2:AD2"/>
    <mergeCell ref="BV2:BZ2"/>
    <mergeCell ref="BG2:BK2"/>
    <mergeCell ref="BQ2:BU2"/>
    <mergeCell ref="AH2:AL2"/>
    <mergeCell ref="AR2:AV2"/>
    <mergeCell ref="BB2:BF2"/>
    <mergeCell ref="BL2:BP2"/>
    <mergeCell ref="M2:O2"/>
  </mergeCells>
  <pageMargins left="0.7" right="0.7" top="0.75" bottom="0.75" header="0.3" footer="0.3"/>
  <pageSetup orientation="portrait" paperSize="9" verticalDpi="12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87"/>
  <sheetViews>
    <sheetView zoomScaleNormal="100" workbookViewId="0">
      <pane xSplit="2" ySplit="5" topLeftCell="BE70" activePane="bottomRight" state="frozen"/>
      <selection pane="topRight" activeCell="C1" sqref="C1"/>
      <selection pane="bottomLeft" activeCell="A7" sqref="A7"/>
      <selection pane="bottomRight" activeCell="A1" sqref="A1:A1048576"/>
    </sheetView>
  </sheetViews>
  <sheetFormatPr baseColWidth="8" defaultRowHeight="15"/>
  <cols>
    <col width="11" customWidth="1" style="162" min="1" max="1"/>
    <col width="10.5703125" customWidth="1" style="214" min="2" max="2"/>
    <col width="9" customWidth="1" style="239" min="3" max="3"/>
    <col width="8.5703125" customWidth="1" style="32" min="4" max="4"/>
    <col width="9.42578125" customWidth="1" style="214" min="5" max="5"/>
    <col width="8.5703125" customWidth="1" style="214" min="6" max="6"/>
    <col width="8.85546875" bestFit="1" customWidth="1" style="214" min="7" max="7"/>
    <col width="8.5703125" customWidth="1" style="62" min="8" max="8"/>
    <col width="8.28515625" customWidth="1" style="62" min="9" max="9"/>
    <col width="8.28515625" customWidth="1" style="214" min="10" max="10"/>
    <col width="8.85546875" customWidth="1" style="214" min="11" max="11"/>
    <col width="8.28515625" customWidth="1" style="214" min="12" max="12"/>
    <col width="13.5703125" customWidth="1" style="214" min="13" max="13"/>
    <col width="14.28515625" customWidth="1" style="214" min="14" max="15"/>
    <col width="9.28515625" customWidth="1" style="62" min="16" max="16"/>
    <col width="8.5703125" customWidth="1" style="62" min="17" max="17"/>
    <col width="8" customWidth="1" style="62" min="18" max="18"/>
    <col width="8.5703125" customWidth="1" style="62" min="19" max="19"/>
    <col width="8.42578125" customWidth="1" style="63" min="20" max="20"/>
    <col width="9.28515625" customWidth="1" style="64" min="21" max="21"/>
    <col width="8.5703125" customWidth="1" style="62" min="22" max="22"/>
    <col width="8.28515625" customWidth="1" style="62" min="23" max="23"/>
    <col width="8" customWidth="1" style="62" min="24" max="24"/>
    <col width="11.140625" customWidth="1" style="62" min="25" max="25"/>
    <col width="8.85546875" customWidth="1" style="62" min="26" max="26"/>
    <col width="8.5703125" customWidth="1" style="62" min="27" max="27"/>
    <col width="8.28515625" customWidth="1" style="62" min="28" max="30"/>
    <col width="14.85546875" customWidth="1" style="62" min="31" max="31"/>
    <col width="14.140625" customWidth="1" style="62" min="32" max="33"/>
    <col width="8.5703125" customWidth="1" style="62" min="34" max="36"/>
    <col width="8.28515625" customWidth="1" style="62" min="37" max="37"/>
    <col width="7.5703125" customWidth="1" style="62" min="38" max="38"/>
    <col width="9" customWidth="1" style="62" min="39" max="39"/>
    <col width="9" customWidth="1" style="214" min="40" max="43"/>
    <col width="9" customWidth="1" style="62" min="44" max="44"/>
    <col width="9" customWidth="1" style="214" min="45" max="48"/>
    <col width="8.5703125" customWidth="1" style="62" min="49" max="49"/>
    <col width="8.5703125" customWidth="1" style="214" min="50" max="53"/>
    <col width="9.5703125" customWidth="1" style="62" min="54" max="54"/>
    <col width="9.5703125" customWidth="1" style="214" min="55" max="55"/>
    <col width="9.28515625" customWidth="1" style="214" min="56" max="56"/>
    <col width="9.5703125" customWidth="1" style="214" min="57" max="57"/>
    <col width="9.42578125" customWidth="1" style="214" min="58" max="58"/>
    <col width="8.5703125" customWidth="1" style="214" min="59" max="67"/>
    <col width="8.5703125" customWidth="1" style="190" min="68" max="68"/>
    <col width="10.5703125" customWidth="1" style="214" min="85" max="85"/>
  </cols>
  <sheetData>
    <row r="1">
      <c r="B1" s="182" t="inlineStr">
        <is>
          <t>Binary</t>
        </is>
      </c>
      <c r="C1" s="215" t="inlineStr">
        <is>
          <t>Corporate</t>
        </is>
      </c>
      <c r="D1" s="204" t="n"/>
      <c r="E1" s="204" t="n"/>
      <c r="F1" s="204" t="n"/>
      <c r="G1" s="204" t="n"/>
      <c r="H1" s="204" t="n"/>
      <c r="I1" s="204" t="n"/>
      <c r="J1" s="204" t="n"/>
      <c r="K1" s="204" t="n"/>
      <c r="L1" s="204" t="n"/>
      <c r="M1" s="204" t="n"/>
      <c r="N1" s="204" t="n"/>
      <c r="O1" s="204" t="n"/>
      <c r="P1" s="204" t="n"/>
      <c r="Q1" s="204" t="n"/>
      <c r="R1" s="204" t="n"/>
      <c r="S1" s="204" t="n"/>
      <c r="T1" s="204" t="n"/>
      <c r="U1" s="218" t="inlineStr">
        <is>
          <t>Households</t>
        </is>
      </c>
      <c r="V1" s="182" t="n"/>
      <c r="W1" s="182" t="n"/>
      <c r="X1" s="182" t="n"/>
      <c r="Y1" s="182" t="n"/>
      <c r="Z1" s="182" t="n"/>
      <c r="AA1" s="182" t="n"/>
      <c r="AB1" s="182" t="n"/>
      <c r="AC1" s="182" t="n"/>
      <c r="AD1" s="182" t="n"/>
      <c r="AE1" s="182" t="n"/>
      <c r="AF1" s="182" t="n"/>
      <c r="AG1" s="182" t="n"/>
      <c r="AH1" s="203" t="inlineStr">
        <is>
          <t>Government</t>
        </is>
      </c>
      <c r="AI1" s="204" t="n"/>
      <c r="AJ1" s="204" t="n"/>
      <c r="AK1" s="204" t="n"/>
      <c r="AL1" s="204" t="n"/>
      <c r="AM1" s="204" t="n"/>
      <c r="AN1" s="204" t="n"/>
      <c r="AO1" s="204" t="n"/>
      <c r="AP1" s="204" t="n"/>
      <c r="AQ1" s="204" t="n"/>
      <c r="AR1" s="204" t="n"/>
      <c r="AS1" s="204" t="n"/>
      <c r="AT1" s="204" t="n"/>
      <c r="AU1" s="204" t="n"/>
      <c r="AV1" s="205" t="n"/>
      <c r="AW1" s="228" t="inlineStr">
        <is>
          <t>Banks</t>
        </is>
      </c>
      <c r="AX1" s="204" t="n"/>
      <c r="AY1" s="204" t="n"/>
      <c r="AZ1" s="204" t="n"/>
      <c r="BA1" s="204" t="n"/>
      <c r="BB1" s="204" t="n"/>
      <c r="BC1" s="204" t="n"/>
      <c r="BD1" s="204" t="n"/>
      <c r="BE1" s="204" t="n"/>
      <c r="BF1" s="204" t="n"/>
      <c r="BG1" s="204" t="n"/>
      <c r="BH1" s="204" t="n"/>
      <c r="BI1" s="204" t="n"/>
      <c r="BJ1" s="204" t="n"/>
      <c r="BK1" s="204" t="n"/>
      <c r="BL1" s="231" t="inlineStr">
        <is>
          <t>External</t>
        </is>
      </c>
      <c r="BV1" s="231" t="inlineStr">
        <is>
          <t>Недвижимость</t>
        </is>
      </c>
      <c r="CG1" s="204" t="n"/>
    </row>
    <row r="2" ht="32.1" customHeight="1" s="214">
      <c r="B2" s="4" t="inlineStr">
        <is>
          <t>Binary</t>
        </is>
      </c>
      <c r="C2" s="209" t="inlineStr">
        <is>
          <t>Debt service ratio, %</t>
        </is>
      </c>
      <c r="D2" s="182" t="n"/>
      <c r="E2" s="182" t="n"/>
      <c r="F2" s="182" t="n"/>
      <c r="G2" s="183" t="n"/>
      <c r="H2" s="230" t="inlineStr">
        <is>
          <t xml:space="preserve">All Debt to GDP ratio, % </t>
        </is>
      </c>
      <c r="I2" s="182" t="n"/>
      <c r="J2" s="182" t="n"/>
      <c r="K2" s="182" t="n"/>
      <c r="L2" s="182" t="n"/>
      <c r="M2" s="199" t="inlineStr">
        <is>
          <t>Прирост реального кредита банков ЮЛ (дефлятор ВВП 2018=1)</t>
        </is>
      </c>
      <c r="N2" s="179" t="n"/>
      <c r="O2" s="180" t="n"/>
      <c r="P2" s="206" t="inlineStr">
        <is>
          <t>Складские запасы в промышленности к среднемесячному ОПП, %</t>
        </is>
      </c>
      <c r="Q2" s="179" t="n"/>
      <c r="R2" s="179" t="n"/>
      <c r="S2" s="179" t="n"/>
      <c r="T2" s="180" t="n"/>
      <c r="U2" s="227" t="inlineStr">
        <is>
          <t>Debt_service ratio</t>
        </is>
      </c>
      <c r="V2" s="182" t="n"/>
      <c r="W2" s="182" t="n"/>
      <c r="X2" s="182" t="n"/>
      <c r="Y2" s="183" t="n"/>
      <c r="Z2" s="232" t="inlineStr">
        <is>
          <t>Кредит ФЛ к ВВП</t>
        </is>
      </c>
      <c r="AA2" s="182" t="n"/>
      <c r="AB2" s="182" t="n"/>
      <c r="AC2" s="182" t="n"/>
      <c r="AD2" s="182" t="n"/>
      <c r="AE2" s="199" t="inlineStr">
        <is>
          <t>Прирост реального кредита банков ФЛ (ИПЦ 2018=1)</t>
        </is>
      </c>
      <c r="AF2" s="179" t="n"/>
      <c r="AG2" s="180" t="n"/>
      <c r="AH2" s="227" t="inlineStr">
        <is>
          <t>Обслуживание внешнего долга органов государственного управления к ВВП, %</t>
        </is>
      </c>
      <c r="AI2" s="182" t="n"/>
      <c r="AJ2" s="182" t="n"/>
      <c r="AK2" s="182" t="n"/>
      <c r="AL2" s="183" t="n"/>
      <c r="AM2" s="208" t="inlineStr">
        <is>
          <t>Отношение сальдо консолидированного бюджета к ВВП, %</t>
        </is>
      </c>
      <c r="AN2" s="179" t="n"/>
      <c r="AO2" s="179" t="n"/>
      <c r="AP2" s="179" t="n"/>
      <c r="AQ2" s="180" t="n"/>
      <c r="AR2" s="208" t="inlineStr">
        <is>
          <t>Долг сектора государственного управления к ВВП, % (внешний + внутренний)</t>
        </is>
      </c>
      <c r="AS2" s="179" t="n"/>
      <c r="AT2" s="179" t="n"/>
      <c r="AU2" s="179" t="n"/>
      <c r="AV2" s="180" t="n"/>
      <c r="AW2" s="202" t="inlineStr">
        <is>
          <t xml:space="preserve">Требования банков к экономике к ВВП, % </t>
        </is>
      </c>
      <c r="AX2" s="179" t="n"/>
      <c r="AY2" s="179" t="n"/>
      <c r="AZ2" s="179" t="n"/>
      <c r="BA2" s="179" t="n"/>
      <c r="BB2" s="202" t="inlineStr">
        <is>
          <t xml:space="preserve">Требования банков к депозитам, % </t>
        </is>
      </c>
      <c r="BC2" s="179" t="n"/>
      <c r="BD2" s="179" t="n"/>
      <c r="BE2" s="179" t="n"/>
      <c r="BF2" s="179" t="n"/>
      <c r="BG2" s="206" t="inlineStr">
        <is>
          <t>Леверидж (активы к собственному капиталу), раз</t>
        </is>
      </c>
      <c r="BH2" s="179" t="n"/>
      <c r="BI2" s="179" t="n"/>
      <c r="BJ2" s="179" t="n"/>
      <c r="BK2" s="180" t="n"/>
      <c r="BL2" s="206" t="inlineStr">
        <is>
          <t>Счет текущих операций за год, в % к ВВП</t>
        </is>
      </c>
      <c r="BM2" s="179" t="n"/>
      <c r="BN2" s="179" t="n"/>
      <c r="BO2" s="179" t="n"/>
      <c r="BP2" s="180" t="n"/>
      <c r="BQ2" s="206" t="inlineStr">
        <is>
          <t>Валовый внешний долг к ВВП</t>
        </is>
      </c>
      <c r="BR2" s="179" t="n"/>
      <c r="BS2" s="179" t="n"/>
      <c r="BT2" s="179" t="n"/>
      <c r="BU2" s="180" t="n"/>
      <c r="BV2" s="178" t="inlineStr">
        <is>
          <t>Логарифм цен на коммерческую недвижимость, скорректированных на дефлятор ВВП, *100</t>
        </is>
      </c>
      <c r="BW2" s="179" t="n"/>
      <c r="BX2" s="179" t="n"/>
      <c r="BY2" s="179" t="n"/>
      <c r="BZ2" s="180" t="n"/>
      <c r="CA2" s="229" t="inlineStr">
        <is>
          <t>Логарифм цен на жилую недвижимость, скорректированных на ИПЦ</t>
        </is>
      </c>
      <c r="CB2" s="179" t="n"/>
      <c r="CC2" s="179" t="n"/>
      <c r="CD2" s="179" t="n"/>
      <c r="CE2" s="180" t="n"/>
    </row>
    <row r="3">
      <c r="B3" s="4" t="inlineStr">
        <is>
          <t>avr</t>
        </is>
      </c>
      <c r="C3" s="209">
        <f>AVERAGE(C18:C152)</f>
        <v/>
      </c>
      <c r="D3" s="209">
        <f>AVERAGE(D18:D152)</f>
        <v/>
      </c>
      <c r="E3" s="209">
        <f>AVERAGE(E18:E152)</f>
        <v/>
      </c>
      <c r="F3" s="209">
        <f>AVERAGE(F18:F152)</f>
        <v/>
      </c>
      <c r="G3" s="209">
        <f>AVERAGE(G18:G152)</f>
        <v/>
      </c>
      <c r="H3" s="209">
        <f>AVERAGE(H18:H152)</f>
        <v/>
      </c>
      <c r="I3" s="209">
        <f>AVERAGE(I18:I152)</f>
        <v/>
      </c>
      <c r="J3" s="209">
        <f>AVERAGE(J18:J152)</f>
        <v/>
      </c>
      <c r="K3" s="209">
        <f>AVERAGE(K18:K152)</f>
        <v/>
      </c>
      <c r="L3" s="209">
        <f>AVERAGE(L18:L152)</f>
        <v/>
      </c>
      <c r="M3" s="209">
        <f>AVERAGE(M18:M152)</f>
        <v/>
      </c>
      <c r="N3" s="209">
        <f>AVERAGE(N18:N152)</f>
        <v/>
      </c>
      <c r="O3" s="209">
        <f>AVERAGE(O18:O152)</f>
        <v/>
      </c>
      <c r="P3" s="209">
        <f>AVERAGE(P18:P152)</f>
        <v/>
      </c>
      <c r="Q3" s="209">
        <f>AVERAGE(Q18:Q152)</f>
        <v/>
      </c>
      <c r="R3" s="209">
        <f>AVERAGE(R18:R152)</f>
        <v/>
      </c>
      <c r="S3" s="209">
        <f>AVERAGE(S18:S152)</f>
        <v/>
      </c>
      <c r="T3" s="209">
        <f>AVERAGE(T18:T152)</f>
        <v/>
      </c>
      <c r="U3" s="209">
        <f>AVERAGE(U18:U152)</f>
        <v/>
      </c>
      <c r="V3" s="209">
        <f>AVERAGE(V18:V152)</f>
        <v/>
      </c>
      <c r="W3" s="209">
        <f>AVERAGE(W18:W152)</f>
        <v/>
      </c>
      <c r="X3" s="209">
        <f>AVERAGE(X18:X152)</f>
        <v/>
      </c>
      <c r="Y3" s="209">
        <f>AVERAGE(Y18:Y152)</f>
        <v/>
      </c>
      <c r="Z3" s="209">
        <f>AVERAGE(Z18:Z152)</f>
        <v/>
      </c>
      <c r="AA3" s="209">
        <f>AVERAGE(AA18:AA152)</f>
        <v/>
      </c>
      <c r="AB3" s="209">
        <f>AVERAGE(AB18:AB152)</f>
        <v/>
      </c>
      <c r="AC3" s="209">
        <f>AVERAGE(AC18:AC152)</f>
        <v/>
      </c>
      <c r="AD3" s="209">
        <f>AVERAGE(AD18:AD152)</f>
        <v/>
      </c>
      <c r="AE3" s="209">
        <f>AVERAGE(AE18:AE152)</f>
        <v/>
      </c>
      <c r="AF3" s="209">
        <f>AVERAGE(AF18:AF152)</f>
        <v/>
      </c>
      <c r="AG3" s="209">
        <f>AVERAGE(AG18:AG152)</f>
        <v/>
      </c>
      <c r="AH3" s="209">
        <f>AVERAGE(AH18:AH152)</f>
        <v/>
      </c>
      <c r="AI3" s="209">
        <f>AVERAGE(AI18:AI152)</f>
        <v/>
      </c>
      <c r="AJ3" s="209">
        <f>AVERAGE(AJ18:AJ152)</f>
        <v/>
      </c>
      <c r="AK3" s="209">
        <f>AVERAGE(AK18:AK152)</f>
        <v/>
      </c>
      <c r="AL3" s="209">
        <f>AVERAGE(AL18:AL152)</f>
        <v/>
      </c>
      <c r="AM3" s="209">
        <f>AVERAGE(AM18:AM152)</f>
        <v/>
      </c>
      <c r="AN3" s="209">
        <f>AVERAGE(AN18:AN152)</f>
        <v/>
      </c>
      <c r="AO3" s="209">
        <f>AVERAGE(AO18:AO152)</f>
        <v/>
      </c>
      <c r="AP3" s="209">
        <f>AVERAGE(AP18:AP152)</f>
        <v/>
      </c>
      <c r="AQ3" s="209">
        <f>AVERAGE(AQ18:AQ152)</f>
        <v/>
      </c>
      <c r="AR3" s="209">
        <f>AVERAGE(AR18:AR152)</f>
        <v/>
      </c>
      <c r="AS3" s="209">
        <f>AVERAGE(AS18:AS152)</f>
        <v/>
      </c>
      <c r="AT3" s="209">
        <f>AVERAGE(AT18:AT152)</f>
        <v/>
      </c>
      <c r="AU3" s="209">
        <f>AVERAGE(AU18:AU152)</f>
        <v/>
      </c>
      <c r="AV3" s="209">
        <f>AVERAGE(AV18:AV152)</f>
        <v/>
      </c>
      <c r="AW3" s="209">
        <f>AVERAGE(AW18:AW152)</f>
        <v/>
      </c>
      <c r="AX3" s="209">
        <f>AVERAGE(AX18:AX152)</f>
        <v/>
      </c>
      <c r="AY3" s="209">
        <f>AVERAGE(AY18:AY152)</f>
        <v/>
      </c>
      <c r="AZ3" s="209">
        <f>AVERAGE(AZ18:AZ152)</f>
        <v/>
      </c>
      <c r="BA3" s="209">
        <f>AVERAGE(BA18:BA152)</f>
        <v/>
      </c>
      <c r="BB3" s="209">
        <f>AVERAGE(BB18:BB152)</f>
        <v/>
      </c>
      <c r="BC3" s="209">
        <f>AVERAGE(BC18:BC152)</f>
        <v/>
      </c>
      <c r="BD3" s="209">
        <f>AVERAGE(BD18:BD152)</f>
        <v/>
      </c>
      <c r="BE3" s="209">
        <f>AVERAGE(BE18:BE152)</f>
        <v/>
      </c>
      <c r="BF3" s="209">
        <f>AVERAGE(BF18:BF152)</f>
        <v/>
      </c>
      <c r="BG3" s="209">
        <f>AVERAGE(BG18:BG152)</f>
        <v/>
      </c>
      <c r="BH3" s="209">
        <f>AVERAGE(BH18:BH152)</f>
        <v/>
      </c>
      <c r="BI3" s="209">
        <f>AVERAGE(BI18:BI152)</f>
        <v/>
      </c>
      <c r="BJ3" s="209">
        <f>AVERAGE(BJ18:BJ152)</f>
        <v/>
      </c>
      <c r="BK3" s="209">
        <f>AVERAGE(BK18:BK152)</f>
        <v/>
      </c>
      <c r="BL3" s="209">
        <f>AVERAGE(BL18:BL152)</f>
        <v/>
      </c>
      <c r="BM3" s="209">
        <f>AVERAGE(BM18:BM152)</f>
        <v/>
      </c>
      <c r="BN3" s="209">
        <f>AVERAGE(BN18:BN152)</f>
        <v/>
      </c>
      <c r="BO3" s="209">
        <f>AVERAGE(BO18:BO152)</f>
        <v/>
      </c>
      <c r="BP3" s="209">
        <f>AVERAGE(BP18:BP152)</f>
        <v/>
      </c>
      <c r="BQ3" s="209">
        <f>AVERAGE(BQ18:BQ152)</f>
        <v/>
      </c>
      <c r="BR3" s="209">
        <f>AVERAGE(BR18:BR152)</f>
        <v/>
      </c>
      <c r="BS3" s="209">
        <f>AVERAGE(BS18:BS152)</f>
        <v/>
      </c>
      <c r="BT3" s="209">
        <f>AVERAGE(BT18:BT152)</f>
        <v/>
      </c>
      <c r="BU3" s="209">
        <f>AVERAGE(BU18:BU152)</f>
        <v/>
      </c>
      <c r="BV3" s="209">
        <f>AVERAGE(BV18:BV152)</f>
        <v/>
      </c>
      <c r="BW3" s="209">
        <f>AVERAGE(BW18:BW152)</f>
        <v/>
      </c>
      <c r="BX3" s="209">
        <f>AVERAGE(BX18:BX152)</f>
        <v/>
      </c>
      <c r="BY3" s="209">
        <f>AVERAGE(BY18:BY152)</f>
        <v/>
      </c>
      <c r="BZ3" s="209">
        <f>AVERAGE(BZ18:BZ152)</f>
        <v/>
      </c>
      <c r="CA3" s="209">
        <f>AVERAGE(CA18:CA152)</f>
        <v/>
      </c>
      <c r="CB3" s="209">
        <f>AVERAGE(CB18:CB152)</f>
        <v/>
      </c>
      <c r="CC3" s="209">
        <f>AVERAGE(CC18:CC152)</f>
        <v/>
      </c>
      <c r="CD3" s="209">
        <f>AVERAGE(CD18:CD152)</f>
        <v/>
      </c>
      <c r="CE3" s="209">
        <f>AVERAGE(CE18:CE152)</f>
        <v/>
      </c>
    </row>
    <row r="4">
      <c r="B4" s="4" t="inlineStr">
        <is>
          <t>SD</t>
        </is>
      </c>
      <c r="C4" s="209">
        <f>_xlfn.STDEV.S(C18:C152)</f>
        <v/>
      </c>
      <c r="D4" s="209">
        <f>_xlfn.STDEV.S(D18:D152)</f>
        <v/>
      </c>
      <c r="E4" s="209">
        <f>_xlfn.STDEV.S(E18:E152)</f>
        <v/>
      </c>
      <c r="F4" s="209">
        <f>_xlfn.STDEV.S(F18:F152)</f>
        <v/>
      </c>
      <c r="G4" s="209">
        <f>_xlfn.STDEV.S(G18:G152)</f>
        <v/>
      </c>
      <c r="H4" s="209">
        <f>_xlfn.STDEV.S(H18:H152)</f>
        <v/>
      </c>
      <c r="I4" s="209">
        <f>_xlfn.STDEV.S(I18:I152)</f>
        <v/>
      </c>
      <c r="J4" s="209">
        <f>_xlfn.STDEV.S(J18:J152)</f>
        <v/>
      </c>
      <c r="K4" s="209">
        <f>_xlfn.STDEV.S(K18:K152)</f>
        <v/>
      </c>
      <c r="L4" s="209">
        <f>_xlfn.STDEV.S(L18:L152)</f>
        <v/>
      </c>
      <c r="M4" s="209">
        <f>_xlfn.STDEV.S(M18:M152)</f>
        <v/>
      </c>
      <c r="N4" s="209">
        <f>_xlfn.STDEV.S(N18:N152)</f>
        <v/>
      </c>
      <c r="O4" s="209">
        <f>_xlfn.STDEV.S(O18:O152)</f>
        <v/>
      </c>
      <c r="P4" s="209">
        <f>_xlfn.STDEV.S(P18:P152)</f>
        <v/>
      </c>
      <c r="Q4" s="209">
        <f>_xlfn.STDEV.S(Q18:Q152)</f>
        <v/>
      </c>
      <c r="R4" s="209">
        <f>_xlfn.STDEV.S(R18:R152)</f>
        <v/>
      </c>
      <c r="S4" s="209">
        <f>_xlfn.STDEV.S(S18:S152)</f>
        <v/>
      </c>
      <c r="T4" s="209">
        <f>_xlfn.STDEV.S(T18:T152)</f>
        <v/>
      </c>
      <c r="U4" s="209">
        <f>_xlfn.STDEV.S(U18:U152)</f>
        <v/>
      </c>
      <c r="V4" s="209">
        <f>_xlfn.STDEV.S(V18:V152)</f>
        <v/>
      </c>
      <c r="W4" s="209">
        <f>_xlfn.STDEV.S(W18:W152)</f>
        <v/>
      </c>
      <c r="X4" s="209">
        <f>_xlfn.STDEV.S(X18:X152)</f>
        <v/>
      </c>
      <c r="Y4" s="209">
        <f>_xlfn.STDEV.S(Y18:Y152)</f>
        <v/>
      </c>
      <c r="Z4" s="209">
        <f>_xlfn.STDEV.S(Z18:Z152)</f>
        <v/>
      </c>
      <c r="AA4" s="209">
        <f>_xlfn.STDEV.S(AA18:AA152)</f>
        <v/>
      </c>
      <c r="AB4" s="209">
        <f>_xlfn.STDEV.S(AB18:AB152)</f>
        <v/>
      </c>
      <c r="AC4" s="209">
        <f>_xlfn.STDEV.S(AC18:AC152)</f>
        <v/>
      </c>
      <c r="AD4" s="209">
        <f>_xlfn.STDEV.S(AD18:AD152)</f>
        <v/>
      </c>
      <c r="AE4" s="209">
        <f>_xlfn.STDEV.S(AE18:AE152)</f>
        <v/>
      </c>
      <c r="AF4" s="209">
        <f>_xlfn.STDEV.S(AF18:AF152)</f>
        <v/>
      </c>
      <c r="AG4" s="209">
        <f>_xlfn.STDEV.S(AG18:AG152)</f>
        <v/>
      </c>
      <c r="AH4" s="209">
        <f>_xlfn.STDEV.S(AH18:AH152)</f>
        <v/>
      </c>
      <c r="AI4" s="209">
        <f>_xlfn.STDEV.S(AI18:AI152)</f>
        <v/>
      </c>
      <c r="AJ4" s="209">
        <f>_xlfn.STDEV.S(AJ18:AJ152)</f>
        <v/>
      </c>
      <c r="AK4" s="209">
        <f>_xlfn.STDEV.S(AK18:AK152)</f>
        <v/>
      </c>
      <c r="AL4" s="209">
        <f>_xlfn.STDEV.S(AL18:AL152)</f>
        <v/>
      </c>
      <c r="AM4" s="209">
        <f>_xlfn.STDEV.S(AM18:AM152)</f>
        <v/>
      </c>
      <c r="AN4" s="209">
        <f>_xlfn.STDEV.S(AN18:AN152)</f>
        <v/>
      </c>
      <c r="AO4" s="209">
        <f>_xlfn.STDEV.S(AO18:AO152)</f>
        <v/>
      </c>
      <c r="AP4" s="209">
        <f>_xlfn.STDEV.S(AP18:AP152)</f>
        <v/>
      </c>
      <c r="AQ4" s="209">
        <f>_xlfn.STDEV.S(AQ18:AQ152)</f>
        <v/>
      </c>
      <c r="AR4" s="209">
        <f>_xlfn.STDEV.S(AR18:AR152)</f>
        <v/>
      </c>
      <c r="AS4" s="209">
        <f>_xlfn.STDEV.S(AS18:AS152)</f>
        <v/>
      </c>
      <c r="AT4" s="209">
        <f>_xlfn.STDEV.S(AT18:AT152)</f>
        <v/>
      </c>
      <c r="AU4" s="209">
        <f>_xlfn.STDEV.S(AU18:AU152)</f>
        <v/>
      </c>
      <c r="AV4" s="209">
        <f>_xlfn.STDEV.S(AV18:AV152)</f>
        <v/>
      </c>
      <c r="AW4" s="209">
        <f>_xlfn.STDEV.S(AW18:AW152)</f>
        <v/>
      </c>
      <c r="AX4" s="209">
        <f>_xlfn.STDEV.S(AX18:AX152)</f>
        <v/>
      </c>
      <c r="AY4" s="209">
        <f>_xlfn.STDEV.S(AY18:AY152)</f>
        <v/>
      </c>
      <c r="AZ4" s="209">
        <f>_xlfn.STDEV.S(AZ18:AZ152)</f>
        <v/>
      </c>
      <c r="BA4" s="209">
        <f>_xlfn.STDEV.S(BA18:BA152)</f>
        <v/>
      </c>
      <c r="BB4" s="209">
        <f>_xlfn.STDEV.S(BB18:BB152)</f>
        <v/>
      </c>
      <c r="BC4" s="209">
        <f>_xlfn.STDEV.S(BC18:BC152)</f>
        <v/>
      </c>
      <c r="BD4" s="209">
        <f>_xlfn.STDEV.S(BD18:BD152)</f>
        <v/>
      </c>
      <c r="BE4" s="209">
        <f>_xlfn.STDEV.S(BE18:BE152)</f>
        <v/>
      </c>
      <c r="BF4" s="209">
        <f>_xlfn.STDEV.S(BF18:BF152)</f>
        <v/>
      </c>
      <c r="BG4" s="209">
        <f>_xlfn.STDEV.S(BG18:BG152)</f>
        <v/>
      </c>
      <c r="BH4" s="209">
        <f>_xlfn.STDEV.S(BH18:BH152)</f>
        <v/>
      </c>
      <c r="BI4" s="209">
        <f>_xlfn.STDEV.S(BI18:BI152)</f>
        <v/>
      </c>
      <c r="BJ4" s="209">
        <f>_xlfn.STDEV.S(BJ18:BJ152)</f>
        <v/>
      </c>
      <c r="BK4" s="209">
        <f>_xlfn.STDEV.S(BK18:BK152)</f>
        <v/>
      </c>
      <c r="BL4" s="209">
        <f>_xlfn.STDEV.S(BL18:BL152)</f>
        <v/>
      </c>
      <c r="BM4" s="209">
        <f>_xlfn.STDEV.S(BM18:BM152)</f>
        <v/>
      </c>
      <c r="BN4" s="209">
        <f>_xlfn.STDEV.S(BN18:BN152)</f>
        <v/>
      </c>
      <c r="BO4" s="209">
        <f>_xlfn.STDEV.S(BO18:BO152)</f>
        <v/>
      </c>
      <c r="BP4" s="209">
        <f>_xlfn.STDEV.S(BP18:BP152)</f>
        <v/>
      </c>
      <c r="BQ4" s="209">
        <f>_xlfn.STDEV.S(BQ18:BQ152)</f>
        <v/>
      </c>
      <c r="BR4" s="209">
        <f>_xlfn.STDEV.S(BR18:BR152)</f>
        <v/>
      </c>
      <c r="BS4" s="209">
        <f>_xlfn.STDEV.S(BS18:BS152)</f>
        <v/>
      </c>
      <c r="BT4" s="209">
        <f>_xlfn.STDEV.S(BT18:BT152)</f>
        <v/>
      </c>
      <c r="BU4" s="209">
        <f>_xlfn.STDEV.S(BU18:BU152)</f>
        <v/>
      </c>
      <c r="BV4" s="209">
        <f>_xlfn.STDEV.S(BV18:BV152)</f>
        <v/>
      </c>
      <c r="BW4" s="209">
        <f>_xlfn.STDEV.S(BW18:BW152)</f>
        <v/>
      </c>
      <c r="BX4" s="209">
        <f>_xlfn.STDEV.S(BX18:BX152)</f>
        <v/>
      </c>
      <c r="BY4" s="209">
        <f>_xlfn.STDEV.S(BY18:BY152)</f>
        <v/>
      </c>
      <c r="BZ4" s="209">
        <f>_xlfn.STDEV.S(BZ18:BZ152)</f>
        <v/>
      </c>
      <c r="CA4" s="209">
        <f>_xlfn.STDEV.S(CA18:CA152)</f>
        <v/>
      </c>
      <c r="CB4" s="209">
        <f>_xlfn.STDEV.S(CB18:CB152)</f>
        <v/>
      </c>
      <c r="CC4" s="209">
        <f>_xlfn.STDEV.S(CC18:CC152)</f>
        <v/>
      </c>
      <c r="CD4" s="209">
        <f>_xlfn.STDEV.S(CD18:CD152)</f>
        <v/>
      </c>
      <c r="CE4" s="209">
        <f>_xlfn.STDEV.S(CE18:CE152)</f>
        <v/>
      </c>
    </row>
    <row r="5">
      <c r="A5" s="163" t="inlineStr">
        <is>
          <t>Date</t>
        </is>
      </c>
      <c r="B5" s="122" t="inlineStr">
        <is>
          <t>bnr</t>
        </is>
      </c>
      <c r="C5" s="122" t="inlineStr">
        <is>
          <t>dsr</t>
        </is>
      </c>
      <c r="D5" s="122" t="inlineStr">
        <is>
          <t>dsr1</t>
        </is>
      </c>
      <c r="E5" s="122" t="inlineStr">
        <is>
          <t>dsr2</t>
        </is>
      </c>
      <c r="F5" s="122" t="inlineStr">
        <is>
          <t>dsr_av2</t>
        </is>
      </c>
      <c r="G5" s="122" t="inlineStr">
        <is>
          <t>dsr_av3</t>
        </is>
      </c>
      <c r="H5" s="122" t="inlineStr">
        <is>
          <t>ggr</t>
        </is>
      </c>
      <c r="I5" s="122" t="inlineStr">
        <is>
          <t>ggr1</t>
        </is>
      </c>
      <c r="J5" s="122" t="inlineStr">
        <is>
          <t>ggr2</t>
        </is>
      </c>
      <c r="K5" s="122" t="inlineStr">
        <is>
          <t>ggr_av2</t>
        </is>
      </c>
      <c r="L5" s="122" t="inlineStr">
        <is>
          <t>ggr_av3</t>
        </is>
      </c>
      <c r="M5" s="122" t="inlineStr">
        <is>
          <t>rcgr_c1</t>
        </is>
      </c>
      <c r="N5" s="122" t="inlineStr">
        <is>
          <t>rcgr_c2</t>
        </is>
      </c>
      <c r="O5" s="122" t="inlineStr">
        <is>
          <t>rcgr_c3</t>
        </is>
      </c>
      <c r="P5" s="122" t="inlineStr">
        <is>
          <t>invr</t>
        </is>
      </c>
      <c r="Q5" s="122" t="inlineStr">
        <is>
          <t>invr1</t>
        </is>
      </c>
      <c r="R5" s="122" t="inlineStr">
        <is>
          <t>invr2</t>
        </is>
      </c>
      <c r="S5" s="122" t="inlineStr">
        <is>
          <t>invr_av2</t>
        </is>
      </c>
      <c r="T5" s="122" t="inlineStr">
        <is>
          <t>invr_av3</t>
        </is>
      </c>
      <c r="U5" s="122" t="inlineStr">
        <is>
          <t>d_srv</t>
        </is>
      </c>
      <c r="V5" s="122" t="inlineStr">
        <is>
          <t>d_srv1</t>
        </is>
      </c>
      <c r="W5" s="122" t="inlineStr">
        <is>
          <t>d_srv2</t>
        </is>
      </c>
      <c r="X5" s="122" t="inlineStr">
        <is>
          <t>d_srv_av2</t>
        </is>
      </c>
      <c r="Y5" s="122" t="inlineStr">
        <is>
          <t>d_srv_av3</t>
        </is>
      </c>
      <c r="Z5" s="122" t="inlineStr">
        <is>
          <t>l_gdp</t>
        </is>
      </c>
      <c r="AA5" s="122" t="inlineStr">
        <is>
          <t>l_gdp1</t>
        </is>
      </c>
      <c r="AB5" s="122" t="inlineStr">
        <is>
          <t>l_gdp2</t>
        </is>
      </c>
      <c r="AC5" s="122" t="inlineStr">
        <is>
          <t>l_gdp_av2</t>
        </is>
      </c>
      <c r="AD5" s="122" t="inlineStr">
        <is>
          <t>l_gdp_av3</t>
        </is>
      </c>
      <c r="AE5" s="122" t="inlineStr">
        <is>
          <t>rcgr_h1</t>
        </is>
      </c>
      <c r="AF5" s="122" t="inlineStr">
        <is>
          <t>rcgr_h2</t>
        </is>
      </c>
      <c r="AG5" s="122" t="inlineStr">
        <is>
          <t>rcgr_h3</t>
        </is>
      </c>
      <c r="AH5" s="122" t="inlineStr">
        <is>
          <t>exd_s</t>
        </is>
      </c>
      <c r="AI5" s="122" t="inlineStr">
        <is>
          <t>exd_s1</t>
        </is>
      </c>
      <c r="AJ5" s="122" t="inlineStr">
        <is>
          <t>exd_s2</t>
        </is>
      </c>
      <c r="AK5" s="122" t="inlineStr">
        <is>
          <t>exd_s_av2</t>
        </is>
      </c>
      <c r="AL5" s="122" t="inlineStr">
        <is>
          <t>exd_s_av3</t>
        </is>
      </c>
      <c r="AM5" s="122" t="inlineStr">
        <is>
          <t>bb_gdp</t>
        </is>
      </c>
      <c r="AN5" s="122" t="inlineStr">
        <is>
          <t>bb_gdp1</t>
        </is>
      </c>
      <c r="AO5" s="122" t="inlineStr">
        <is>
          <t>bb_gdp2</t>
        </is>
      </c>
      <c r="AP5" s="122" t="inlineStr">
        <is>
          <t>bb_gdp_av2</t>
        </is>
      </c>
      <c r="AQ5" s="122" t="inlineStr">
        <is>
          <t>bb_gdp_av3</t>
        </is>
      </c>
      <c r="AR5" s="122" t="inlineStr">
        <is>
          <t>ggd</t>
        </is>
      </c>
      <c r="AS5" s="122" t="inlineStr">
        <is>
          <t>ggd1</t>
        </is>
      </c>
      <c r="AT5" s="122" t="inlineStr">
        <is>
          <t>ggd2</t>
        </is>
      </c>
      <c r="AU5" s="122" t="inlineStr">
        <is>
          <t>ggd_av2</t>
        </is>
      </c>
      <c r="AV5" s="122" t="inlineStr">
        <is>
          <t>ggd_av3</t>
        </is>
      </c>
      <c r="AW5" s="122" t="inlineStr">
        <is>
          <t>crr</t>
        </is>
      </c>
      <c r="AX5" s="122" t="inlineStr">
        <is>
          <t>crr1</t>
        </is>
      </c>
      <c r="AY5" s="122" t="inlineStr">
        <is>
          <t>crr2</t>
        </is>
      </c>
      <c r="AZ5" s="122" t="inlineStr">
        <is>
          <t>crr_av2</t>
        </is>
      </c>
      <c r="BA5" s="122" t="inlineStr">
        <is>
          <t>crr_av3</t>
        </is>
      </c>
      <c r="BB5" s="122" t="inlineStr">
        <is>
          <t>d_as</t>
        </is>
      </c>
      <c r="BC5" s="122" t="inlineStr">
        <is>
          <t>d_as1</t>
        </is>
      </c>
      <c r="BD5" s="122" t="inlineStr">
        <is>
          <t>d_as2</t>
        </is>
      </c>
      <c r="BE5" s="122" t="inlineStr">
        <is>
          <t>d_as_av2</t>
        </is>
      </c>
      <c r="BF5" s="122" t="inlineStr">
        <is>
          <t>d_as_av3</t>
        </is>
      </c>
      <c r="BG5" s="122" t="inlineStr">
        <is>
          <t>lvr</t>
        </is>
      </c>
      <c r="BH5" s="122" t="inlineStr">
        <is>
          <t>lvr1</t>
        </is>
      </c>
      <c r="BI5" s="122" t="inlineStr">
        <is>
          <t>lvr2</t>
        </is>
      </c>
      <c r="BJ5" s="122" t="inlineStr">
        <is>
          <t>lvr_av2</t>
        </is>
      </c>
      <c r="BK5" s="122" t="inlineStr">
        <is>
          <t>lvr_av3</t>
        </is>
      </c>
      <c r="BL5" s="122" t="inlineStr">
        <is>
          <t>ca</t>
        </is>
      </c>
      <c r="BM5" s="122" t="inlineStr">
        <is>
          <t>ca1</t>
        </is>
      </c>
      <c r="BN5" s="122" t="inlineStr">
        <is>
          <t>ca2</t>
        </is>
      </c>
      <c r="BO5" s="122" t="inlineStr">
        <is>
          <t>ca_av2</t>
        </is>
      </c>
      <c r="BP5" s="122" t="inlineStr">
        <is>
          <t>ca_av3</t>
        </is>
      </c>
      <c r="BQ5" s="122" t="inlineStr">
        <is>
          <t>gd_gdp</t>
        </is>
      </c>
      <c r="BR5" s="122" t="inlineStr">
        <is>
          <t>gd_gdp1</t>
        </is>
      </c>
      <c r="BS5" s="122" t="inlineStr">
        <is>
          <t>gd_gdp2</t>
        </is>
      </c>
      <c r="BT5" s="122" t="inlineStr">
        <is>
          <t>gd_gdp_av2</t>
        </is>
      </c>
      <c r="BU5" s="122" t="inlineStr">
        <is>
          <t>gd_gdp_av3</t>
        </is>
      </c>
      <c r="BV5" s="122" t="inlineStr">
        <is>
          <t>cest</t>
        </is>
      </c>
      <c r="BW5" s="122" t="inlineStr">
        <is>
          <t>cest1</t>
        </is>
      </c>
      <c r="BX5" s="122" t="inlineStr">
        <is>
          <t>cest2</t>
        </is>
      </c>
      <c r="BY5" s="122" t="inlineStr">
        <is>
          <t>cest_av2</t>
        </is>
      </c>
      <c r="BZ5" s="122" t="inlineStr">
        <is>
          <t>cest_av3</t>
        </is>
      </c>
      <c r="CA5" s="122" t="inlineStr">
        <is>
          <t>pest</t>
        </is>
      </c>
      <c r="CB5" s="122" t="inlineStr">
        <is>
          <t>pest1</t>
        </is>
      </c>
      <c r="CC5" s="122" t="inlineStr">
        <is>
          <t>pest2</t>
        </is>
      </c>
      <c r="CD5" s="122" t="inlineStr">
        <is>
          <t>pest_av2</t>
        </is>
      </c>
      <c r="CE5" s="122" t="inlineStr">
        <is>
          <t>pest_av3</t>
        </is>
      </c>
    </row>
    <row r="6">
      <c r="A6" s="251" t="n">
        <v>38718</v>
      </c>
      <c r="B6" s="3" t="n">
        <v>0</v>
      </c>
      <c r="C6" s="40" t="n">
        <v>-1.02211209507086</v>
      </c>
      <c r="D6" s="40" t="inlineStr"/>
      <c r="E6" s="40" t="inlineStr"/>
      <c r="F6" s="40" t="inlineStr"/>
      <c r="G6" s="40" t="inlineStr"/>
      <c r="H6" s="40" t="n">
        <v>-0.2786490800928188</v>
      </c>
      <c r="I6" s="40" t="n">
        <v>-0.2139393879540375</v>
      </c>
      <c r="J6" s="40" t="inlineStr"/>
      <c r="K6" s="40" t="inlineStr"/>
      <c r="L6" s="40" t="inlineStr"/>
      <c r="M6" s="40" t="n">
        <v>-0.1366104240487009</v>
      </c>
      <c r="N6" s="40" t="n">
        <v>-0.284756595567504</v>
      </c>
      <c r="O6" s="40" t="n">
        <v>-0.2281498086009094</v>
      </c>
      <c r="P6" s="40" t="n">
        <v>-0.4870303224610893</v>
      </c>
      <c r="Q6" s="40" t="n">
        <v>-0.1077718541388748</v>
      </c>
      <c r="R6" s="40" t="inlineStr"/>
      <c r="S6" s="40" t="inlineStr"/>
      <c r="T6" s="40" t="inlineStr"/>
      <c r="U6" s="40" t="n">
        <v>-4.429650345134846</v>
      </c>
      <c r="V6" s="40" t="inlineStr"/>
      <c r="W6" s="40" t="inlineStr"/>
      <c r="X6" s="40" t="inlineStr"/>
      <c r="Y6" s="40" t="inlineStr"/>
      <c r="Z6" s="40" t="n">
        <v>-0.1697747893678141</v>
      </c>
      <c r="AA6" s="40" t="n">
        <v>-0.1116928976182506</v>
      </c>
      <c r="AB6" s="40" t="inlineStr"/>
      <c r="AC6" s="40" t="inlineStr"/>
      <c r="AD6" s="40" t="inlineStr"/>
      <c r="AE6" s="40" t="n">
        <v>0.03082943395348097</v>
      </c>
      <c r="AF6" s="40" t="n">
        <v>0.1083018925712225</v>
      </c>
      <c r="AG6" s="40" t="n">
        <v>0.1661879334579987</v>
      </c>
      <c r="AH6" s="40" t="n">
        <v>-0.6432996019166104</v>
      </c>
      <c r="AI6" s="40" t="n">
        <v>-0.3400231526678597</v>
      </c>
      <c r="AJ6" s="40" t="inlineStr"/>
      <c r="AK6" s="40" t="inlineStr"/>
      <c r="AL6" s="40" t="inlineStr"/>
      <c r="AM6" s="40" t="n">
        <v>0.04200647288750242</v>
      </c>
      <c r="AN6" s="40" t="n">
        <v>0.4820199128956563</v>
      </c>
      <c r="AO6" s="40" t="inlineStr"/>
      <c r="AP6" s="40" t="inlineStr"/>
      <c r="AQ6" s="40" t="inlineStr"/>
      <c r="AR6" s="40" t="n">
        <v>-0.00327165472945613</v>
      </c>
      <c r="AS6" s="40" t="n">
        <v>-0.1226025080583047</v>
      </c>
      <c r="AT6" s="40" t="inlineStr"/>
      <c r="AU6" s="141" t="inlineStr"/>
      <c r="AV6" s="141" t="inlineStr"/>
      <c r="AW6" s="141" t="n">
        <v>-0.337674573804587</v>
      </c>
      <c r="AX6" s="141" t="n">
        <v>-0.2537896694751972</v>
      </c>
      <c r="AY6" s="141" t="inlineStr"/>
      <c r="AZ6" s="141" t="inlineStr"/>
      <c r="BA6" s="141" t="inlineStr"/>
      <c r="BB6" s="141" t="n">
        <v>-0.1412510726029873</v>
      </c>
      <c r="BC6" s="141" t="n">
        <v>-0.1261802665332584</v>
      </c>
      <c r="BD6" s="141" t="inlineStr"/>
      <c r="BE6" s="141" t="inlineStr"/>
      <c r="BF6" s="141" t="inlineStr"/>
      <c r="BG6" s="141" t="n">
        <v>-0.9206338979173566</v>
      </c>
      <c r="BH6" s="141" t="inlineStr"/>
      <c r="BI6" s="141" t="inlineStr"/>
      <c r="BJ6" s="141" t="inlineStr"/>
      <c r="BK6" s="141" t="inlineStr"/>
      <c r="BL6" s="141" t="n">
        <v>-0.1856145857621737</v>
      </c>
      <c r="BM6" s="141" t="n">
        <v>-0.2398824584623711</v>
      </c>
      <c r="BN6" s="141" t="inlineStr"/>
      <c r="BO6" s="141" t="inlineStr"/>
      <c r="BP6" s="141" t="inlineStr"/>
      <c r="BQ6" s="141" t="n">
        <v>-0.1679096377329392</v>
      </c>
      <c r="BR6" s="141" t="n">
        <v>-0.2155499591818911</v>
      </c>
      <c r="BS6" s="141" t="inlineStr"/>
      <c r="BT6" s="141" t="inlineStr"/>
      <c r="BU6" s="141" t="inlineStr"/>
      <c r="BV6" s="40" t="n">
        <v>-0.8418924575308986</v>
      </c>
      <c r="BW6" s="40" t="inlineStr"/>
      <c r="BX6" s="40" t="inlineStr"/>
      <c r="BY6" s="40" t="inlineStr"/>
      <c r="BZ6" s="40" t="inlineStr"/>
      <c r="CA6" s="40" t="inlineStr"/>
      <c r="CB6" s="40" t="inlineStr"/>
      <c r="CC6" s="40" t="inlineStr"/>
      <c r="CD6" s="40" t="inlineStr"/>
      <c r="CE6" s="40" t="inlineStr"/>
    </row>
    <row r="7">
      <c r="A7" s="251" t="n">
        <v>38808</v>
      </c>
      <c r="B7" s="3" t="n">
        <v>0</v>
      </c>
      <c r="C7" s="40" t="n">
        <v>-1.139463475940107</v>
      </c>
      <c r="D7" s="40" t="inlineStr"/>
      <c r="E7" s="40" t="inlineStr"/>
      <c r="F7" s="40" t="inlineStr"/>
      <c r="G7" s="40" t="inlineStr"/>
      <c r="H7" s="40" t="n">
        <v>-0.2789861703618939</v>
      </c>
      <c r="I7" s="40" t="n">
        <v>-0.1422312578764426</v>
      </c>
      <c r="J7" s="40" t="inlineStr"/>
      <c r="K7" s="40" t="inlineStr"/>
      <c r="L7" s="40" t="inlineStr"/>
      <c r="M7" s="40" t="n">
        <v>-0.09418939146999594</v>
      </c>
      <c r="N7" s="40" t="n">
        <v>-0.3863565256769133</v>
      </c>
      <c r="O7" s="40" t="n">
        <v>-0.3237543705181837</v>
      </c>
      <c r="P7" s="40" t="n">
        <v>-0.3390341337890717</v>
      </c>
      <c r="Q7" s="40" t="n">
        <v>-0.1523671041273751</v>
      </c>
      <c r="R7" s="40" t="inlineStr"/>
      <c r="S7" s="40" t="inlineStr"/>
      <c r="T7" s="40" t="inlineStr"/>
      <c r="U7" s="40" t="n">
        <v>-4.351526902455231</v>
      </c>
      <c r="V7" s="40" t="inlineStr"/>
      <c r="W7" s="40" t="inlineStr"/>
      <c r="X7" s="40" t="inlineStr"/>
      <c r="Y7" s="40" t="inlineStr"/>
      <c r="Z7" s="40" t="n">
        <v>-0.1754517942439958</v>
      </c>
      <c r="AA7" s="40" t="n">
        <v>-0.06795950666812127</v>
      </c>
      <c r="AB7" s="40" t="inlineStr"/>
      <c r="AC7" s="40" t="inlineStr"/>
      <c r="AD7" s="40" t="inlineStr"/>
      <c r="AE7" s="40" t="n">
        <v>0.06355605737521962</v>
      </c>
      <c r="AF7" s="40" t="n">
        <v>0.1004410822241322</v>
      </c>
      <c r="AG7" s="40" t="n">
        <v>0.1840361998884249</v>
      </c>
      <c r="AH7" s="40" t="n">
        <v>-0.6777505882763215</v>
      </c>
      <c r="AI7" s="40" t="n">
        <v>-0.2417147933749101</v>
      </c>
      <c r="AJ7" s="40" t="inlineStr"/>
      <c r="AK7" s="40" t="inlineStr"/>
      <c r="AL7" s="40" t="inlineStr"/>
      <c r="AM7" s="40" t="n">
        <v>0.03246362112229034</v>
      </c>
      <c r="AN7" s="40" t="n">
        <v>0.5726825849395056</v>
      </c>
      <c r="AO7" s="40" t="inlineStr"/>
      <c r="AP7" s="40" t="inlineStr"/>
      <c r="AQ7" s="40" t="inlineStr"/>
      <c r="AR7" s="40" t="n">
        <v>-0.04588805631101727</v>
      </c>
      <c r="AS7" s="40" t="n">
        <v>-0.1179355474024934</v>
      </c>
      <c r="AT7" s="40" t="inlineStr"/>
      <c r="AU7" s="141" t="inlineStr"/>
      <c r="AV7" s="141" t="inlineStr"/>
      <c r="AW7" s="141" t="n">
        <v>-0.3264942772379177</v>
      </c>
      <c r="AX7" s="141" t="n">
        <v>-0.1451702329650355</v>
      </c>
      <c r="AY7" s="141" t="inlineStr"/>
      <c r="AZ7" s="141" t="inlineStr"/>
      <c r="BA7" s="141" t="inlineStr"/>
      <c r="BB7" s="141" t="n">
        <v>-0.06674467757677462</v>
      </c>
      <c r="BC7" s="141" t="n">
        <v>0.02934659038351735</v>
      </c>
      <c r="BD7" s="141" t="inlineStr"/>
      <c r="BE7" s="141" t="inlineStr"/>
      <c r="BF7" s="141" t="inlineStr"/>
      <c r="BG7" s="141" t="n">
        <v>-0.8181732497839547</v>
      </c>
      <c r="BH7" s="141" t="n">
        <v>0.1917856525116617</v>
      </c>
      <c r="BI7" s="141" t="inlineStr"/>
      <c r="BJ7" s="141" t="inlineStr"/>
      <c r="BK7" s="141" t="inlineStr"/>
      <c r="BL7" s="141" t="n">
        <v>-0.04415143238835877</v>
      </c>
      <c r="BM7" s="141" t="n">
        <v>0.1216746829650823</v>
      </c>
      <c r="BN7" s="141" t="inlineStr"/>
      <c r="BO7" s="141" t="inlineStr"/>
      <c r="BP7" s="141" t="inlineStr"/>
      <c r="BQ7" s="141" t="n">
        <v>-0.1984736211848813</v>
      </c>
      <c r="BR7" s="141" t="n">
        <v>-0.1595176065508876</v>
      </c>
      <c r="BS7" s="141" t="inlineStr"/>
      <c r="BT7" s="141" t="inlineStr"/>
      <c r="BU7" s="141" t="inlineStr"/>
      <c r="BV7" s="40" t="n">
        <v>-0.6069236820709532</v>
      </c>
      <c r="BW7" s="40" t="inlineStr"/>
      <c r="BX7" s="40" t="inlineStr"/>
      <c r="BY7" s="40" t="inlineStr"/>
      <c r="BZ7" s="40" t="inlineStr"/>
      <c r="CA7" s="40" t="n">
        <v>-0.6632587766618425</v>
      </c>
      <c r="CB7" s="40" t="inlineStr"/>
      <c r="CC7" s="40" t="inlineStr"/>
      <c r="CD7" s="40" t="inlineStr"/>
      <c r="CE7" s="40" t="inlineStr"/>
    </row>
    <row r="8">
      <c r="A8" s="251" t="n">
        <v>38899</v>
      </c>
      <c r="B8" s="3" t="n">
        <v>0</v>
      </c>
      <c r="C8" s="40" t="n">
        <v>-1.001558543898984</v>
      </c>
      <c r="D8" s="40" t="inlineStr"/>
      <c r="E8" s="40" t="inlineStr"/>
      <c r="F8" s="40" t="inlineStr"/>
      <c r="G8" s="40" t="inlineStr"/>
      <c r="H8" s="40" t="n">
        <v>-0.2341338864901722</v>
      </c>
      <c r="I8" s="40" t="n">
        <v>-0.03152758194002066</v>
      </c>
      <c r="J8" s="40" t="inlineStr"/>
      <c r="K8" s="40" t="inlineStr"/>
      <c r="L8" s="40" t="inlineStr"/>
      <c r="M8" s="40" t="n">
        <v>0.1340839808280244</v>
      </c>
      <c r="N8" s="40" t="n">
        <v>-0.3017280441315261</v>
      </c>
      <c r="O8" s="40" t="n">
        <v>-0.2076744965580647</v>
      </c>
      <c r="P8" s="40" t="n">
        <v>-0.538958809714429</v>
      </c>
      <c r="Q8" s="40" t="n">
        <v>-0.1430764270464371</v>
      </c>
      <c r="R8" s="40" t="inlineStr"/>
      <c r="S8" s="40" t="inlineStr"/>
      <c r="T8" s="40" t="inlineStr"/>
      <c r="U8" s="40" t="n">
        <v>-4.278675563838416</v>
      </c>
      <c r="V8" s="40" t="inlineStr"/>
      <c r="W8" s="40" t="inlineStr"/>
      <c r="X8" s="40" t="inlineStr"/>
      <c r="Y8" s="40" t="inlineStr"/>
      <c r="Z8" s="40" t="n">
        <v>-0.1285096056908558</v>
      </c>
      <c r="AA8" s="40" t="n">
        <v>0.01179725360716181</v>
      </c>
      <c r="AB8" s="40" t="inlineStr"/>
      <c r="AC8" s="40" t="inlineStr"/>
      <c r="AD8" s="40" t="inlineStr"/>
      <c r="AE8" s="40" t="n">
        <v>0.1364356507633323</v>
      </c>
      <c r="AF8" s="40" t="n">
        <v>0.09304926508533688</v>
      </c>
      <c r="AG8" s="40" t="n">
        <v>0.1932691281129559</v>
      </c>
      <c r="AH8" s="40" t="n">
        <v>-0.7079122107968072</v>
      </c>
      <c r="AI8" s="40" t="n">
        <v>-0.1066084461374018</v>
      </c>
      <c r="AJ8" s="40" t="inlineStr"/>
      <c r="AK8" s="40" t="inlineStr"/>
      <c r="AL8" s="40" t="inlineStr"/>
      <c r="AM8" s="40" t="n">
        <v>-0.1827575029652481</v>
      </c>
      <c r="AN8" s="40" t="n">
        <v>0.3409447535506295</v>
      </c>
      <c r="AO8" s="40" t="inlineStr"/>
      <c r="AP8" s="40" t="inlineStr"/>
      <c r="AQ8" s="40" t="inlineStr"/>
      <c r="AR8" s="40" t="n">
        <v>-0.06801817028210831</v>
      </c>
      <c r="AS8" s="40" t="n">
        <v>-0.09728369585808345</v>
      </c>
      <c r="AT8" s="40" t="inlineStr"/>
      <c r="AU8" s="141" t="inlineStr"/>
      <c r="AV8" s="141" t="inlineStr"/>
      <c r="AW8" s="141" t="n">
        <v>-0.2848518921777594</v>
      </c>
      <c r="AX8" s="141" t="n">
        <v>-0.02702542936606732</v>
      </c>
      <c r="AY8" s="141" t="inlineStr"/>
      <c r="AZ8" s="141" t="inlineStr"/>
      <c r="BA8" s="141" t="inlineStr"/>
      <c r="BB8" s="141" t="n">
        <v>-0.01527221411636083</v>
      </c>
      <c r="BC8" s="141" t="n">
        <v>0.1237648025644015</v>
      </c>
      <c r="BD8" s="141" t="inlineStr"/>
      <c r="BE8" s="141" t="inlineStr"/>
      <c r="BF8" s="141" t="inlineStr"/>
      <c r="BG8" s="141" t="n">
        <v>-0.5373289073354276</v>
      </c>
      <c r="BH8" s="141" t="n">
        <v>0.3244891686104733</v>
      </c>
      <c r="BI8" s="141" t="inlineStr"/>
      <c r="BJ8" s="141" t="inlineStr"/>
      <c r="BK8" s="141" t="inlineStr"/>
      <c r="BL8" s="141" t="n">
        <v>-0.02048650482878381</v>
      </c>
      <c r="BM8" s="141" t="n">
        <v>0.1723497840838149</v>
      </c>
      <c r="BN8" s="141" t="inlineStr"/>
      <c r="BO8" s="141" t="inlineStr"/>
      <c r="BP8" s="141" t="inlineStr"/>
      <c r="BQ8" s="141" t="n">
        <v>-0.1910670584901219</v>
      </c>
      <c r="BR8" s="141" t="n">
        <v>-0.1034207125950568</v>
      </c>
      <c r="BS8" s="141" t="inlineStr"/>
      <c r="BT8" s="141" t="inlineStr"/>
      <c r="BU8" s="141" t="inlineStr"/>
      <c r="BV8" s="40" t="n">
        <v>0.8649768219639514</v>
      </c>
      <c r="BW8" s="40" t="inlineStr"/>
      <c r="BX8" s="40" t="inlineStr"/>
      <c r="BY8" s="40" t="inlineStr"/>
      <c r="BZ8" s="40" t="inlineStr"/>
      <c r="CA8" s="40" t="n">
        <v>-0.6498412743351634</v>
      </c>
      <c r="CB8" s="40" t="inlineStr"/>
      <c r="CC8" s="40" t="inlineStr"/>
      <c r="CD8" s="40" t="inlineStr"/>
      <c r="CE8" s="40" t="inlineStr"/>
    </row>
    <row r="9">
      <c r="A9" s="251" t="n">
        <v>38991</v>
      </c>
      <c r="B9" s="3" t="n">
        <v>0</v>
      </c>
      <c r="C9" s="40" t="n">
        <v>-0.9834686041086067</v>
      </c>
      <c r="D9" s="40" t="n">
        <v>0.0577425610298635</v>
      </c>
      <c r="E9" s="40" t="inlineStr"/>
      <c r="F9" s="40" t="inlineStr"/>
      <c r="G9" s="40" t="inlineStr"/>
      <c r="H9" s="40" t="n">
        <v>-0.1538440384564246</v>
      </c>
      <c r="I9" s="40" t="n">
        <v>0.1271282764144266</v>
      </c>
      <c r="J9" s="40" t="inlineStr"/>
      <c r="K9" s="40" t="inlineStr"/>
      <c r="L9" s="40" t="inlineStr"/>
      <c r="M9" s="40" t="n">
        <v>0.4456855042079601</v>
      </c>
      <c r="N9" s="40" t="n">
        <v>-0.08507057832418714</v>
      </c>
      <c r="O9" s="40" t="n">
        <v>-0.1164401758545949</v>
      </c>
      <c r="P9" s="40" t="n">
        <v>-0.5441516584397634</v>
      </c>
      <c r="Q9" s="40" t="n">
        <v>0.03902084373993733</v>
      </c>
      <c r="R9" s="40" t="inlineStr"/>
      <c r="S9" s="40" t="inlineStr"/>
      <c r="T9" s="40" t="inlineStr"/>
      <c r="U9" s="40" t="n">
        <v>-4.191957080563927</v>
      </c>
      <c r="V9" s="40" t="inlineStr"/>
      <c r="W9" s="40" t="inlineStr"/>
      <c r="X9" s="40" t="inlineStr"/>
      <c r="Y9" s="40" t="inlineStr"/>
      <c r="Z9" s="40" t="n">
        <v>-0.0699441245718871</v>
      </c>
      <c r="AA9" s="40" t="n">
        <v>0.09002261410215751</v>
      </c>
      <c r="AB9" s="40" t="inlineStr"/>
      <c r="AC9" s="40" t="inlineStr"/>
      <c r="AD9" s="40" t="inlineStr"/>
      <c r="AE9" s="40" t="n">
        <v>0.1647194962932031</v>
      </c>
      <c r="AF9" s="40" t="n">
        <v>0.1081479583600405</v>
      </c>
      <c r="AG9" s="40" t="n">
        <v>0.1797086996340425</v>
      </c>
      <c r="AH9" s="40" t="n">
        <v>-0.7184441442014452</v>
      </c>
      <c r="AI9" s="40" t="n">
        <v>-0.1144281733521215</v>
      </c>
      <c r="AJ9" s="40" t="inlineStr"/>
      <c r="AK9" s="40" t="inlineStr"/>
      <c r="AL9" s="40" t="inlineStr"/>
      <c r="AM9" s="40" t="n">
        <v>-0.6567422986743335</v>
      </c>
      <c r="AN9" s="40" t="n">
        <v>-0.4985581865220667</v>
      </c>
      <c r="AO9" s="40" t="inlineStr"/>
      <c r="AP9" s="40" t="inlineStr"/>
      <c r="AQ9" s="40" t="inlineStr"/>
      <c r="AR9" s="40" t="n">
        <v>-0.04748501489169986</v>
      </c>
      <c r="AS9" s="40" t="n">
        <v>-0.03454169065502462</v>
      </c>
      <c r="AT9" s="40" t="inlineStr"/>
      <c r="AU9" s="141" t="inlineStr"/>
      <c r="AV9" s="141" t="inlineStr"/>
      <c r="AW9" s="141" t="n">
        <v>-0.2465721813952428</v>
      </c>
      <c r="AX9" s="141" t="n">
        <v>0.07195647549170305</v>
      </c>
      <c r="AY9" s="141" t="inlineStr"/>
      <c r="AZ9" s="141" t="inlineStr"/>
      <c r="BA9" s="141" t="inlineStr"/>
      <c r="BB9" s="141" t="n">
        <v>0.02930601468519272</v>
      </c>
      <c r="BC9" s="141" t="n">
        <v>0.2649986182003143</v>
      </c>
      <c r="BD9" s="141" t="inlineStr"/>
      <c r="BE9" s="141" t="inlineStr"/>
      <c r="BF9" s="141" t="inlineStr"/>
      <c r="BG9" s="141" t="n">
        <v>-0.4909390207340648</v>
      </c>
      <c r="BH9" s="141" t="n">
        <v>0.3515063710625035</v>
      </c>
      <c r="BI9" s="141" t="inlineStr"/>
      <c r="BJ9" s="141" t="inlineStr"/>
      <c r="BK9" s="141" t="inlineStr"/>
      <c r="BL9" s="141" t="n">
        <v>0.144405643458914</v>
      </c>
      <c r="BM9" s="141" t="n">
        <v>0.6312584795449339</v>
      </c>
      <c r="BN9" s="141" t="inlineStr"/>
      <c r="BO9" s="141" t="inlineStr"/>
      <c r="BP9" s="141" t="inlineStr"/>
      <c r="BQ9" s="141" t="n">
        <v>-0.1699145585283701</v>
      </c>
      <c r="BR9" s="141" t="n">
        <v>-0.03849187610258559</v>
      </c>
      <c r="BS9" s="141" t="inlineStr"/>
      <c r="BT9" s="141" t="inlineStr"/>
      <c r="BU9" s="141" t="inlineStr"/>
      <c r="BV9" s="40" t="n">
        <v>0.818080973879055</v>
      </c>
      <c r="BW9" s="40" t="n">
        <v>2.093506695418321</v>
      </c>
      <c r="BX9" s="40" t="inlineStr"/>
      <c r="BY9" s="40" t="inlineStr"/>
      <c r="BZ9" s="40" t="inlineStr"/>
      <c r="CA9" s="40" t="n">
        <v>-0.6363499857077142</v>
      </c>
      <c r="CB9" s="40" t="inlineStr"/>
      <c r="CC9" s="40" t="inlineStr"/>
      <c r="CD9" s="40" t="inlineStr"/>
      <c r="CE9" s="40" t="inlineStr"/>
    </row>
    <row r="10">
      <c r="A10" s="251" t="n">
        <v>39083</v>
      </c>
      <c r="B10" s="3" t="n">
        <v>0</v>
      </c>
      <c r="C10" s="40" t="n">
        <v>-0.8560296749380748</v>
      </c>
      <c r="D10" s="40" t="n">
        <v>0.1684181140035043</v>
      </c>
      <c r="E10" s="40" t="inlineStr"/>
      <c r="F10" s="40" t="inlineStr"/>
      <c r="G10" s="40" t="inlineStr"/>
      <c r="H10" s="40" t="n">
        <v>-0.08493311176864955</v>
      </c>
      <c r="I10" s="40" t="n">
        <v>0.2514306540333907</v>
      </c>
      <c r="J10" s="40" t="n">
        <v>0.02475171986693823</v>
      </c>
      <c r="K10" s="40" t="n">
        <v>0.1763842783315135</v>
      </c>
      <c r="L10" s="40" t="inlineStr"/>
      <c r="M10" s="40" t="n">
        <v>0.6111885988715816</v>
      </c>
      <c r="N10" s="40" t="n">
        <v>0.2763003555840208</v>
      </c>
      <c r="O10" s="40" t="n">
        <v>0.04837023878656779</v>
      </c>
      <c r="P10" s="40" t="n">
        <v>-0.300087768349067</v>
      </c>
      <c r="Q10" s="40" t="n">
        <v>0.1337857499654996</v>
      </c>
      <c r="R10" s="40" t="n">
        <v>0.0230433971932873</v>
      </c>
      <c r="S10" s="40" t="n">
        <v>0.101601399123988</v>
      </c>
      <c r="T10" s="40" t="inlineStr"/>
      <c r="U10" s="40" t="n">
        <v>-4.078687846281726</v>
      </c>
      <c r="V10" s="40" t="n">
        <v>0.4618431864780393</v>
      </c>
      <c r="W10" s="40" t="inlineStr"/>
      <c r="X10" s="40" t="inlineStr"/>
      <c r="Y10" s="40" t="inlineStr"/>
      <c r="Z10" s="40" t="n">
        <v>-0.07443658959158339</v>
      </c>
      <c r="AA10" s="40" t="n">
        <v>0.1025061605991522</v>
      </c>
      <c r="AB10" s="40" t="n">
        <v>-0.00586209935653938</v>
      </c>
      <c r="AC10" s="40" t="n">
        <v>0.05920102246026974</v>
      </c>
      <c r="AD10" s="40" t="inlineStr"/>
      <c r="AE10" s="40" t="n">
        <v>0.1356783389493541</v>
      </c>
      <c r="AF10" s="40" t="n">
        <v>0.1058756489818099</v>
      </c>
      <c r="AG10" s="40" t="n">
        <v>0.1464945641766853</v>
      </c>
      <c r="AH10" s="40" t="n">
        <v>-0.7696543826311417</v>
      </c>
      <c r="AI10" s="40" t="n">
        <v>-0.153883737458579</v>
      </c>
      <c r="AJ10" s="40" t="n">
        <v>-0.3884107464718972</v>
      </c>
      <c r="AK10" s="40" t="n">
        <v>-0.2390417626504124</v>
      </c>
      <c r="AL10" s="40" t="inlineStr"/>
      <c r="AM10" s="40" t="n">
        <v>-1.075598815803837</v>
      </c>
      <c r="AN10" s="40" t="n">
        <v>-0.8784441253010647</v>
      </c>
      <c r="AO10" s="40" t="n">
        <v>-0.3262717833970978</v>
      </c>
      <c r="AP10" s="40" t="n">
        <v>-0.7252179950110393</v>
      </c>
      <c r="AQ10" s="40" t="inlineStr"/>
      <c r="AR10" s="40" t="n">
        <v>-0.07770338054318709</v>
      </c>
      <c r="AS10" s="40" t="n">
        <v>-0.1220395279002748</v>
      </c>
      <c r="AT10" s="40" t="n">
        <v>-0.1603736150617754</v>
      </c>
      <c r="AU10" s="141" t="n">
        <v>-0.1124195195259881</v>
      </c>
      <c r="AV10" s="141" t="inlineStr"/>
      <c r="AW10" s="141" t="n">
        <v>-0.1187577384878892</v>
      </c>
      <c r="AX10" s="141" t="n">
        <v>0.191087814470444</v>
      </c>
      <c r="AY10" s="141" t="n">
        <v>-0.04121430647236599</v>
      </c>
      <c r="AZ10" s="141" t="n">
        <v>0.1210692361877926</v>
      </c>
      <c r="BA10" s="141" t="inlineStr"/>
      <c r="BB10" s="141" t="n">
        <v>0.2555500714581347</v>
      </c>
      <c r="BC10" s="141" t="n">
        <v>0.5572041989603018</v>
      </c>
      <c r="BD10" s="141" t="n">
        <v>0.2951751040777532</v>
      </c>
      <c r="BE10" s="141" t="n">
        <v>0.5091040433314561</v>
      </c>
      <c r="BF10" s="141" t="inlineStr"/>
      <c r="BG10" s="141" t="n">
        <v>-0.5610366118472014</v>
      </c>
      <c r="BH10" s="141" t="n">
        <v>0.3572870560837278</v>
      </c>
      <c r="BI10" s="141" t="inlineStr"/>
      <c r="BJ10" s="141" t="inlineStr"/>
      <c r="BK10" s="141" t="inlineStr"/>
      <c r="BL10" s="141" t="n">
        <v>0.3032137215560234</v>
      </c>
      <c r="BM10" s="141" t="n">
        <v>0.5894122076126014</v>
      </c>
      <c r="BN10" s="141" t="n">
        <v>0.3022613574790194</v>
      </c>
      <c r="BO10" s="141" t="n">
        <v>0.6104284061414027</v>
      </c>
      <c r="BP10" s="141" t="inlineStr"/>
      <c r="BQ10" s="141" t="n">
        <v>-0.1359498888771727</v>
      </c>
      <c r="BR10" s="141" t="n">
        <v>0.04723620189835036</v>
      </c>
      <c r="BS10" s="141" t="n">
        <v>-0.1077350215535478</v>
      </c>
      <c r="BT10" s="141" t="n">
        <v>0.003367356229429708</v>
      </c>
      <c r="BU10" s="141" t="inlineStr"/>
      <c r="BV10" s="40" t="n">
        <v>0.6595691643337577</v>
      </c>
      <c r="BW10" s="40" t="n">
        <v>1.599726332529736</v>
      </c>
      <c r="BX10" s="40" t="inlineStr"/>
      <c r="BY10" s="40" t="inlineStr"/>
      <c r="BZ10" s="40" t="inlineStr"/>
      <c r="CA10" s="40" t="n">
        <v>-0.4289617267610975</v>
      </c>
      <c r="CB10" s="40" t="inlineStr"/>
      <c r="CC10" s="40" t="inlineStr"/>
      <c r="CD10" s="40" t="inlineStr"/>
      <c r="CE10" s="40" t="inlineStr"/>
    </row>
    <row r="11">
      <c r="A11" s="251" t="n">
        <v>39173</v>
      </c>
      <c r="B11" s="3" t="n">
        <v>0</v>
      </c>
      <c r="C11" s="40" t="n">
        <v>-0.3924007967850877</v>
      </c>
      <c r="D11" s="40" t="n">
        <v>0.7575689670532212</v>
      </c>
      <c r="E11" s="40" t="inlineStr"/>
      <c r="F11" s="40" t="inlineStr"/>
      <c r="G11" s="40" t="inlineStr"/>
      <c r="H11" s="40" t="n">
        <v>-0.06642451504359617</v>
      </c>
      <c r="I11" s="40" t="n">
        <v>0.2758911228715247</v>
      </c>
      <c r="J11" s="40" t="n">
        <v>0.08824219296325579</v>
      </c>
      <c r="K11" s="40" t="n">
        <v>0.1971775537011161</v>
      </c>
      <c r="L11" s="40" t="inlineStr"/>
      <c r="M11" s="40" t="n">
        <v>0.6235289052370206</v>
      </c>
      <c r="N11" s="40" t="n">
        <v>0.3081825158375365</v>
      </c>
      <c r="O11" s="40" t="n">
        <v>-0.01588107098340396</v>
      </c>
      <c r="P11" s="40" t="n">
        <v>-0.2144057643810563</v>
      </c>
      <c r="Q11" s="40" t="n">
        <v>0.08919049997700007</v>
      </c>
      <c r="R11" s="40" t="n">
        <v>-0.05596253604084103</v>
      </c>
      <c r="S11" s="40" t="n">
        <v>0.174173827069694</v>
      </c>
      <c r="T11" s="40" t="inlineStr"/>
      <c r="U11" s="40" t="n">
        <v>-3.970018775425153</v>
      </c>
      <c r="V11" s="40" t="n">
        <v>0.5020391911689105</v>
      </c>
      <c r="W11" s="40" t="inlineStr"/>
      <c r="X11" s="40" t="inlineStr"/>
      <c r="Y11" s="40" t="inlineStr"/>
      <c r="Z11" s="40" t="n">
        <v>-0.1084556253834519</v>
      </c>
      <c r="AA11" s="40" t="n">
        <v>0.07203324649369984</v>
      </c>
      <c r="AB11" s="40" t="n">
        <v>0.002599472213103212</v>
      </c>
      <c r="AC11" s="40" t="n">
        <v>0.02199797246668513</v>
      </c>
      <c r="AD11" s="40" t="inlineStr"/>
      <c r="AE11" s="40" t="n">
        <v>0.0985684263779469</v>
      </c>
      <c r="AF11" s="40" t="n">
        <v>0.1030884903086416</v>
      </c>
      <c r="AG11" s="40" t="n">
        <v>0.1228102682200341</v>
      </c>
      <c r="AH11" s="40" t="n">
        <v>-0.8150230371423178</v>
      </c>
      <c r="AI11" s="40" t="n">
        <v>-0.1671800414842702</v>
      </c>
      <c r="AJ11" s="40" t="n">
        <v>-0.3215568586125617</v>
      </c>
      <c r="AK11" s="40" t="n">
        <v>-0.2313364067364724</v>
      </c>
      <c r="AL11" s="40" t="inlineStr"/>
      <c r="AM11" s="40" t="n">
        <v>-0.9939911671386886</v>
      </c>
      <c r="AN11" s="40" t="n">
        <v>-0.8067993125648429</v>
      </c>
      <c r="AO11" s="40" t="n">
        <v>-0.1926867225942661</v>
      </c>
      <c r="AP11" s="40" t="n">
        <v>-0.5837760259031937</v>
      </c>
      <c r="AQ11" s="40" t="inlineStr"/>
      <c r="AR11" s="40" t="n">
        <v>-0.1511321753296943</v>
      </c>
      <c r="AS11" s="40" t="n">
        <v>-0.1725600536451655</v>
      </c>
      <c r="AT11" s="40" t="n">
        <v>-0.1904326438300413</v>
      </c>
      <c r="AU11" s="141" t="n">
        <v>-0.2072681740173598</v>
      </c>
      <c r="AV11" s="141" t="inlineStr"/>
      <c r="AW11" s="141" t="n">
        <v>-0.1287087240372985</v>
      </c>
      <c r="AX11" s="141" t="n">
        <v>0.1726427711247446</v>
      </c>
      <c r="AY11" s="141" t="n">
        <v>0.01805786459112233</v>
      </c>
      <c r="AZ11" s="141" t="n">
        <v>0.1201602885328808</v>
      </c>
      <c r="BA11" s="141" t="inlineStr"/>
      <c r="BB11" s="141" t="n">
        <v>0.3797792699378382</v>
      </c>
      <c r="BC11" s="141" t="n">
        <v>0.6270269685844114</v>
      </c>
      <c r="BD11" s="141" t="n">
        <v>0.4494997122115432</v>
      </c>
      <c r="BE11" s="141" t="n">
        <v>0.6415545637541732</v>
      </c>
      <c r="BF11" s="141" t="inlineStr"/>
      <c r="BG11" s="141" t="n">
        <v>-0.4208445097923634</v>
      </c>
      <c r="BH11" s="141" t="n">
        <v>0.3947761045709254</v>
      </c>
      <c r="BI11" s="141" t="n">
        <v>0.4893147661216419</v>
      </c>
      <c r="BJ11" s="141" t="n">
        <v>0.4129023399718255</v>
      </c>
      <c r="BK11" s="141" t="inlineStr"/>
      <c r="BL11" s="141" t="n">
        <v>0.3426013489131003</v>
      </c>
      <c r="BM11" s="141" t="n">
        <v>0.466333080990788</v>
      </c>
      <c r="BN11" s="141" t="n">
        <v>0.5084889780443659</v>
      </c>
      <c r="BO11" s="141" t="n">
        <v>0.6152303799380586</v>
      </c>
      <c r="BP11" s="141" t="inlineStr"/>
      <c r="BQ11" s="141" t="n">
        <v>-0.09068344246869516</v>
      </c>
      <c r="BR11" s="141" t="n">
        <v>0.1593128490300501</v>
      </c>
      <c r="BS11" s="141" t="n">
        <v>-0.0001310621085091917</v>
      </c>
      <c r="BT11" s="141" t="n">
        <v>0.09578142569132514</v>
      </c>
      <c r="BU11" s="141" t="inlineStr"/>
      <c r="BV11" s="40" t="n">
        <v>0.6415689674933521</v>
      </c>
      <c r="BW11" s="40" t="n">
        <v>1.330201543877938</v>
      </c>
      <c r="BX11" s="40" t="inlineStr"/>
      <c r="BY11" s="40" t="inlineStr"/>
      <c r="BZ11" s="40" t="inlineStr"/>
      <c r="CA11" s="40" t="n">
        <v>0.04281780630104748</v>
      </c>
      <c r="CB11" s="40" t="n">
        <v>0.8509372454541301</v>
      </c>
      <c r="CC11" s="40" t="inlineStr"/>
      <c r="CD11" s="40" t="inlineStr"/>
      <c r="CE11" s="40" t="inlineStr"/>
    </row>
    <row r="12">
      <c r="A12" s="251" t="n">
        <v>39264</v>
      </c>
      <c r="B12" s="3" t="n">
        <v>0</v>
      </c>
      <c r="C12" s="40" t="n">
        <v>0.05974043175449632</v>
      </c>
      <c r="D12" s="40" t="n">
        <v>1.076224513891978</v>
      </c>
      <c r="E12" s="40" t="inlineStr"/>
      <c r="F12" s="40" t="inlineStr"/>
      <c r="G12" s="40" t="inlineStr"/>
      <c r="H12" s="40" t="n">
        <v>-0.08407685926296429</v>
      </c>
      <c r="I12" s="40" t="n">
        <v>0.1947642046468086</v>
      </c>
      <c r="J12" s="40" t="n">
        <v>0.1077687573610265</v>
      </c>
      <c r="K12" s="40" t="n">
        <v>0.1545737435877915</v>
      </c>
      <c r="L12" s="40" t="inlineStr"/>
      <c r="M12" s="40" t="n">
        <v>0.4955784195072519</v>
      </c>
      <c r="N12" s="40" t="n">
        <v>0.3665906995732688</v>
      </c>
      <c r="O12" s="40" t="n">
        <v>-0.008983717537701231</v>
      </c>
      <c r="P12" s="40" t="n">
        <v>-0.3598055286904071</v>
      </c>
      <c r="Q12" s="40" t="n">
        <v>0.1282113437169374</v>
      </c>
      <c r="R12" s="40" t="n">
        <v>-0.01316765553902111</v>
      </c>
      <c r="S12" s="40" t="n">
        <v>0.05399388639160545</v>
      </c>
      <c r="T12" s="40" t="inlineStr"/>
      <c r="U12" s="40" t="n">
        <v>-3.884738780903158</v>
      </c>
      <c r="V12" s="40" t="n">
        <v>0.5183944714784745</v>
      </c>
      <c r="W12" s="40" t="inlineStr"/>
      <c r="X12" s="40" t="inlineStr"/>
      <c r="Y12" s="40" t="inlineStr"/>
      <c r="Z12" s="40" t="n">
        <v>-0.1097645675662455</v>
      </c>
      <c r="AA12" s="40" t="n">
        <v>0.02015437561175344</v>
      </c>
      <c r="AB12" s="40" t="n">
        <v>0.02038848229738153</v>
      </c>
      <c r="AC12" s="40" t="n">
        <v>0.01998539723107624</v>
      </c>
      <c r="AD12" s="40" t="inlineStr"/>
      <c r="AE12" s="40" t="n">
        <v>-0.02231859653263311</v>
      </c>
      <c r="AF12" s="40" t="n">
        <v>0.07256248141411516</v>
      </c>
      <c r="AG12" s="40" t="n">
        <v>0.05937182423107382</v>
      </c>
      <c r="AH12" s="40" t="n">
        <v>-0.8618681028392162</v>
      </c>
      <c r="AI12" s="40" t="n">
        <v>-0.1874983117954224</v>
      </c>
      <c r="AJ12" s="40" t="n">
        <v>-0.2312869645569719</v>
      </c>
      <c r="AK12" s="40" t="n">
        <v>-0.2383932013465965</v>
      </c>
      <c r="AL12" s="40" t="inlineStr"/>
      <c r="AM12" s="40" t="n">
        <v>-0.9855520199723683</v>
      </c>
      <c r="AN12" s="40" t="n">
        <v>-0.6310010648881026</v>
      </c>
      <c r="AO12" s="40" t="n">
        <v>-0.2387270681864387</v>
      </c>
      <c r="AP12" s="40" t="n">
        <v>-0.539118276511327</v>
      </c>
      <c r="AQ12" s="40" t="inlineStr"/>
      <c r="AR12" s="40" t="n">
        <v>-0.1926197771660305</v>
      </c>
      <c r="AS12" s="40" t="n">
        <v>-0.2042989211050145</v>
      </c>
      <c r="AT12" s="40" t="n">
        <v>-0.1977006704209721</v>
      </c>
      <c r="AU12" s="141" t="n">
        <v>-0.2407573395091537</v>
      </c>
      <c r="AV12" s="141" t="inlineStr"/>
      <c r="AW12" s="141" t="n">
        <v>-0.1871237510624934</v>
      </c>
      <c r="AX12" s="141" t="n">
        <v>0.08530480020396548</v>
      </c>
      <c r="AY12" s="141" t="n">
        <v>0.03830738102641017</v>
      </c>
      <c r="AZ12" s="141" t="n">
        <v>0.06184405197376015</v>
      </c>
      <c r="BA12" s="141" t="inlineStr"/>
      <c r="BB12" s="141" t="n">
        <v>0.4188229246179526</v>
      </c>
      <c r="BC12" s="141" t="n">
        <v>0.6095739331178838</v>
      </c>
      <c r="BD12" s="141" t="n">
        <v>0.5022072357105272</v>
      </c>
      <c r="BE12" s="141" t="n">
        <v>0.6116523045453469</v>
      </c>
      <c r="BF12" s="141" t="inlineStr"/>
      <c r="BG12" s="141" t="n">
        <v>-0.2442215916497401</v>
      </c>
      <c r="BH12" s="141" t="n">
        <v>0.2912242500003525</v>
      </c>
      <c r="BI12" s="141" t="n">
        <v>0.5136333280982949</v>
      </c>
      <c r="BJ12" s="141" t="n">
        <v>0.5395869455740305</v>
      </c>
      <c r="BK12" s="141" t="inlineStr"/>
      <c r="BL12" s="141" t="n">
        <v>0.3984508791988631</v>
      </c>
      <c r="BM12" s="141" t="n">
        <v>0.5051401579541698</v>
      </c>
      <c r="BN12" s="141" t="n">
        <v>0.5858701013479914</v>
      </c>
      <c r="BO12" s="141" t="n">
        <v>0.6074487817874679</v>
      </c>
      <c r="BP12" s="141" t="inlineStr"/>
      <c r="BQ12" s="141" t="n">
        <v>-0.09740824337417905</v>
      </c>
      <c r="BR12" s="141" t="n">
        <v>0.1384268293328192</v>
      </c>
      <c r="BS12" s="141" t="n">
        <v>0.02240687156009224</v>
      </c>
      <c r="BT12" s="141" t="n">
        <v>0.08536376839867195</v>
      </c>
      <c r="BU12" s="141" t="inlineStr"/>
      <c r="BV12" s="40" t="n">
        <v>-0.5302358793285672</v>
      </c>
      <c r="BW12" s="40" t="n">
        <v>-1.486523841325848</v>
      </c>
      <c r="BX12" s="40" t="inlineStr"/>
      <c r="BY12" s="40" t="inlineStr"/>
      <c r="BZ12" s="40" t="inlineStr"/>
      <c r="CA12" s="40" t="n">
        <v>0.4845869108035032</v>
      </c>
      <c r="CB12" s="40" t="n">
        <v>1.367170670037871</v>
      </c>
      <c r="CC12" s="40" t="inlineStr"/>
      <c r="CD12" s="40" t="inlineStr"/>
      <c r="CE12" s="40" t="inlineStr"/>
    </row>
    <row r="13">
      <c r="A13" s="251" t="n">
        <v>39356</v>
      </c>
      <c r="B13" s="3" t="n">
        <v>0</v>
      </c>
      <c r="C13" s="40" t="n">
        <v>0.5691822602083564</v>
      </c>
      <c r="D13" s="40" t="n">
        <v>1.574486511366495</v>
      </c>
      <c r="E13" s="40" t="n">
        <v>1.119288013048319</v>
      </c>
      <c r="F13" s="40" t="n">
        <v>1.56293253620312</v>
      </c>
      <c r="G13" s="40" t="inlineStr"/>
      <c r="H13" s="40" t="n">
        <v>-0.05947696013271523</v>
      </c>
      <c r="I13" s="40" t="n">
        <v>0.1224822941929364</v>
      </c>
      <c r="J13" s="40" t="n">
        <v>0.1647928055143087</v>
      </c>
      <c r="K13" s="40" t="n">
        <v>0.1669664328999067</v>
      </c>
      <c r="L13" s="40" t="inlineStr"/>
      <c r="M13" s="40" t="n">
        <v>0.1957044085017441</v>
      </c>
      <c r="N13" s="40" t="n">
        <v>0.3734184805608369</v>
      </c>
      <c r="O13" s="40" t="n">
        <v>0.0196458006512625</v>
      </c>
      <c r="P13" s="40" t="n">
        <v>-0.6324300867704402</v>
      </c>
      <c r="Q13" s="40" t="n">
        <v>-0.06317660415037447</v>
      </c>
      <c r="R13" s="40" t="n">
        <v>-0.02139744025090949</v>
      </c>
      <c r="S13" s="40" t="n">
        <v>-0.1875271538117033</v>
      </c>
      <c r="T13" s="40" t="inlineStr"/>
      <c r="U13" s="40" t="n">
        <v>-3.805517120402756</v>
      </c>
      <c r="V13" s="40" t="n">
        <v>0.5085291538740014</v>
      </c>
      <c r="W13" s="40" t="inlineStr"/>
      <c r="X13" s="40" t="inlineStr"/>
      <c r="Y13" s="40" t="inlineStr"/>
      <c r="Z13" s="40" t="n">
        <v>-0.09699980893555973</v>
      </c>
      <c r="AA13" s="40" t="n">
        <v>-0.02908985415092807</v>
      </c>
      <c r="AB13" s="40" t="n">
        <v>0.03888147577966969</v>
      </c>
      <c r="AC13" s="40" t="n">
        <v>0.03020332802165978</v>
      </c>
      <c r="AD13" s="40" t="inlineStr"/>
      <c r="AE13" s="40" t="n">
        <v>-0.1624225436183806</v>
      </c>
      <c r="AF13" s="40" t="n">
        <v>0.001460540555480543</v>
      </c>
      <c r="AG13" s="40" t="n">
        <v>0.003666569271609587</v>
      </c>
      <c r="AH13" s="40" t="n">
        <v>-0.8592334193081537</v>
      </c>
      <c r="AI13" s="40" t="n">
        <v>-0.1714630797900059</v>
      </c>
      <c r="AJ13" s="40" t="n">
        <v>-0.2248262521996668</v>
      </c>
      <c r="AK13" s="40" t="n">
        <v>-0.190900796714421</v>
      </c>
      <c r="AL13" s="40" t="inlineStr"/>
      <c r="AM13" s="40" t="n">
        <v>-0.3751398994552548</v>
      </c>
      <c r="AN13" s="40" t="n">
        <v>0.221341090425892</v>
      </c>
      <c r="AO13" s="40" t="n">
        <v>-0.2281599193516606</v>
      </c>
      <c r="AP13" s="40" t="n">
        <v>0.1028535952312614</v>
      </c>
      <c r="AQ13" s="40" t="inlineStr"/>
      <c r="AR13" s="40" t="n">
        <v>-0.1666596078351065</v>
      </c>
      <c r="AS13" s="40" t="n">
        <v>-0.1954006964304155</v>
      </c>
      <c r="AT13" s="40" t="n">
        <v>-0.150737348666726</v>
      </c>
      <c r="AU13" s="141" t="n">
        <v>-0.155996343606084</v>
      </c>
      <c r="AV13" s="141" t="inlineStr"/>
      <c r="AW13" s="141" t="n">
        <v>-0.2149128836310668</v>
      </c>
      <c r="AX13" s="141" t="n">
        <v>0.0276347226044701</v>
      </c>
      <c r="AY13" s="141" t="n">
        <v>0.06546189359110093</v>
      </c>
      <c r="AZ13" s="141" t="n">
        <v>0.02804640510884481</v>
      </c>
      <c r="BA13" s="141" t="inlineStr"/>
      <c r="BB13" s="141" t="n">
        <v>0.3368609282146934</v>
      </c>
      <c r="BC13" s="141" t="n">
        <v>0.4318810361169544</v>
      </c>
      <c r="BD13" s="141" t="n">
        <v>0.4772392180974457</v>
      </c>
      <c r="BE13" s="141" t="n">
        <v>0.3845164611966069</v>
      </c>
      <c r="BF13" s="141" t="inlineStr"/>
      <c r="BG13" s="141" t="n">
        <v>-0.1899030608272688</v>
      </c>
      <c r="BH13" s="141" t="n">
        <v>0.299101956707912</v>
      </c>
      <c r="BI13" s="141" t="n">
        <v>0.5427429557003148</v>
      </c>
      <c r="BJ13" s="141" t="n">
        <v>0.5110744544338263</v>
      </c>
      <c r="BK13" s="141" t="inlineStr"/>
      <c r="BL13" s="141" t="n">
        <v>0.4324984423797045</v>
      </c>
      <c r="BM13" s="141" t="n">
        <v>0.3473722983449555</v>
      </c>
      <c r="BN13" s="141" t="n">
        <v>0.8462863836766263</v>
      </c>
      <c r="BO13" s="141" t="n">
        <v>0.5523256402547145</v>
      </c>
      <c r="BP13" s="141" t="inlineStr"/>
      <c r="BQ13" s="141" t="n">
        <v>-0.03383323554227121</v>
      </c>
      <c r="BR13" s="141" t="n">
        <v>0.2011268885802338</v>
      </c>
      <c r="BS13" s="141" t="n">
        <v>0.1041001452134677</v>
      </c>
      <c r="BT13" s="141" t="n">
        <v>0.1795063668603274</v>
      </c>
      <c r="BU13" s="141" t="inlineStr"/>
      <c r="BV13" s="40" t="n">
        <v>-0.3649553983485956</v>
      </c>
      <c r="BW13" s="40" t="n">
        <v>-1.260461412688455</v>
      </c>
      <c r="BX13" s="40" t="n">
        <v>0.787340425601801</v>
      </c>
      <c r="BY13" s="40" t="n">
        <v>-0.4634339920114329</v>
      </c>
      <c r="BZ13" s="40" t="inlineStr"/>
      <c r="CA13" s="40" t="n">
        <v>0.8260371118080915</v>
      </c>
      <c r="CB13" s="40" t="n">
        <v>1.762414557534141</v>
      </c>
      <c r="CC13" s="40" t="inlineStr"/>
      <c r="CD13" s="40" t="inlineStr"/>
      <c r="CE13" s="40" t="inlineStr"/>
    </row>
    <row r="14">
      <c r="A14" s="251" t="n">
        <v>39448</v>
      </c>
      <c r="B14" s="3" t="n">
        <v>0</v>
      </c>
      <c r="C14" s="40" t="n">
        <v>1.000318684130981</v>
      </c>
      <c r="D14" s="40" t="n">
        <v>1.882455044416788</v>
      </c>
      <c r="E14" s="40" t="n">
        <v>1.406369841907187</v>
      </c>
      <c r="F14" s="40" t="n">
        <v>1.825991376179122</v>
      </c>
      <c r="G14" s="40" t="inlineStr"/>
      <c r="H14" s="40" t="n">
        <v>-0.03984372206598026</v>
      </c>
      <c r="I14" s="40" t="n">
        <v>0.05852307809719222</v>
      </c>
      <c r="J14" s="40" t="n">
        <v>0.2046313382207483</v>
      </c>
      <c r="K14" s="40" t="n">
        <v>0.1608169494901618</v>
      </c>
      <c r="L14" s="40" t="n">
        <v>0.1407613387292357</v>
      </c>
      <c r="M14" s="40" t="n">
        <v>0.08434140550516558</v>
      </c>
      <c r="N14" s="40" t="n">
        <v>0.4049389494162333</v>
      </c>
      <c r="O14" s="40" t="n">
        <v>0.2214431495223104</v>
      </c>
      <c r="P14" s="40" t="n">
        <v>-0.7284977881891189</v>
      </c>
      <c r="Q14" s="40" t="n">
        <v>-0.306592343670937</v>
      </c>
      <c r="R14" s="40" t="n">
        <v>-0.1530739956411239</v>
      </c>
      <c r="S14" s="40" t="n">
        <v>-0.2696791422462423</v>
      </c>
      <c r="T14" s="40" t="n">
        <v>-0.2839431309900493</v>
      </c>
      <c r="U14" s="40" t="n">
        <v>-3.747678737333755</v>
      </c>
      <c r="V14" s="40" t="n">
        <v>0.4355858592566225</v>
      </c>
      <c r="W14" s="40" t="n">
        <v>0.5421414103751055</v>
      </c>
      <c r="X14" s="40" t="n">
        <v>0.4999458976743356</v>
      </c>
      <c r="Y14" s="40" t="inlineStr"/>
      <c r="Z14" s="40" t="n">
        <v>-0.1309293508288777</v>
      </c>
      <c r="AA14" s="40" t="n">
        <v>-0.06074014476538708</v>
      </c>
      <c r="AB14" s="40" t="n">
        <v>0.02665108776220913</v>
      </c>
      <c r="AC14" s="40" t="n">
        <v>-0.016102662696444</v>
      </c>
      <c r="AD14" s="40" t="n">
        <v>-0.01285866464085233</v>
      </c>
      <c r="AE14" s="40" t="n">
        <v>-0.1993293219034306</v>
      </c>
      <c r="AF14" s="40" t="n">
        <v>-0.0404731203300974</v>
      </c>
      <c r="AG14" s="40" t="n">
        <v>-0.01571290927940244</v>
      </c>
      <c r="AH14" s="40" t="n">
        <v>-0.9087452595195323</v>
      </c>
      <c r="AI14" s="40" t="n">
        <v>-0.1693946510052003</v>
      </c>
      <c r="AJ14" s="40" t="n">
        <v>-0.254227674672253</v>
      </c>
      <c r="AK14" s="40" t="n">
        <v>-0.2200846071203238</v>
      </c>
      <c r="AL14" s="40" t="n">
        <v>-0.2966157202487917</v>
      </c>
      <c r="AM14" s="40" t="n">
        <v>-0.4686152792862678</v>
      </c>
      <c r="AN14" s="40" t="n">
        <v>0.477092518444213</v>
      </c>
      <c r="AO14" s="40" t="n">
        <v>-0.3303272112061573</v>
      </c>
      <c r="AP14" s="40" t="n">
        <v>0.05456051366157058</v>
      </c>
      <c r="AQ14" s="40" t="n">
        <v>0.0368196518805085</v>
      </c>
      <c r="AR14" s="40" t="n">
        <v>-0.06269323953814651</v>
      </c>
      <c r="AS14" s="40" t="n">
        <v>0.02461088335578773</v>
      </c>
      <c r="AT14" s="40" t="n">
        <v>-0.0638687618623873</v>
      </c>
      <c r="AU14" s="141" t="n">
        <v>0.05437637907439512</v>
      </c>
      <c r="AV14" s="141" t="n">
        <v>-0.007260301455526568</v>
      </c>
      <c r="AW14" s="141" t="n">
        <v>-0.278613772370036</v>
      </c>
      <c r="AX14" s="141" t="n">
        <v>-0.13953490648749</v>
      </c>
      <c r="AY14" s="141" t="n">
        <v>0.03388603652938309</v>
      </c>
      <c r="AZ14" s="141" t="n">
        <v>-0.04487345517876346</v>
      </c>
      <c r="BA14" s="141" t="n">
        <v>-0.04539483195098701</v>
      </c>
      <c r="BB14" s="141" t="n">
        <v>0.2629649752650098</v>
      </c>
      <c r="BC14" s="141" t="n">
        <v>0.01041230751955979</v>
      </c>
      <c r="BD14" s="141" t="n">
        <v>0.3887168409257722</v>
      </c>
      <c r="BE14" s="141" t="n">
        <v>0.1748298704159899</v>
      </c>
      <c r="BF14" s="141" t="n">
        <v>0.2546780609207331</v>
      </c>
      <c r="BG14" s="141" t="n">
        <v>-0.05320003564427471</v>
      </c>
      <c r="BH14" s="141" t="n">
        <v>0.5045739840422068</v>
      </c>
      <c r="BI14" s="141" t="n">
        <v>0.7189717505214015</v>
      </c>
      <c r="BJ14" s="141" t="n">
        <v>0.5786509158792572</v>
      </c>
      <c r="BK14" s="141" t="inlineStr"/>
      <c r="BL14" s="141" t="n">
        <v>0.3543069408118736</v>
      </c>
      <c r="BM14" s="141" t="n">
        <v>0.06160643052944637</v>
      </c>
      <c r="BN14" s="141" t="n">
        <v>0.5629786242440309</v>
      </c>
      <c r="BO14" s="141" t="n">
        <v>0.278674321712529</v>
      </c>
      <c r="BP14" s="141" t="n">
        <v>0.416998460128413</v>
      </c>
      <c r="BQ14" s="141" t="n">
        <v>0.03298461496375048</v>
      </c>
      <c r="BR14" s="141" t="n">
        <v>0.2496835743935361</v>
      </c>
      <c r="BS14" s="141" t="n">
        <v>0.1900537366330251</v>
      </c>
      <c r="BT14" s="141" t="n">
        <v>0.261920772279188</v>
      </c>
      <c r="BU14" s="141" t="n">
        <v>0.191929010157447</v>
      </c>
      <c r="BV14" s="40" t="n">
        <v>-0.2011012228678102</v>
      </c>
      <c r="BW14" s="40" t="n">
        <v>-0.9169978519497729</v>
      </c>
      <c r="BX14" s="40" t="n">
        <v>0.6452707237099962</v>
      </c>
      <c r="BY14" s="40" t="n">
        <v>-0.3751902035535924</v>
      </c>
      <c r="BZ14" s="40" t="inlineStr"/>
      <c r="CA14" s="40" t="n">
        <v>0.9347622373554552</v>
      </c>
      <c r="CB14" s="40" t="n">
        <v>1.643509417513308</v>
      </c>
      <c r="CC14" s="40" t="inlineStr"/>
      <c r="CD14" s="40" t="inlineStr"/>
      <c r="CE14" s="40" t="inlineStr"/>
    </row>
    <row r="15">
      <c r="A15" s="251" t="n">
        <v>39539</v>
      </c>
      <c r="B15" s="3" t="n">
        <v>0</v>
      </c>
      <c r="C15" s="40" t="n">
        <v>0.7472252635474103</v>
      </c>
      <c r="D15" s="40" t="n">
        <v>1.155653148581224</v>
      </c>
      <c r="E15" s="40" t="n">
        <v>1.311976741833555</v>
      </c>
      <c r="F15" s="40" t="n">
        <v>1.247221763324381</v>
      </c>
      <c r="G15" s="40" t="inlineStr"/>
      <c r="H15" s="40" t="n">
        <v>-0.09519623043881088</v>
      </c>
      <c r="I15" s="40" t="n">
        <v>-0.03734380434438786</v>
      </c>
      <c r="J15" s="40" t="n">
        <v>0.1574888506217881</v>
      </c>
      <c r="K15" s="40" t="n">
        <v>0.0418975386059549</v>
      </c>
      <c r="L15" s="40" t="n">
        <v>0.07182101549020355</v>
      </c>
      <c r="M15" s="40" t="n">
        <v>-0.175586331823363</v>
      </c>
      <c r="N15" s="40" t="n">
        <v>0.2607930555626719</v>
      </c>
      <c r="O15" s="40" t="n">
        <v>0.1401565118136773</v>
      </c>
      <c r="P15" s="40" t="n">
        <v>-0.7362870612771198</v>
      </c>
      <c r="Q15" s="40" t="n">
        <v>-0.3734852186536871</v>
      </c>
      <c r="R15" s="40" t="n">
        <v>-0.2518314121837841</v>
      </c>
      <c r="S15" s="40" t="n">
        <v>-0.2496491521332277</v>
      </c>
      <c r="T15" s="40" t="n">
        <v>-0.2623469272441128</v>
      </c>
      <c r="U15" s="40" t="n">
        <v>-3.725542451092492</v>
      </c>
      <c r="V15" s="40" t="n">
        <v>0.3217144994613475</v>
      </c>
      <c r="W15" s="40" t="n">
        <v>0.4976337569667069</v>
      </c>
      <c r="X15" s="40" t="n">
        <v>0.4160693225381148</v>
      </c>
      <c r="Y15" s="40" t="inlineStr"/>
      <c r="Z15" s="40" t="n">
        <v>-0.138540666380767</v>
      </c>
      <c r="AA15" s="40" t="n">
        <v>-0.03234697163719386</v>
      </c>
      <c r="AB15" s="40" t="n">
        <v>0.0253239954312527</v>
      </c>
      <c r="AC15" s="40" t="n">
        <v>-0.03017842177827085</v>
      </c>
      <c r="AD15" s="40" t="n">
        <v>-0.01488938795192141</v>
      </c>
      <c r="AE15" s="40" t="n">
        <v>-0.1236510326199188</v>
      </c>
      <c r="AF15" s="40" t="n">
        <v>-0.01594902849114233</v>
      </c>
      <c r="AG15" s="40" t="n">
        <v>0.01841868728716245</v>
      </c>
      <c r="AH15" s="40" t="n">
        <v>-0.9611717679735113</v>
      </c>
      <c r="AI15" s="40" t="n">
        <v>-0.1779902018582308</v>
      </c>
      <c r="AJ15" s="40" t="n">
        <v>-0.2714435343111457</v>
      </c>
      <c r="AK15" s="40" t="n">
        <v>-0.2479332994489264</v>
      </c>
      <c r="AL15" s="40" t="n">
        <v>-0.3056829360235407</v>
      </c>
      <c r="AM15" s="40" t="n">
        <v>-0.7122781148194302</v>
      </c>
      <c r="AN15" s="40" t="n">
        <v>0.2214280643931619</v>
      </c>
      <c r="AO15" s="40" t="n">
        <v>-0.4817821795784788</v>
      </c>
      <c r="AP15" s="40" t="n">
        <v>-0.1212841074726296</v>
      </c>
      <c r="AQ15" s="40" t="n">
        <v>-0.1961751943578525</v>
      </c>
      <c r="AR15" s="40" t="n">
        <v>-0.1509870133091486</v>
      </c>
      <c r="AS15" s="40" t="n">
        <v>0.0002380101262299267</v>
      </c>
      <c r="AT15" s="40" t="n">
        <v>-0.1129646790490385</v>
      </c>
      <c r="AU15" s="141" t="n">
        <v>-0.08564418427374351</v>
      </c>
      <c r="AV15" s="141" t="n">
        <v>-0.1156491795746582</v>
      </c>
      <c r="AW15" s="141" t="n">
        <v>-0.2368812781858923</v>
      </c>
      <c r="AX15" s="141" t="n">
        <v>-0.09442150453178927</v>
      </c>
      <c r="AY15" s="141" t="n">
        <v>0.05141530906500802</v>
      </c>
      <c r="AZ15" s="141" t="n">
        <v>-0.01274543904590065</v>
      </c>
      <c r="BA15" s="141" t="n">
        <v>0.001552034251380389</v>
      </c>
      <c r="BB15" s="141" t="n">
        <v>0.4045899388414738</v>
      </c>
      <c r="BC15" s="141" t="n">
        <v>0.03484014373202027</v>
      </c>
      <c r="BD15" s="141" t="n">
        <v>0.4532618239167337</v>
      </c>
      <c r="BE15" s="141" t="n">
        <v>0.3153587901792405</v>
      </c>
      <c r="BF15" s="141" t="n">
        <v>0.4041304806129548</v>
      </c>
      <c r="BG15" s="141" t="n">
        <v>0.1579539547433238</v>
      </c>
      <c r="BH15" s="141" t="n">
        <v>0.5750799782715622</v>
      </c>
      <c r="BI15" s="141" t="n">
        <v>0.8090621262253643</v>
      </c>
      <c r="BJ15" s="141" t="n">
        <v>0.7052075786146548</v>
      </c>
      <c r="BK15" s="141" t="n">
        <v>0.8778368127648123</v>
      </c>
      <c r="BL15" s="141" t="n">
        <v>0.3699274610575942</v>
      </c>
      <c r="BM15" s="141" t="n">
        <v>0.03294887763950924</v>
      </c>
      <c r="BN15" s="141" t="n">
        <v>0.4317619399987425</v>
      </c>
      <c r="BO15" s="141" t="n">
        <v>0.1996617091133294</v>
      </c>
      <c r="BP15" s="141" t="n">
        <v>0.3989898801704607</v>
      </c>
      <c r="BQ15" s="141" t="n">
        <v>-0.04108436496516681</v>
      </c>
      <c r="BR15" s="141" t="n">
        <v>0.07330696024871518</v>
      </c>
      <c r="BS15" s="141" t="n">
        <v>0.1488963265445484</v>
      </c>
      <c r="BT15" s="141" t="n">
        <v>0.1078792221997498</v>
      </c>
      <c r="BU15" s="141" t="n">
        <v>0.09446046395201392</v>
      </c>
      <c r="BV15" s="40" t="n">
        <v>-0.1754039151412353</v>
      </c>
      <c r="BW15" s="40" t="n">
        <v>-0.870440518945934</v>
      </c>
      <c r="BX15" s="40" t="n">
        <v>0.4345363313970863</v>
      </c>
      <c r="BY15" s="40" t="n">
        <v>-0.4477947801417165</v>
      </c>
      <c r="BZ15" s="40" t="inlineStr"/>
      <c r="CA15" s="40" t="n">
        <v>0.7706027918332529</v>
      </c>
      <c r="CB15" s="40" t="n">
        <v>0.8770994050997979</v>
      </c>
      <c r="CC15" s="40" t="n">
        <v>1.151228240489135</v>
      </c>
      <c r="CD15" s="40" t="n">
        <v>1.038010911714887</v>
      </c>
      <c r="CE15" s="40" t="inlineStr"/>
    </row>
    <row r="16">
      <c r="A16" s="251" t="n">
        <v>39630</v>
      </c>
      <c r="B16" s="3" t="n">
        <v>0</v>
      </c>
      <c r="C16" s="40" t="n">
        <v>0.4187165794683347</v>
      </c>
      <c r="D16" s="40" t="n">
        <v>0.3640245952694504</v>
      </c>
      <c r="E16" s="40" t="n">
        <v>0.987639290924508</v>
      </c>
      <c r="F16" s="40" t="n">
        <v>0.6015855274895383</v>
      </c>
      <c r="G16" s="40" t="inlineStr"/>
      <c r="H16" s="40" t="n">
        <v>-0.1965043477679513</v>
      </c>
      <c r="I16" s="40" t="n">
        <v>-0.1459235251006075</v>
      </c>
      <c r="J16" s="40" t="n">
        <v>0.0322445984000582</v>
      </c>
      <c r="K16" s="40" t="n">
        <v>-0.1315646006987921</v>
      </c>
      <c r="L16" s="40" t="n">
        <v>-0.04864208203806732</v>
      </c>
      <c r="M16" s="40" t="n">
        <v>-0.2133333385553262</v>
      </c>
      <c r="N16" s="40" t="n">
        <v>0.1643236464845074</v>
      </c>
      <c r="O16" s="40" t="n">
        <v>0.1649489871585995</v>
      </c>
      <c r="P16" s="40" t="n">
        <v>-0.8297583383331314</v>
      </c>
      <c r="Q16" s="40" t="n">
        <v>-0.3363225103299374</v>
      </c>
      <c r="R16" s="40" t="n">
        <v>-0.1843471775462998</v>
      </c>
      <c r="S16" s="40" t="n">
        <v>-0.2888382632239088</v>
      </c>
      <c r="T16" s="40" t="n">
        <v>-0.2993421632262822</v>
      </c>
      <c r="U16" s="40" t="n">
        <v>-3.728493141364329</v>
      </c>
      <c r="V16" s="40" t="n">
        <v>0.205608816536583</v>
      </c>
      <c r="W16" s="40" t="n">
        <v>0.4373740359154244</v>
      </c>
      <c r="X16" s="40" t="n">
        <v>0.3081521144843374</v>
      </c>
      <c r="Y16" s="40" t="inlineStr"/>
      <c r="Z16" s="40" t="n">
        <v>-0.1037383099117461</v>
      </c>
      <c r="AA16" s="40" t="n">
        <v>0.006479339198703708</v>
      </c>
      <c r="AB16" s="40" t="n">
        <v>0.01699509653188662</v>
      </c>
      <c r="AC16" s="40" t="n">
        <v>0.003905618092354326</v>
      </c>
      <c r="AD16" s="40" t="n">
        <v>0.01938941836106243</v>
      </c>
      <c r="AE16" s="40" t="n">
        <v>0.05952538029462633</v>
      </c>
      <c r="AF16" s="40" t="n">
        <v>0.02365830921073972</v>
      </c>
      <c r="AG16" s="40" t="n">
        <v>0.08312916068347466</v>
      </c>
      <c r="AH16" s="40" t="n">
        <v>-1.026667917855339</v>
      </c>
      <c r="AI16" s="40" t="n">
        <v>-0.2007048037577487</v>
      </c>
      <c r="AJ16" s="40" t="n">
        <v>-0.3052847913421972</v>
      </c>
      <c r="AK16" s="40" t="n">
        <v>-0.2914424504389497</v>
      </c>
      <c r="AL16" s="40" t="n">
        <v>-0.3383184760420274</v>
      </c>
      <c r="AM16" s="40" t="n">
        <v>-0.9146304910612579</v>
      </c>
      <c r="AN16" s="40" t="n">
        <v>0.05574472585243886</v>
      </c>
      <c r="AO16" s="40" t="n">
        <v>-0.4734572353913338</v>
      </c>
      <c r="AP16" s="40" t="n">
        <v>-0.2281193227443351</v>
      </c>
      <c r="AQ16" s="40" t="n">
        <v>-0.3818641788829365</v>
      </c>
      <c r="AR16" s="40" t="n">
        <v>-0.25918012606154</v>
      </c>
      <c r="AS16" s="40" t="n">
        <v>-0.109133483971791</v>
      </c>
      <c r="AT16" s="40" t="n">
        <v>-0.2054687277381254</v>
      </c>
      <c r="AU16" s="141" t="n">
        <v>-0.2502343241061081</v>
      </c>
      <c r="AV16" s="141" t="n">
        <v>-0.2469920655874545</v>
      </c>
      <c r="AW16" s="141" t="n">
        <v>-0.2613176465267148</v>
      </c>
      <c r="AX16" s="141" t="n">
        <v>-0.06476226148069694</v>
      </c>
      <c r="AY16" s="141" t="n">
        <v>0.0135027342747205</v>
      </c>
      <c r="AZ16" s="141" t="n">
        <v>-0.04607823538666719</v>
      </c>
      <c r="BA16" s="141" t="n">
        <v>-0.01232651391955199</v>
      </c>
      <c r="BB16" s="141" t="n">
        <v>0.5783043080990957</v>
      </c>
      <c r="BC16" s="141" t="n">
        <v>0.2239502024167621</v>
      </c>
      <c r="BD16" s="141" t="n">
        <v>0.5708165021658124</v>
      </c>
      <c r="BE16" s="141" t="n">
        <v>0.4924470040519799</v>
      </c>
      <c r="BF16" s="141" t="n">
        <v>0.5759390604719528</v>
      </c>
      <c r="BG16" s="141" t="n">
        <v>0.3075014879063327</v>
      </c>
      <c r="BH16" s="141" t="n">
        <v>0.5481785388935889</v>
      </c>
      <c r="BI16" s="141" t="n">
        <v>0.7002368878809505</v>
      </c>
      <c r="BJ16" s="141" t="n">
        <v>0.7391264860176403</v>
      </c>
      <c r="BK16" s="141" t="n">
        <v>0.9398613990639154</v>
      </c>
      <c r="BL16" s="141" t="n">
        <v>0.4727180563209812</v>
      </c>
      <c r="BM16" s="141" t="n">
        <v>0.08954878464558623</v>
      </c>
      <c r="BN16" s="141" t="n">
        <v>0.5142666325397856</v>
      </c>
      <c r="BO16" s="141" t="n">
        <v>0.2773963763753421</v>
      </c>
      <c r="BP16" s="141" t="n">
        <v>0.4832678670040395</v>
      </c>
      <c r="BQ16" s="141" t="n">
        <v>-0.1749312711860031</v>
      </c>
      <c r="BR16" s="141" t="n">
        <v>-0.114578290649804</v>
      </c>
      <c r="BS16" s="141" t="n">
        <v>0.01526507916228728</v>
      </c>
      <c r="BT16" s="141" t="n">
        <v>-0.1305596158406382</v>
      </c>
      <c r="BU16" s="141" t="n">
        <v>-0.07650496042626349</v>
      </c>
      <c r="BV16" s="40" t="n">
        <v>0.02760638613933649</v>
      </c>
      <c r="BW16" s="40" t="n">
        <v>0.5943508301989026</v>
      </c>
      <c r="BX16" s="40" t="n">
        <v>-0.8432241234104836</v>
      </c>
      <c r="BY16" s="40" t="n">
        <v>-0.2488449533579463</v>
      </c>
      <c r="BZ16" s="40" t="inlineStr"/>
      <c r="CA16" s="40" t="n">
        <v>0.5558674144736421</v>
      </c>
      <c r="CB16" s="40" t="n">
        <v>0.08590461277319952</v>
      </c>
      <c r="CC16" s="40" t="n">
        <v>0.9680473504960742</v>
      </c>
      <c r="CD16" s="40" t="n">
        <v>0.5149846023342968</v>
      </c>
      <c r="CE16" s="40" t="inlineStr"/>
    </row>
    <row r="17">
      <c r="A17" s="251" t="n">
        <v>39722</v>
      </c>
      <c r="B17" s="3" t="n">
        <v>0</v>
      </c>
      <c r="C17" s="40" t="n">
        <v>0.1006579738514185</v>
      </c>
      <c r="D17" s="40" t="n">
        <v>-0.4751133600412683</v>
      </c>
      <c r="E17" s="40" t="n">
        <v>0.7538863330861397</v>
      </c>
      <c r="F17" s="40" t="n">
        <v>0.03460447302865222</v>
      </c>
      <c r="G17" s="40" t="n">
        <v>0.3917448593935666</v>
      </c>
      <c r="H17" s="40" t="n">
        <v>-0.2010348044346613</v>
      </c>
      <c r="I17" s="40" t="n">
        <v>-0.183732821224292</v>
      </c>
      <c r="J17" s="40" t="n">
        <v>-0.04043757507611476</v>
      </c>
      <c r="K17" s="40" t="n">
        <v>-0.1444528471712615</v>
      </c>
      <c r="L17" s="40" t="n">
        <v>-0.05496494240387533</v>
      </c>
      <c r="M17" s="40" t="n">
        <v>0.05319424971509537</v>
      </c>
      <c r="N17" s="40" t="n">
        <v>0.144909292963935</v>
      </c>
      <c r="O17" s="40" t="n">
        <v>0.2751932656311442</v>
      </c>
      <c r="P17" s="40" t="n">
        <v>-0.538958809714429</v>
      </c>
      <c r="Q17" s="40" t="n">
        <v>0.06689287498274979</v>
      </c>
      <c r="R17" s="40" t="n">
        <v>0.003291913884755629</v>
      </c>
      <c r="S17" s="40" t="n">
        <v>0.003773766253176895</v>
      </c>
      <c r="T17" s="40" t="n">
        <v>-0.01145537763914896</v>
      </c>
      <c r="U17" s="40" t="n">
        <v>-3.620427223769063</v>
      </c>
      <c r="V17" s="40" t="n">
        <v>0.2435659306208973</v>
      </c>
      <c r="W17" s="40" t="n">
        <v>0.4543444317767307</v>
      </c>
      <c r="X17" s="40" t="n">
        <v>0.3603746353505451</v>
      </c>
      <c r="Y17" s="40" t="inlineStr"/>
      <c r="Z17" s="40" t="n">
        <v>0.0003487687328330507</v>
      </c>
      <c r="AA17" s="40" t="n">
        <v>0.104667687873242</v>
      </c>
      <c r="AB17" s="40" t="n">
        <v>0.04822656504819554</v>
      </c>
      <c r="AC17" s="40" t="n">
        <v>0.117928303710439</v>
      </c>
      <c r="AD17" s="40" t="n">
        <v>0.1130777076712487</v>
      </c>
      <c r="AE17" s="40" t="n">
        <v>0.2303932728860502</v>
      </c>
      <c r="AF17" s="40" t="n">
        <v>0.04321987464922054</v>
      </c>
      <c r="AG17" s="40" t="n">
        <v>0.1113975578780686</v>
      </c>
      <c r="AH17" s="40" t="n">
        <v>-1.078633455579709</v>
      </c>
      <c r="AI17" s="40" t="n">
        <v>-0.2672007927922581</v>
      </c>
      <c r="AJ17" s="40" t="n">
        <v>-0.3449673726080499</v>
      </c>
      <c r="AK17" s="40" t="n">
        <v>-0.3089816562945947</v>
      </c>
      <c r="AL17" s="40" t="n">
        <v>-0.3616412504722078</v>
      </c>
      <c r="AM17" s="40" t="n">
        <v>-0.6994262177930319</v>
      </c>
      <c r="AN17" s="40" t="n">
        <v>-0.2548908940766529</v>
      </c>
      <c r="AO17" s="40" t="n">
        <v>-0.02761272880719456</v>
      </c>
      <c r="AP17" s="40" t="n">
        <v>0.07176373671720984</v>
      </c>
      <c r="AQ17" s="40" t="n">
        <v>-0.1601110677356435</v>
      </c>
      <c r="AR17" s="40" t="n">
        <v>-0.2613419081494556</v>
      </c>
      <c r="AS17" s="40" t="n">
        <v>-0.1552427154489486</v>
      </c>
      <c r="AT17" s="40" t="n">
        <v>-0.2298621794097957</v>
      </c>
      <c r="AU17" s="141" t="n">
        <v>-0.212602577772741</v>
      </c>
      <c r="AV17" s="141" t="n">
        <v>-0.2206888379096221</v>
      </c>
      <c r="AW17" s="141" t="n">
        <v>-0.2607885014570701</v>
      </c>
      <c r="AX17" s="141" t="n">
        <v>-0.04004384375084949</v>
      </c>
      <c r="AY17" s="141" t="n">
        <v>-0.008156589975541044</v>
      </c>
      <c r="AZ17" s="141" t="n">
        <v>-0.04833481284943542</v>
      </c>
      <c r="BA17" s="141" t="n">
        <v>-0.01144351847047729</v>
      </c>
      <c r="BB17" s="141" t="n">
        <v>0.6952531647093623</v>
      </c>
      <c r="BC17" s="141" t="n">
        <v>0.5032688590707345</v>
      </c>
      <c r="BD17" s="141" t="n">
        <v>0.6404121601462313</v>
      </c>
      <c r="BE17" s="141" t="n">
        <v>0.5583964853878961</v>
      </c>
      <c r="BF17" s="141" t="n">
        <v>0.6538054198504819</v>
      </c>
      <c r="BG17" s="141" t="n">
        <v>-0.14029676215145</v>
      </c>
      <c r="BH17" s="141" t="n">
        <v>0.0492876033931904</v>
      </c>
      <c r="BI17" s="141" t="n">
        <v>0.2906295101269113</v>
      </c>
      <c r="BJ17" s="141" t="n">
        <v>0.0573364466454177</v>
      </c>
      <c r="BK17" s="141" t="n">
        <v>0.2907737936624481</v>
      </c>
      <c r="BL17" s="141" t="n">
        <v>0.5815627092505944</v>
      </c>
      <c r="BM17" s="141" t="n">
        <v>0.1797365195451611</v>
      </c>
      <c r="BN17" s="141" t="n">
        <v>0.4558256549606285</v>
      </c>
      <c r="BO17" s="141" t="n">
        <v>0.3492867072512647</v>
      </c>
      <c r="BP17" s="141" t="n">
        <v>0.5618564177334863</v>
      </c>
      <c r="BQ17" s="141" t="n">
        <v>-0.2569022061326675</v>
      </c>
      <c r="BR17" s="141" t="n">
        <v>-0.3296937963942721</v>
      </c>
      <c r="BS17" s="141" t="n">
        <v>-0.08229368061153072</v>
      </c>
      <c r="BT17" s="141" t="n">
        <v>-0.2610045468322925</v>
      </c>
      <c r="BU17" s="141" t="n">
        <v>-0.172520694185369</v>
      </c>
      <c r="BV17" s="40" t="n">
        <v>0.293610702123783</v>
      </c>
      <c r="BW17" s="40" t="n">
        <v>0.7016666408887101</v>
      </c>
      <c r="BX17" s="40" t="n">
        <v>-0.5281366122272849</v>
      </c>
      <c r="BY17" s="40" t="n">
        <v>0.2458601316780971</v>
      </c>
      <c r="BZ17" s="40" t="n">
        <v>0.4613860993345063</v>
      </c>
      <c r="CA17" s="40" t="n">
        <v>0.3782374955952998</v>
      </c>
      <c r="CB17" s="40" t="n">
        <v>-0.539671448012824</v>
      </c>
      <c r="CC17" s="40" t="n">
        <v>0.8145986938953003</v>
      </c>
      <c r="CD17" s="40" t="n">
        <v>0.07908051973430104</v>
      </c>
      <c r="CE17" s="40" t="inlineStr"/>
    </row>
    <row r="18" ht="15" customHeight="1" s="214">
      <c r="A18" s="251" t="n">
        <v>39814</v>
      </c>
      <c r="B18" s="3" t="n">
        <v>1</v>
      </c>
      <c r="C18" s="40" t="n">
        <v>0.1501157062725202</v>
      </c>
      <c r="D18" s="40" t="n">
        <v>-0.8621597754693288</v>
      </c>
      <c r="E18" s="40" t="n">
        <v>0.699659308620308</v>
      </c>
      <c r="F18" s="40" t="n">
        <v>-0.06384991777859897</v>
      </c>
      <c r="G18" s="40" t="n">
        <v>0.3474991902406884</v>
      </c>
      <c r="H18" s="40" t="n">
        <v>-0.03273244589868878</v>
      </c>
      <c r="I18" s="40" t="n">
        <v>0.009229971247192636</v>
      </c>
      <c r="J18" s="40" t="n">
        <v>0.04473053787923683</v>
      </c>
      <c r="K18" s="40" t="n">
        <v>0.09868250346088989</v>
      </c>
      <c r="L18" s="40" t="n">
        <v>0.1289063913929555</v>
      </c>
      <c r="M18" s="40" t="n">
        <v>0.4026069680399961</v>
      </c>
      <c r="N18" s="40" t="n">
        <v>0.2835023098392642</v>
      </c>
      <c r="O18" s="40" t="n">
        <v>0.4350803198487548</v>
      </c>
      <c r="P18" s="40" t="n">
        <v>0.5645215444190376</v>
      </c>
      <c r="Q18" s="40" t="n">
        <v>0.9253514372613733</v>
      </c>
      <c r="R18" s="40" t="n">
        <v>0.5481036618117653</v>
      </c>
      <c r="S18" s="40" t="n">
        <v>0.9901782068912082</v>
      </c>
      <c r="T18" s="40" t="n">
        <v>0.9419700694749241</v>
      </c>
      <c r="U18" s="40" t="n">
        <v>-3.393412542086153</v>
      </c>
      <c r="V18" s="40" t="n">
        <v>0.4661906300794777</v>
      </c>
      <c r="W18" s="40" t="n">
        <v>0.544767722969747</v>
      </c>
      <c r="X18" s="40" t="n">
        <v>0.5671395548880166</v>
      </c>
      <c r="Y18" s="40" t="n">
        <v>0.6304831477128303</v>
      </c>
      <c r="Z18" s="40" t="n">
        <v>0.1395980618718864</v>
      </c>
      <c r="AA18" s="40" t="n">
        <v>0.2908668978212795</v>
      </c>
      <c r="AB18" s="40" t="n">
        <v>0.1468449448598491</v>
      </c>
      <c r="AC18" s="40" t="n">
        <v>0.2652261264202513</v>
      </c>
      <c r="AD18" s="40" t="n">
        <v>0.2302146595706943</v>
      </c>
      <c r="AE18" s="40" t="n">
        <v>0.2651077644996228</v>
      </c>
      <c r="AF18" s="40" t="n">
        <v>0.04182588702900129</v>
      </c>
      <c r="AG18" s="40" t="n">
        <v>0.09644493415250283</v>
      </c>
      <c r="AH18" s="40" t="n">
        <v>-1.114341113450599</v>
      </c>
      <c r="AI18" s="40" t="n">
        <v>-0.2503890888021</v>
      </c>
      <c r="AJ18" s="40" t="n">
        <v>-0.3301199456714973</v>
      </c>
      <c r="AK18" s="40" t="n">
        <v>-0.295501386866586</v>
      </c>
      <c r="AL18" s="40" t="n">
        <v>-0.3588876250520517</v>
      </c>
      <c r="AM18" s="40" t="n">
        <v>-0.4029298345741861</v>
      </c>
      <c r="AN18" s="40" t="n">
        <v>0.05162913383550746</v>
      </c>
      <c r="AO18" s="40" t="n">
        <v>0.4351574677117555</v>
      </c>
      <c r="AP18" s="40" t="n">
        <v>0.3668980375290635</v>
      </c>
      <c r="AQ18" s="40" t="n">
        <v>0.1659058318356448</v>
      </c>
      <c r="AR18" s="40" t="n">
        <v>-0.02062799173198103</v>
      </c>
      <c r="AS18" s="40" t="n">
        <v>0.06897089819090917</v>
      </c>
      <c r="AT18" s="40" t="n">
        <v>0.06134697396446678</v>
      </c>
      <c r="AU18" s="141" t="n">
        <v>0.2504833727449783</v>
      </c>
      <c r="AV18" s="141" t="n">
        <v>0.1451829834802041</v>
      </c>
      <c r="AW18" s="141" t="n">
        <v>0.103012611340024</v>
      </c>
      <c r="AX18" s="141" t="n">
        <v>0.3331134926280024</v>
      </c>
      <c r="AY18" s="141" t="n">
        <v>0.1272403691258828</v>
      </c>
      <c r="AZ18" s="141" t="n">
        <v>0.2935963962974036</v>
      </c>
      <c r="BA18" s="141" t="n">
        <v>0.2639897254310536</v>
      </c>
      <c r="BB18" s="141" t="n">
        <v>0.9698139525547893</v>
      </c>
      <c r="BC18" s="141" t="n">
        <v>0.9925858936434702</v>
      </c>
      <c r="BD18" s="141" t="n">
        <v>0.6868762408412409</v>
      </c>
      <c r="BE18" s="141" t="n">
        <v>0.8535252394687912</v>
      </c>
      <c r="BF18" s="141" t="n">
        <v>0.917081486244348</v>
      </c>
      <c r="BG18" s="141" t="n">
        <v>-0.482197639202971</v>
      </c>
      <c r="BH18" s="141" t="n">
        <v>-0.4262415117686891</v>
      </c>
      <c r="BI18" s="141" t="n">
        <v>0.06534560920044706</v>
      </c>
      <c r="BJ18" s="141" t="n">
        <v>-0.4178834456410702</v>
      </c>
      <c r="BK18" s="141" t="n">
        <v>-0.185974300167469</v>
      </c>
      <c r="BL18" s="141" t="n">
        <v>0.8660678158181314</v>
      </c>
      <c r="BM18" s="141" t="n">
        <v>0.6170635018295844</v>
      </c>
      <c r="BN18" s="141" t="n">
        <v>0.5868905165690667</v>
      </c>
      <c r="BO18" s="141" t="n">
        <v>0.6994311429199149</v>
      </c>
      <c r="BP18" s="141" t="n">
        <v>0.8496307642679313</v>
      </c>
      <c r="BQ18" s="141" t="n">
        <v>-0.2209797965460252</v>
      </c>
      <c r="BR18" s="141" t="n">
        <v>-0.375356961383225</v>
      </c>
      <c r="BS18" s="141" t="n">
        <v>-0.08044158287805921</v>
      </c>
      <c r="BT18" s="141" t="n">
        <v>-0.1883240435323361</v>
      </c>
      <c r="BU18" s="141" t="n">
        <v>-0.1163350435038804</v>
      </c>
      <c r="BV18" s="40" t="n">
        <v>0.7463714794894161</v>
      </c>
      <c r="BW18" s="40" t="n">
        <v>1.009481034507981</v>
      </c>
      <c r="BX18" s="40" t="n">
        <v>0.08740911187657552</v>
      </c>
      <c r="BY18" s="40" t="n">
        <v>0.9376113786204925</v>
      </c>
      <c r="BZ18" s="40" t="n">
        <v>0.8820817397586227</v>
      </c>
      <c r="CA18" s="40" t="n">
        <v>0.3711282995031294</v>
      </c>
      <c r="CB18" s="40" t="n">
        <v>-0.6792706656662062</v>
      </c>
      <c r="CC18" s="40" t="n">
        <v>0.6423815613775006</v>
      </c>
      <c r="CD18" s="40" t="n">
        <v>-0.09872650209513932</v>
      </c>
      <c r="CE18" s="40" t="inlineStr"/>
    </row>
    <row r="19">
      <c r="A19" s="251" t="n">
        <v>39904</v>
      </c>
      <c r="B19" s="3" t="n">
        <v>0</v>
      </c>
      <c r="C19" s="40" t="n">
        <v>0.2542311409538928</v>
      </c>
      <c r="D19" s="40" t="n">
        <v>-0.4999273268996774</v>
      </c>
      <c r="E19" s="40" t="n">
        <v>0.4496587301786453</v>
      </c>
      <c r="F19" s="40" t="n">
        <v>-0.0886216403499807</v>
      </c>
      <c r="G19" s="40" t="n">
        <v>0.3537337298205379</v>
      </c>
      <c r="H19" s="40" t="n">
        <v>0.09736985868170256</v>
      </c>
      <c r="I19" s="40" t="n">
        <v>0.2499381860518624</v>
      </c>
      <c r="J19" s="40" t="n">
        <v>0.1403547314238667</v>
      </c>
      <c r="K19" s="40" t="n">
        <v>0.2711611678070258</v>
      </c>
      <c r="L19" s="40" t="n">
        <v>0.251742174496006</v>
      </c>
      <c r="M19" s="40" t="n">
        <v>0.5313498378526149</v>
      </c>
      <c r="N19" s="40" t="n">
        <v>0.207126219524078</v>
      </c>
      <c r="O19" s="40" t="n">
        <v>0.3879942723187852</v>
      </c>
      <c r="P19" s="40" t="n">
        <v>1.434323705912476</v>
      </c>
      <c r="Q19" s="40" t="n">
        <v>1.553401207932747</v>
      </c>
      <c r="R19" s="40" t="n">
        <v>1.045182658409823</v>
      </c>
      <c r="S19" s="40" t="n">
        <v>1.671488160445494</v>
      </c>
      <c r="T19" s="40" t="n">
        <v>1.62084203940153</v>
      </c>
      <c r="U19" s="40" t="n">
        <v>-3.168750471719065</v>
      </c>
      <c r="V19" s="40" t="n">
        <v>0.7327010230425149</v>
      </c>
      <c r="W19" s="40" t="n">
        <v>0.6369777323439366</v>
      </c>
      <c r="X19" s="40" t="n">
        <v>0.7518810601890901</v>
      </c>
      <c r="Y19" s="40" t="n">
        <v>0.7780328813086814</v>
      </c>
      <c r="Z19" s="40" t="n">
        <v>0.2320630496831828</v>
      </c>
      <c r="AA19" s="40" t="n">
        <v>0.3984673942518168</v>
      </c>
      <c r="AB19" s="40" t="n">
        <v>0.233623134020629</v>
      </c>
      <c r="AC19" s="40" t="n">
        <v>0.3394162051758284</v>
      </c>
      <c r="AD19" s="40" t="n">
        <v>0.2920047710141087</v>
      </c>
      <c r="AE19" s="40" t="n">
        <v>0.2224238031640859</v>
      </c>
      <c r="AF19" s="40" t="n">
        <v>0.06280566366831175</v>
      </c>
      <c r="AG19" s="40" t="n">
        <v>0.0944746490870868</v>
      </c>
      <c r="AH19" s="40" t="n">
        <v>-1.158338253671232</v>
      </c>
      <c r="AI19" s="40" t="n">
        <v>-0.2401232113985965</v>
      </c>
      <c r="AJ19" s="40" t="n">
        <v>-0.3288063928636899</v>
      </c>
      <c r="AK19" s="40" t="n">
        <v>-0.296820037177139</v>
      </c>
      <c r="AL19" s="40" t="n">
        <v>-0.3649974569433624</v>
      </c>
      <c r="AM19" s="40" t="n">
        <v>0.06042124330145247</v>
      </c>
      <c r="AN19" s="40" t="n">
        <v>0.6073460985139064</v>
      </c>
      <c r="AO19" s="40" t="n">
        <v>0.6821117774930261</v>
      </c>
      <c r="AP19" s="40" t="n">
        <v>0.7377496446332299</v>
      </c>
      <c r="AQ19" s="40" t="n">
        <v>0.6281987976815503</v>
      </c>
      <c r="AR19" s="40" t="n">
        <v>-0.02226357426002603</v>
      </c>
      <c r="AS19" s="40" t="n">
        <v>0.2110571474665</v>
      </c>
      <c r="AT19" s="40" t="n">
        <v>0.138513269542651</v>
      </c>
      <c r="AU19" s="141" t="n">
        <v>0.2352980037427273</v>
      </c>
      <c r="AV19" s="141" t="n">
        <v>0.1449170092481508</v>
      </c>
      <c r="AW19" s="141" t="n">
        <v>0.1717309956322284</v>
      </c>
      <c r="AX19" s="141" t="n">
        <v>0.3566688978339517</v>
      </c>
      <c r="AY19" s="141" t="n">
        <v>0.1723767891446765</v>
      </c>
      <c r="AZ19" s="141" t="n">
        <v>0.3319416437920966</v>
      </c>
      <c r="BA19" s="141" t="n">
        <v>0.2885972045407781</v>
      </c>
      <c r="BB19" s="141" t="n">
        <v>1.040328067810236</v>
      </c>
      <c r="BC19" s="141" t="n">
        <v>0.8927291672475484</v>
      </c>
      <c r="BD19" s="141" t="n">
        <v>0.6352208016989116</v>
      </c>
      <c r="BE19" s="141" t="n">
        <v>0.8245721314152807</v>
      </c>
      <c r="BF19" s="141" t="n">
        <v>0.8885000494043412</v>
      </c>
      <c r="BG19" s="141" t="n">
        <v>-0.3840741725081959</v>
      </c>
      <c r="BH19" s="141" t="n">
        <v>-0.5385458717352218</v>
      </c>
      <c r="BI19" s="141" t="n">
        <v>0.03047705988233315</v>
      </c>
      <c r="BJ19" s="141" t="n">
        <v>-0.3091367415103767</v>
      </c>
      <c r="BK19" s="141" t="n">
        <v>-0.1126808836188232</v>
      </c>
      <c r="BL19" s="141" t="n">
        <v>1.047336872874685</v>
      </c>
      <c r="BM19" s="141" t="n">
        <v>0.8167967584920623</v>
      </c>
      <c r="BN19" s="141" t="n">
        <v>0.7348309267335292</v>
      </c>
      <c r="BO19" s="141" t="n">
        <v>0.8683828659911009</v>
      </c>
      <c r="BP19" s="141" t="n">
        <v>0.9814199760631256</v>
      </c>
      <c r="BQ19" s="141" t="n">
        <v>-0.1292441925621213</v>
      </c>
      <c r="BR19" s="141" t="n">
        <v>-0.1302993785867043</v>
      </c>
      <c r="BS19" s="141" t="n">
        <v>-0.03647996169254608</v>
      </c>
      <c r="BT19" s="141" t="n">
        <v>-0.02933794842998667</v>
      </c>
      <c r="BU19" s="141" t="n">
        <v>0.002820410629033916</v>
      </c>
      <c r="BV19" s="40" t="n">
        <v>0.8885902775561023</v>
      </c>
      <c r="BW19" s="40" t="n">
        <v>1.133628394445955</v>
      </c>
      <c r="BX19" s="40" t="n">
        <v>0.248748127149068</v>
      </c>
      <c r="BY19" s="40" t="n">
        <v>1.112936287155511</v>
      </c>
      <c r="BZ19" s="40" t="n">
        <v>0.8945530921582786</v>
      </c>
      <c r="CA19" s="40" t="n">
        <v>0.2618815095003595</v>
      </c>
      <c r="CB19" s="40" t="n">
        <v>-0.6130919749182462</v>
      </c>
      <c r="CC19" s="40" t="n">
        <v>0.1758833119809924</v>
      </c>
      <c r="CD19" s="40" t="n">
        <v>-0.3765344501794998</v>
      </c>
      <c r="CE19" s="40" t="n">
        <v>0.1115146237003137</v>
      </c>
    </row>
    <row r="20">
      <c r="A20" s="251" t="n">
        <v>39995</v>
      </c>
      <c r="B20" s="3" t="n">
        <v>0</v>
      </c>
      <c r="C20" s="40" t="n">
        <v>0.4617028392160716</v>
      </c>
      <c r="D20" s="40" t="n">
        <v>0.04359079539538496</v>
      </c>
      <c r="E20" s="40" t="n">
        <v>0.2795189893507596</v>
      </c>
      <c r="F20" s="40" t="n">
        <v>0.05626340763722556</v>
      </c>
      <c r="G20" s="40" t="n">
        <v>0.4422908949057324</v>
      </c>
      <c r="H20" s="40" t="n">
        <v>0.1867592509567328</v>
      </c>
      <c r="I20" s="40" t="n">
        <v>0.4974510781335279</v>
      </c>
      <c r="J20" s="40" t="n">
        <v>0.2320783592574588</v>
      </c>
      <c r="K20" s="40" t="n">
        <v>0.3673470466108842</v>
      </c>
      <c r="L20" s="40" t="n">
        <v>0.3167705997967208</v>
      </c>
      <c r="M20" s="40" t="n">
        <v>0.4941360946154518</v>
      </c>
      <c r="N20" s="40" t="n">
        <v>0.1634839220689867</v>
      </c>
      <c r="O20" s="40" t="n">
        <v>0.3076011268858511</v>
      </c>
      <c r="P20" s="40" t="n">
        <v>1.070824295139099</v>
      </c>
      <c r="Q20" s="40" t="n">
        <v>1.360155124649248</v>
      </c>
      <c r="R20" s="40" t="n">
        <v>0.9069222752500981</v>
      </c>
      <c r="S20" s="40" t="n">
        <v>1.16202971626664</v>
      </c>
      <c r="T20" s="40" t="n">
        <v>1.177087000691552</v>
      </c>
      <c r="U20" s="40" t="n">
        <v>-2.964094368492487</v>
      </c>
      <c r="V20" s="40" t="n">
        <v>1.005897684671949</v>
      </c>
      <c r="W20" s="40" t="n">
        <v>0.7318771844587677</v>
      </c>
      <c r="X20" s="40" t="n">
        <v>0.8907635670138006</v>
      </c>
      <c r="Y20" s="40" t="n">
        <v>0.8912125510810487</v>
      </c>
      <c r="Z20" s="40" t="n">
        <v>0.2562245705495004</v>
      </c>
      <c r="AA20" s="40" t="n">
        <v>0.3870265320815641</v>
      </c>
      <c r="AB20" s="40" t="n">
        <v>0.2510979154003157</v>
      </c>
      <c r="AC20" s="40" t="n">
        <v>0.3186380946768402</v>
      </c>
      <c r="AD20" s="40" t="n">
        <v>0.2829257817091158</v>
      </c>
      <c r="AE20" s="40" t="n">
        <v>0.0213093137333331</v>
      </c>
      <c r="AF20" s="40" t="n">
        <v>0.0513995565567409</v>
      </c>
      <c r="AG20" s="40" t="n">
        <v>0.02801385551035558</v>
      </c>
      <c r="AH20" s="40" t="n">
        <v>-1.167067879639504</v>
      </c>
      <c r="AI20" s="40" t="n">
        <v>-0.1709889466485719</v>
      </c>
      <c r="AJ20" s="40" t="n">
        <v>-0.2923017474352296</v>
      </c>
      <c r="AK20" s="40" t="n">
        <v>-0.24735463434325</v>
      </c>
      <c r="AL20" s="40" t="n">
        <v>-0.3246583315068979</v>
      </c>
      <c r="AM20" s="40" t="n">
        <v>0.1621844226179172</v>
      </c>
      <c r="AN20" s="40" t="n">
        <v>0.8463826581079197</v>
      </c>
      <c r="AO20" s="40" t="n">
        <v>0.7424841904335935</v>
      </c>
      <c r="AP20" s="40" t="n">
        <v>0.7083778164592859</v>
      </c>
      <c r="AQ20" s="40" t="n">
        <v>0.7200546682785824</v>
      </c>
      <c r="AR20" s="40" t="n">
        <v>0.06011215170672143</v>
      </c>
      <c r="AS20" s="40" t="n">
        <v>0.5235170676890798</v>
      </c>
      <c r="AT20" s="40" t="n">
        <v>0.2716466656378186</v>
      </c>
      <c r="AU20" s="141" t="n">
        <v>0.3500403566298987</v>
      </c>
      <c r="AV20" s="141" t="n">
        <v>0.257939256250917</v>
      </c>
      <c r="AW20" s="141" t="n">
        <v>0.2888263979280692</v>
      </c>
      <c r="AX20" s="141" t="n">
        <v>0.4802089475974489</v>
      </c>
      <c r="AY20" s="141" t="n">
        <v>0.2730756058691832</v>
      </c>
      <c r="AZ20" s="141" t="n">
        <v>0.4063371121922017</v>
      </c>
      <c r="BA20" s="141" t="n">
        <v>0.3467244799058419</v>
      </c>
      <c r="BB20" s="141" t="n">
        <v>1.218691240791487</v>
      </c>
      <c r="BC20" s="141" t="n">
        <v>0.8992572052678964</v>
      </c>
      <c r="BD20" s="141" t="n">
        <v>0.7691982707255833</v>
      </c>
      <c r="BE20" s="141" t="n">
        <v>0.9723461128887186</v>
      </c>
      <c r="BF20" s="141" t="n">
        <v>0.9999884044973498</v>
      </c>
      <c r="BG20" s="141" t="n">
        <v>-0.2553043719845252</v>
      </c>
      <c r="BH20" s="141" t="n">
        <v>-0.5591901179917289</v>
      </c>
      <c r="BI20" s="141" t="n">
        <v>-0.009185952179759463</v>
      </c>
      <c r="BJ20" s="141" t="n">
        <v>-0.1561552676650059</v>
      </c>
      <c r="BK20" s="141" t="n">
        <v>-0.00248583270216719</v>
      </c>
      <c r="BL20" s="141" t="n">
        <v>0.9937225591772036</v>
      </c>
      <c r="BM20" s="141" t="n">
        <v>0.6282091474802782</v>
      </c>
      <c r="BN20" s="141" t="n">
        <v>0.6206924802056</v>
      </c>
      <c r="BO20" s="141" t="n">
        <v>0.6525229763664531</v>
      </c>
      <c r="BP20" s="141" t="n">
        <v>0.7779251627285385</v>
      </c>
      <c r="BQ20" s="141" t="n">
        <v>0.0240278523875402</v>
      </c>
      <c r="BR20" s="141" t="n">
        <v>0.2940596740309818</v>
      </c>
      <c r="BS20" s="141" t="n">
        <v>0.1148832455475264</v>
      </c>
      <c r="BT20" s="141" t="n">
        <v>0.2162011836580329</v>
      </c>
      <c r="BU20" s="141" t="n">
        <v>0.185600384173814</v>
      </c>
      <c r="BV20" s="40" t="n">
        <v>0.7229805889000801</v>
      </c>
      <c r="BW20" s="40" t="n">
        <v>0.7408836875475646</v>
      </c>
      <c r="BX20" s="40" t="n">
        <v>1.261977152113136</v>
      </c>
      <c r="BY20" s="40" t="n">
        <v>0.8507035234708648</v>
      </c>
      <c r="BZ20" s="40" t="n">
        <v>0.5275794413521848</v>
      </c>
      <c r="CA20" s="40" t="n">
        <v>0.1195630926756283</v>
      </c>
      <c r="CB20" s="40" t="n">
        <v>-0.5258177465857798</v>
      </c>
      <c r="CC20" s="40" t="n">
        <v>-0.2930727324821362</v>
      </c>
      <c r="CD20" s="40" t="n">
        <v>-0.6018275445242666</v>
      </c>
      <c r="CE20" s="40" t="n">
        <v>-0.1422679386625094</v>
      </c>
      <c r="CG20" s="3" t="n"/>
    </row>
    <row r="21" customFormat="1" s="179">
      <c r="A21" s="251" t="n">
        <v>40087</v>
      </c>
      <c r="B21" s="77" t="n">
        <v>0</v>
      </c>
      <c r="C21" s="78" t="n">
        <v>0.8206706616748271</v>
      </c>
      <c r="D21" s="78" t="n">
        <v>0.7301385591856177</v>
      </c>
      <c r="E21" s="78" t="n">
        <v>0.1748814876875414</v>
      </c>
      <c r="F21" s="78" t="n">
        <v>0.4094560923403537</v>
      </c>
      <c r="G21" s="78" t="n">
        <v>0.6721227029542876</v>
      </c>
      <c r="H21" s="78" t="n">
        <v>0.2495258788664331</v>
      </c>
      <c r="I21" s="78" t="n">
        <v>0.5847982913548561</v>
      </c>
      <c r="J21" s="78" t="n">
        <v>0.2647832736286418</v>
      </c>
      <c r="K21" s="78" t="n">
        <v>0.4077001373715452</v>
      </c>
      <c r="L21" s="78" t="n">
        <v>0.3478044130308002</v>
      </c>
      <c r="M21" s="78" t="n">
        <v>0.396068031116511</v>
      </c>
      <c r="N21" s="78" t="n">
        <v>0.2615613918414783</v>
      </c>
      <c r="O21" s="78" t="n">
        <v>0.2555348927642281</v>
      </c>
      <c r="P21" s="78" t="n">
        <v>0.3775789903070151</v>
      </c>
      <c r="Q21" s="78" t="n">
        <v>0.6559218019141861</v>
      </c>
      <c r="R21" s="78" t="n">
        <v>0.640277250584915</v>
      </c>
      <c r="S21" s="78" t="n">
        <v>0.3820212607061946</v>
      </c>
      <c r="T21" s="78" t="n">
        <v>0.4589662778701586</v>
      </c>
      <c r="U21" s="78" t="n">
        <v>-2.813938617719394</v>
      </c>
      <c r="V21" s="78" t="n">
        <v>1.061285091408281</v>
      </c>
      <c r="W21" s="78" t="n">
        <v>0.7882670800265739</v>
      </c>
      <c r="X21" s="78" t="n">
        <v>0.9373802664844461</v>
      </c>
      <c r="Y21" s="78" t="n">
        <v>0.9345329596462216</v>
      </c>
      <c r="Z21" s="78" t="n">
        <v>0.3050226590924927</v>
      </c>
      <c r="AA21" s="78" t="n">
        <v>0.3275806634578607</v>
      </c>
      <c r="AB21" s="78" t="n">
        <v>0.2758196710034849</v>
      </c>
      <c r="AC21" s="78" t="n">
        <v>0.3220810470385073</v>
      </c>
      <c r="AD21" s="78" t="n">
        <v>0.2984343992129316</v>
      </c>
      <c r="AE21" s="78" t="n">
        <v>-0.06032602552141628</v>
      </c>
      <c r="AF21" s="78" t="n">
        <v>0.1081389767658951</v>
      </c>
      <c r="AG21" s="78" t="n">
        <v>0.003659807050258482</v>
      </c>
      <c r="AH21" s="78" t="n">
        <v>-1.251612927483482</v>
      </c>
      <c r="AI21" s="78" t="n">
        <v>-0.2106665651242954</v>
      </c>
      <c r="AJ21" s="78" t="n">
        <v>-0.3757971814392111</v>
      </c>
      <c r="AK21" s="78" t="n">
        <v>-0.3144883521307927</v>
      </c>
      <c r="AL21" s="78" t="n">
        <v>-0.384269360352466</v>
      </c>
      <c r="AM21" s="78" t="n">
        <v>-0.3149391733714944</v>
      </c>
      <c r="AN21" s="78" t="n">
        <v>0.3022090078170248</v>
      </c>
      <c r="AO21" s="78" t="n">
        <v>0.03894455705260855</v>
      </c>
      <c r="AP21" s="78" t="n">
        <v>0.1015579134474451</v>
      </c>
      <c r="AQ21" s="78" t="n">
        <v>0.25273658842313</v>
      </c>
      <c r="AR21" s="78" t="n">
        <v>0.1720107448835772</v>
      </c>
      <c r="AS21" s="78" t="n">
        <v>0.710532405534074</v>
      </c>
      <c r="AT21" s="78" t="n">
        <v>0.3640168160657485</v>
      </c>
      <c r="AU21" s="142" t="n">
        <v>0.4890930505961989</v>
      </c>
      <c r="AV21" s="142" t="n">
        <v>0.4002182822136715</v>
      </c>
      <c r="AW21" s="142" t="n">
        <v>0.3441950533447893</v>
      </c>
      <c r="AX21" s="142" t="n">
        <v>0.5280771810464303</v>
      </c>
      <c r="AY21" s="142" t="n">
        <v>0.3207872483279302</v>
      </c>
      <c r="AZ21" s="142" t="n">
        <v>0.4024788265261974</v>
      </c>
      <c r="BA21" s="142" t="n">
        <v>0.3525406440770213</v>
      </c>
      <c r="BB21" s="142" t="n">
        <v>1.1882104493673</v>
      </c>
      <c r="BC21" s="142" t="n">
        <v>0.6922305367072252</v>
      </c>
      <c r="BD21" s="142" t="n">
        <v>0.8187054871561692</v>
      </c>
      <c r="BE21" s="142" t="n">
        <v>0.771090102546776</v>
      </c>
      <c r="BF21" s="142" t="n">
        <v>0.8273820680274628</v>
      </c>
      <c r="BG21" s="142" t="n">
        <v>-0.1867723480900504</v>
      </c>
      <c r="BH21" s="142" t="n">
        <v>-0.04617700389576709</v>
      </c>
      <c r="BI21" s="142" t="n">
        <v>0.00259488834244862</v>
      </c>
      <c r="BJ21" s="142" t="n">
        <v>-0.07001722847518217</v>
      </c>
      <c r="BK21" s="142" t="n">
        <v>0.05110331821143105</v>
      </c>
      <c r="BL21" s="142" t="n">
        <v>1.009645239297098</v>
      </c>
      <c r="BM21" s="142" t="n">
        <v>0.5161670576308388</v>
      </c>
      <c r="BN21" s="142" t="n">
        <v>0.6017935824435811</v>
      </c>
      <c r="BO21" s="142" t="n">
        <v>0.5634313410620191</v>
      </c>
      <c r="BP21" s="142" t="n">
        <v>0.6813732313833278</v>
      </c>
      <c r="BQ21" s="142" t="n">
        <v>0.2320348819347743</v>
      </c>
      <c r="BR21" s="142" t="n">
        <v>0.7226443208854594</v>
      </c>
      <c r="BS21" s="142" t="n">
        <v>0.2515215268720986</v>
      </c>
      <c r="BT21" s="142" t="n">
        <v>0.5156892018130593</v>
      </c>
      <c r="BU21" s="142" t="n">
        <v>0.4211432768745735</v>
      </c>
      <c r="BV21" s="78" t="n">
        <v>0.4052455964183163</v>
      </c>
      <c r="BW21" s="78" t="n">
        <v>0.1189409555539318</v>
      </c>
      <c r="BX21" s="78" t="n">
        <v>0.775585130400087</v>
      </c>
      <c r="BY21" s="78" t="n">
        <v>0.2175847709690462</v>
      </c>
      <c r="BZ21" s="78" t="n">
        <v>0.1407975772747219</v>
      </c>
      <c r="CA21" s="78" t="n">
        <v>-0.04472591601605166</v>
      </c>
      <c r="CB21" s="78" t="n">
        <v>-0.5097397776515148</v>
      </c>
      <c r="CC21" s="78" t="n">
        <v>-0.6991239673555757</v>
      </c>
      <c r="CD21" s="78" t="n">
        <v>-0.759360211562177</v>
      </c>
      <c r="CE21" s="78" t="n">
        <v>-0.4064517084861075</v>
      </c>
      <c r="CG21" s="77" t="n"/>
    </row>
    <row r="22">
      <c r="A22" s="251" t="n">
        <v>40179</v>
      </c>
      <c r="B22" s="3" t="n">
        <v>0</v>
      </c>
      <c r="C22" s="40" t="n">
        <v>1.091260452942104</v>
      </c>
      <c r="D22" s="40" t="n">
        <v>0.9543805004266513</v>
      </c>
      <c r="E22" s="40" t="n">
        <v>0.06323962349709433</v>
      </c>
      <c r="F22" s="40" t="n">
        <v>0.6830589103424535</v>
      </c>
      <c r="G22" s="40" t="n">
        <v>0.7887162347889362</v>
      </c>
      <c r="H22" s="40" t="n">
        <v>0.2690548994723098</v>
      </c>
      <c r="I22" s="40" t="n">
        <v>0.3917002314370582</v>
      </c>
      <c r="J22" s="40" t="n">
        <v>0.2646939701110926</v>
      </c>
      <c r="K22" s="40" t="n">
        <v>0.3810470843838251</v>
      </c>
      <c r="L22" s="40" t="n">
        <v>0.3320196223049515</v>
      </c>
      <c r="M22" s="40" t="n">
        <v>0.278788988924333</v>
      </c>
      <c r="N22" s="40" t="n">
        <v>0.3967100789517413</v>
      </c>
      <c r="O22" s="40" t="n">
        <v>0.3033840631466658</v>
      </c>
      <c r="P22" s="40" t="n">
        <v>0.2062149823709945</v>
      </c>
      <c r="Q22" s="40" t="n">
        <v>-0.2564226874338743</v>
      </c>
      <c r="R22" s="40" t="n">
        <v>0.5925444992559629</v>
      </c>
      <c r="S22" s="40" t="n">
        <v>0.1158255950013466</v>
      </c>
      <c r="T22" s="40" t="n">
        <v>0.243567619638951</v>
      </c>
      <c r="U22" s="40" t="n">
        <v>-2.702044589671011</v>
      </c>
      <c r="V22" s="40" t="n">
        <v>0.9097940070965755</v>
      </c>
      <c r="W22" s="40" t="n">
        <v>0.8312392555139818</v>
      </c>
      <c r="X22" s="40" t="n">
        <v>0.921360846295298</v>
      </c>
      <c r="Y22" s="40" t="n">
        <v>0.9313956296240795</v>
      </c>
      <c r="Z22" s="40" t="n">
        <v>0.3983082767599034</v>
      </c>
      <c r="AA22" s="40" t="n">
        <v>0.2781612291630864</v>
      </c>
      <c r="AB22" s="40" t="n">
        <v>0.3630994780968726</v>
      </c>
      <c r="AC22" s="40" t="n">
        <v>0.3706668880101865</v>
      </c>
      <c r="AD22" s="40" t="n">
        <v>0.3559199061469737</v>
      </c>
      <c r="AE22" s="40" t="n">
        <v>0.03667253203425459</v>
      </c>
      <c r="AF22" s="40" t="n">
        <v>0.1918900492657019</v>
      </c>
      <c r="AG22" s="40" t="n">
        <v>0.0490471327214135</v>
      </c>
      <c r="AH22" s="40" t="n">
        <v>-1.282486512843044</v>
      </c>
      <c r="AI22" s="40" t="n">
        <v>-0.204779291678983</v>
      </c>
      <c r="AJ22" s="40" t="n">
        <v>-0.357946596751877</v>
      </c>
      <c r="AK22" s="40" t="n">
        <v>-0.2881907696880484</v>
      </c>
      <c r="AL22" s="40" t="n">
        <v>-0.3668078388413892</v>
      </c>
      <c r="AM22" s="40" t="n">
        <v>0.01836962045278596</v>
      </c>
      <c r="AN22" s="40" t="n">
        <v>0.3311437723190614</v>
      </c>
      <c r="AO22" s="40" t="n">
        <v>0.3150362536368561</v>
      </c>
      <c r="AP22" s="40" t="n">
        <v>0.420112559215464</v>
      </c>
      <c r="AQ22" s="40" t="n">
        <v>0.5343320128506445</v>
      </c>
      <c r="AR22" s="40" t="n">
        <v>0.1623798317619254</v>
      </c>
      <c r="AS22" s="40" t="n">
        <v>0.3000627506225713</v>
      </c>
      <c r="AT22" s="40" t="n">
        <v>0.2419177886079883</v>
      </c>
      <c r="AU22" s="141" t="n">
        <v>0.3991155474504586</v>
      </c>
      <c r="AV22" s="141" t="n">
        <v>0.3609700572785269</v>
      </c>
      <c r="AW22" s="141" t="n">
        <v>0.4734962620903441</v>
      </c>
      <c r="AX22" s="141" t="n">
        <v>0.3233872398004197</v>
      </c>
      <c r="AY22" s="141" t="n">
        <v>0.4315218805502106</v>
      </c>
      <c r="AZ22" s="141" t="n">
        <v>0.4580485094460697</v>
      </c>
      <c r="BA22" s="141" t="n">
        <v>0.4141243132909688</v>
      </c>
      <c r="BB22" s="141" t="n">
        <v>1.264384618023868</v>
      </c>
      <c r="BC22" s="141" t="n">
        <v>0.4136480303711481</v>
      </c>
      <c r="BD22" s="141" t="n">
        <v>0.9630213397696681</v>
      </c>
      <c r="BE22" s="141" t="n">
        <v>0.7244345018538795</v>
      </c>
      <c r="BF22" s="141" t="n">
        <v>0.800967335174077</v>
      </c>
      <c r="BG22" s="141" t="n">
        <v>-0.1938169520384594</v>
      </c>
      <c r="BH22" s="141" t="n">
        <v>0.2865279876675971</v>
      </c>
      <c r="BI22" s="141" t="n">
        <v>-0.1165502004589956</v>
      </c>
      <c r="BJ22" s="141" t="n">
        <v>-0.07917829302727999</v>
      </c>
      <c r="BK22" s="141" t="n">
        <v>0.01255454436342363</v>
      </c>
      <c r="BL22" s="141" t="n">
        <v>0.842865629305213</v>
      </c>
      <c r="BM22" s="141" t="n">
        <v>-0.02797639123856344</v>
      </c>
      <c r="BN22" s="141" t="n">
        <v>0.5094223600524045</v>
      </c>
      <c r="BO22" s="141" t="n">
        <v>0.1994820998426397</v>
      </c>
      <c r="BP22" s="141" t="n">
        <v>0.3451287079803462</v>
      </c>
      <c r="BQ22" s="141" t="n">
        <v>0.2517007930524698</v>
      </c>
      <c r="BR22" s="141" t="n">
        <v>0.6986173722600217</v>
      </c>
      <c r="BS22" s="141" t="n">
        <v>0.2069139676714119</v>
      </c>
      <c r="BT22" s="141" t="n">
        <v>0.4946168219243773</v>
      </c>
      <c r="BU22" s="141" t="n">
        <v>0.4040058249993815</v>
      </c>
      <c r="BV22" s="40" t="n">
        <v>-0.1714480846764271</v>
      </c>
      <c r="BW22" s="40" t="n">
        <v>-0.9778872159806801</v>
      </c>
      <c r="BX22" s="40" t="n">
        <v>0.02986043020873494</v>
      </c>
      <c r="BY22" s="40" t="n">
        <v>-0.6805619420699346</v>
      </c>
      <c r="BZ22" s="40" t="n">
        <v>-0.5448737783992437</v>
      </c>
      <c r="CA22" s="40" t="n">
        <v>-0.2544166289442344</v>
      </c>
      <c r="CB22" s="40" t="n">
        <v>-0.7538834896451697</v>
      </c>
      <c r="CC22" s="40" t="n">
        <v>-0.9547757774928733</v>
      </c>
      <c r="CD22" s="40" t="n">
        <v>-0.8932410172773413</v>
      </c>
      <c r="CE22" s="40" t="n">
        <v>-0.7060132831686369</v>
      </c>
      <c r="CG22" s="3" t="n">
        <v>-1</v>
      </c>
    </row>
    <row r="23">
      <c r="A23" s="251" t="n">
        <v>40269</v>
      </c>
      <c r="B23" s="3" t="n">
        <v>0</v>
      </c>
      <c r="C23" s="40" t="n">
        <v>1.510155521899343</v>
      </c>
      <c r="D23" s="40" t="n">
        <v>1.273587026253216</v>
      </c>
      <c r="E23" s="40" t="n">
        <v>0.5305309422001898</v>
      </c>
      <c r="F23" s="40" t="n">
        <v>1.149288835414518</v>
      </c>
      <c r="G23" s="40" t="n">
        <v>1.037544650209861</v>
      </c>
      <c r="H23" s="40" t="n">
        <v>0.1971240047593986</v>
      </c>
      <c r="I23" s="40" t="n">
        <v>0.1294743557169532</v>
      </c>
      <c r="J23" s="40" t="n">
        <v>0.2504880184090793</v>
      </c>
      <c r="K23" s="40" t="n">
        <v>0.2267601766091039</v>
      </c>
      <c r="L23" s="40" t="n">
        <v>0.2183501969103049</v>
      </c>
      <c r="M23" s="40" t="n">
        <v>0.046307486507358</v>
      </c>
      <c r="N23" s="40" t="n">
        <v>0.3363132410923493</v>
      </c>
      <c r="O23" s="40" t="n">
        <v>0.159299960231507</v>
      </c>
      <c r="P23" s="40" t="n">
        <v>0.01927242825897134</v>
      </c>
      <c r="Q23" s="40" t="n">
        <v>-1.012683801822186</v>
      </c>
      <c r="R23" s="40" t="n">
        <v>0.478973470231903</v>
      </c>
      <c r="S23" s="40" t="n">
        <v>-0.155885575227376</v>
      </c>
      <c r="T23" s="40" t="n">
        <v>0.04469475210028521</v>
      </c>
      <c r="U23" s="40" t="n">
        <v>-2.716431905660615</v>
      </c>
      <c r="V23" s="40" t="n">
        <v>0.595220995218177</v>
      </c>
      <c r="W23" s="40" t="n">
        <v>0.802204385148532</v>
      </c>
      <c r="X23" s="40" t="n">
        <v>0.7285268513935585</v>
      </c>
      <c r="Y23" s="40" t="n">
        <v>0.7936619960547935</v>
      </c>
      <c r="Z23" s="40" t="n">
        <v>0.4901872572740676</v>
      </c>
      <c r="AA23" s="40" t="n">
        <v>0.2775311631638008</v>
      </c>
      <c r="AB23" s="40" t="n">
        <v>0.4313578042137685</v>
      </c>
      <c r="AC23" s="40" t="n">
        <v>0.3997106724830665</v>
      </c>
      <c r="AD23" s="40" t="n">
        <v>0.4045518116986515</v>
      </c>
      <c r="AE23" s="40" t="n">
        <v>0.118870610486225</v>
      </c>
      <c r="AF23" s="40" t="n">
        <v>0.2170154996918928</v>
      </c>
      <c r="AG23" s="40" t="n">
        <v>0.1041940677854948</v>
      </c>
      <c r="AH23" s="40" t="n">
        <v>-1.323252065203707</v>
      </c>
      <c r="AI23" s="40" t="n">
        <v>-0.2008436367318111</v>
      </c>
      <c r="AJ23" s="40" t="n">
        <v>-0.3467784436209123</v>
      </c>
      <c r="AK23" s="40" t="n">
        <v>-0.279578069218623</v>
      </c>
      <c r="AL23" s="40" t="n">
        <v>-0.3642699004108358</v>
      </c>
      <c r="AM23" s="40" t="n">
        <v>-0.02194032917220917</v>
      </c>
      <c r="AN23" s="40" t="n">
        <v>-0.06473666528078467</v>
      </c>
      <c r="AO23" s="40" t="n">
        <v>0.4465876248951433</v>
      </c>
      <c r="AP23" s="40" t="n">
        <v>0.3211747234691274</v>
      </c>
      <c r="AQ23" s="40" t="n">
        <v>0.4128772483588046</v>
      </c>
      <c r="AR23" s="40" t="n">
        <v>0.115883141462981</v>
      </c>
      <c r="AS23" s="40" t="n">
        <v>0.2265077127191785</v>
      </c>
      <c r="AT23" s="40" t="n">
        <v>0.2868430119828579</v>
      </c>
      <c r="AU23" s="141" t="n">
        <v>0.2698913955096807</v>
      </c>
      <c r="AV23" s="141" t="n">
        <v>0.2674907917361993</v>
      </c>
      <c r="AW23" s="141" t="n">
        <v>0.5659586311672012</v>
      </c>
      <c r="AX23" s="141" t="n">
        <v>0.3441128553190025</v>
      </c>
      <c r="AY23" s="141" t="n">
        <v>0.460628061841206</v>
      </c>
      <c r="AZ23" s="141" t="n">
        <v>0.4565974735356555</v>
      </c>
      <c r="BA23" s="141" t="n">
        <v>0.4472793109156253</v>
      </c>
      <c r="BB23" s="141" t="n">
        <v>1.4469215929026</v>
      </c>
      <c r="BC23" s="141" t="n">
        <v>0.570955056058604</v>
      </c>
      <c r="BD23" s="141" t="n">
        <v>1.002364626294824</v>
      </c>
      <c r="BE23" s="141" t="n">
        <v>0.8129180587987042</v>
      </c>
      <c r="BF23" s="141" t="n">
        <v>0.9284593810231362</v>
      </c>
      <c r="BG23" s="141" t="n">
        <v>-0.0379301726599881</v>
      </c>
      <c r="BH23" s="141" t="n">
        <v>0.3439202003951851</v>
      </c>
      <c r="BI23" s="141" t="n">
        <v>-0.1623583769366145</v>
      </c>
      <c r="BJ23" s="141" t="n">
        <v>0.1345288213309271</v>
      </c>
      <c r="BK23" s="141" t="n">
        <v>0.1616535321626963</v>
      </c>
      <c r="BL23" s="141" t="n">
        <v>0.8770487441441296</v>
      </c>
      <c r="BM23" s="141" t="n">
        <v>-0.2053275155768767</v>
      </c>
      <c r="BN23" s="141" t="n">
        <v>0.528777661614073</v>
      </c>
      <c r="BO23" s="141" t="n">
        <v>0.1585257940777561</v>
      </c>
      <c r="BP23" s="141" t="n">
        <v>0.3299440104856543</v>
      </c>
      <c r="BQ23" s="141" t="n">
        <v>0.1707458179692601</v>
      </c>
      <c r="BR23" s="141" t="n">
        <v>0.4433823547518847</v>
      </c>
      <c r="BS23" s="141" t="n">
        <v>0.2003995498025938</v>
      </c>
      <c r="BT23" s="141" t="n">
        <v>0.326420369497484</v>
      </c>
      <c r="BU23" s="141" t="n">
        <v>0.2636593661500244</v>
      </c>
      <c r="BV23" s="40" t="n">
        <v>-0.3951427898843694</v>
      </c>
      <c r="BW23" s="40" t="n">
        <v>-1.367748307394839</v>
      </c>
      <c r="BX23" s="40" t="n">
        <v>-0.2212749723508194</v>
      </c>
      <c r="BY23" s="40" t="n">
        <v>-0.9840526404950304</v>
      </c>
      <c r="BZ23" s="40" t="n">
        <v>-0.7401515479823886</v>
      </c>
      <c r="CA23" s="40" t="n">
        <v>-0.2935941615915079</v>
      </c>
      <c r="CB23" s="40" t="n">
        <v>-0.6694386258955439</v>
      </c>
      <c r="CC23" s="40" t="n">
        <v>-0.8544294743256976</v>
      </c>
      <c r="CD23" s="40" t="n">
        <v>-0.7479104619461034</v>
      </c>
      <c r="CE23" s="40" t="n">
        <v>-0.7681514537453049</v>
      </c>
      <c r="CG23" s="3" t="n">
        <v>-1</v>
      </c>
    </row>
    <row r="24">
      <c r="A24" s="251" t="n">
        <v>40360</v>
      </c>
      <c r="B24" s="3" t="n">
        <v>0</v>
      </c>
      <c r="C24" s="40" t="n">
        <v>1.56702408747315</v>
      </c>
      <c r="D24" s="40" t="n">
        <v>1.120865892071067</v>
      </c>
      <c r="E24" s="40" t="n">
        <v>0.7985168467080543</v>
      </c>
      <c r="F24" s="40" t="n">
        <v>1.105245686712148</v>
      </c>
      <c r="G24" s="40" t="n">
        <v>0.9389543745616111</v>
      </c>
      <c r="H24" s="40" t="n">
        <v>0.2166499742594616</v>
      </c>
      <c r="I24" s="40" t="n">
        <v>0.0387962034031169</v>
      </c>
      <c r="J24" s="40" t="n">
        <v>0.354030255044168</v>
      </c>
      <c r="K24" s="40" t="n">
        <v>0.2030133865888297</v>
      </c>
      <c r="L24" s="40" t="n">
        <v>0.2156197888879434</v>
      </c>
      <c r="M24" s="40" t="n">
        <v>-0.03250969592273811</v>
      </c>
      <c r="N24" s="40" t="n">
        <v>0.2687598058072736</v>
      </c>
      <c r="O24" s="40" t="n">
        <v>0.0983733602767763</v>
      </c>
      <c r="P24" s="40" t="n">
        <v>-0.4169268646690811</v>
      </c>
      <c r="Q24" s="40" t="n">
        <v>-1.064711593475436</v>
      </c>
      <c r="R24" s="40" t="n">
        <v>0.2617071538380503</v>
      </c>
      <c r="S24" s="40" t="n">
        <v>-0.6305092539922914</v>
      </c>
      <c r="T24" s="40" t="n">
        <v>-0.3507974660644257</v>
      </c>
      <c r="U24" s="40" t="n">
        <v>-2.820907720192822</v>
      </c>
      <c r="V24" s="40" t="n">
        <v>0.1884240570657203</v>
      </c>
      <c r="W24" s="40" t="n">
        <v>0.7214957846358283</v>
      </c>
      <c r="X24" s="40" t="n">
        <v>0.4220284347014192</v>
      </c>
      <c r="Y24" s="40" t="n">
        <v>0.5707606389647387</v>
      </c>
      <c r="Z24" s="40" t="n">
        <v>0.6198703894867053</v>
      </c>
      <c r="AA24" s="40" t="n">
        <v>0.3909863706749031</v>
      </c>
      <c r="AB24" s="40" t="n">
        <v>0.4964536295255362</v>
      </c>
      <c r="AC24" s="40" t="n">
        <v>0.4573958369536018</v>
      </c>
      <c r="AD24" s="40" t="n">
        <v>0.4784919442921438</v>
      </c>
      <c r="AE24" s="40" t="n">
        <v>0.3046626860939985</v>
      </c>
      <c r="AF24" s="40" t="n">
        <v>0.2072725881196958</v>
      </c>
      <c r="AG24" s="40" t="n">
        <v>0.1845520868376377</v>
      </c>
      <c r="AH24" s="40" t="n">
        <v>-1.234569653985732</v>
      </c>
      <c r="AI24" s="40" t="n">
        <v>-0.08220840764981524</v>
      </c>
      <c r="AJ24" s="40" t="n">
        <v>-0.1991156133954115</v>
      </c>
      <c r="AK24" s="40" t="n">
        <v>-0.08576322174667618</v>
      </c>
      <c r="AL24" s="40" t="n">
        <v>-0.1954978440613275</v>
      </c>
      <c r="AM24" s="40" t="n">
        <v>0.1991585890826429</v>
      </c>
      <c r="AN24" s="40" t="n">
        <v>0.02906190552916417</v>
      </c>
      <c r="AO24" s="40" t="n">
        <v>0.7205232427908798</v>
      </c>
      <c r="AP24" s="40" t="n">
        <v>0.4529900923307927</v>
      </c>
      <c r="AQ24" s="40" t="n">
        <v>0.5422957523513703</v>
      </c>
      <c r="AR24" s="40" t="n">
        <v>0.05899256533307766</v>
      </c>
      <c r="AS24" s="40" t="n">
        <v>-0.001835692925151296</v>
      </c>
      <c r="AT24" s="40" t="n">
        <v>0.3419850871231845</v>
      </c>
      <c r="AU24" s="141" t="n">
        <v>0.1136235898727339</v>
      </c>
      <c r="AV24" s="141" t="n">
        <v>0.1562468965924999</v>
      </c>
      <c r="AW24" s="141" t="n">
        <v>0.691876936083715</v>
      </c>
      <c r="AX24" s="141" t="n">
        <v>0.3518141779542897</v>
      </c>
      <c r="AY24" s="141" t="n">
        <v>0.5468938053903782</v>
      </c>
      <c r="AZ24" s="141" t="n">
        <v>0.4805072601769142</v>
      </c>
      <c r="BA24" s="141" t="n">
        <v>0.499601851445987</v>
      </c>
      <c r="BB24" s="141" t="n">
        <v>1.4753942631607</v>
      </c>
      <c r="BC24" s="141" t="n">
        <v>0.3604727559149701</v>
      </c>
      <c r="BD24" s="141" t="n">
        <v>0.8626920558870724</v>
      </c>
      <c r="BE24" s="141" t="n">
        <v>0.6558510459210144</v>
      </c>
      <c r="BF24" s="141" t="n">
        <v>0.8501833368438121</v>
      </c>
      <c r="BG24" s="141" t="n">
        <v>0.2495618245396623</v>
      </c>
      <c r="BH24" s="141" t="n">
        <v>0.5016226875447671</v>
      </c>
      <c r="BI24" s="141" t="n">
        <v>-0.04802323613029703</v>
      </c>
      <c r="BJ24" s="141" t="n">
        <v>0.5188843927697812</v>
      </c>
      <c r="BK24" s="141" t="n">
        <v>0.4658163971289411</v>
      </c>
      <c r="BL24" s="141" t="n">
        <v>1.062349760362216</v>
      </c>
      <c r="BM24" s="141" t="n">
        <v>0.0827482974025108</v>
      </c>
      <c r="BN24" s="141" t="n">
        <v>0.6148116517193035</v>
      </c>
      <c r="BO24" s="141" t="n">
        <v>0.3442315276314672</v>
      </c>
      <c r="BP24" s="141" t="n">
        <v>0.5280788811643959</v>
      </c>
      <c r="BQ24" s="141" t="n">
        <v>0.1586826454628714</v>
      </c>
      <c r="BR24" s="141" t="n">
        <v>0.1990184910711307</v>
      </c>
      <c r="BS24" s="141" t="n">
        <v>0.3156116743052151</v>
      </c>
      <c r="BT24" s="141" t="n">
        <v>0.2665593549457297</v>
      </c>
      <c r="BU24" s="141" t="n">
        <v>0.2217150515577247</v>
      </c>
      <c r="BV24" s="40" t="n">
        <v>-0.2794498069210201</v>
      </c>
      <c r="BW24" s="40" t="n">
        <v>-1.068035491131436</v>
      </c>
      <c r="BX24" s="40" t="n">
        <v>-0.309202687549037</v>
      </c>
      <c r="BY24" s="40" t="n">
        <v>-0.792990306193068</v>
      </c>
      <c r="BZ24" s="40" t="n">
        <v>-0.4846348683571443</v>
      </c>
      <c r="CA24" s="40" t="n">
        <v>-0.3269215677263671</v>
      </c>
      <c r="CB24" s="40" t="n">
        <v>-0.5380867121604641</v>
      </c>
      <c r="CC24" s="40" t="n">
        <v>-0.7087794449836297</v>
      </c>
      <c r="CD24" s="40" t="n">
        <v>-0.6155538855852919</v>
      </c>
      <c r="CE24" s="40" t="n">
        <v>-0.7742736413982509</v>
      </c>
      <c r="CG24" s="3" t="n">
        <v>-1</v>
      </c>
    </row>
    <row r="25">
      <c r="A25" s="251" t="n">
        <v>40452</v>
      </c>
      <c r="B25" s="3" t="n">
        <v>0</v>
      </c>
      <c r="C25" s="40" t="n">
        <v>1.847602152225712</v>
      </c>
      <c r="D25" s="40" t="n">
        <v>1.041373702954884</v>
      </c>
      <c r="E25" s="40" t="n">
        <v>1.214800344825912</v>
      </c>
      <c r="F25" s="40" t="n">
        <v>1.262025286941469</v>
      </c>
      <c r="G25" s="40" t="n">
        <v>1.089219660337339</v>
      </c>
      <c r="H25" s="40" t="n">
        <v>0.3041807272272195</v>
      </c>
      <c r="I25" s="40" t="n">
        <v>0.07093841766545679</v>
      </c>
      <c r="J25" s="40" t="n">
        <v>0.4329171304534074</v>
      </c>
      <c r="K25" s="40" t="n">
        <v>0.2531006849568095</v>
      </c>
      <c r="L25" s="40" t="n">
        <v>0.2856282397309666</v>
      </c>
      <c r="M25" s="40" t="n">
        <v>0.03517594301175555</v>
      </c>
      <c r="N25" s="40" t="n">
        <v>0.2510710979062108</v>
      </c>
      <c r="O25" s="40" t="n">
        <v>0.1919337411187221</v>
      </c>
      <c r="P25" s="40" t="n">
        <v>-0.346823406877073</v>
      </c>
      <c r="Q25" s="40" t="n">
        <v>-0.5184197811163118</v>
      </c>
      <c r="R25" s="40" t="n">
        <v>0.1218008137359475</v>
      </c>
      <c r="S25" s="40" t="n">
        <v>-0.6139627404206703</v>
      </c>
      <c r="T25" s="40" t="n">
        <v>-0.2858210617505654</v>
      </c>
      <c r="U25" s="40" t="n">
        <v>-2.9221610161199</v>
      </c>
      <c r="V25" s="40" t="n">
        <v>-0.1424134415754299</v>
      </c>
      <c r="W25" s="40" t="n">
        <v>0.5550949956007661</v>
      </c>
      <c r="X25" s="40" t="n">
        <v>0.1366794048583589</v>
      </c>
      <c r="Y25" s="40" t="n">
        <v>0.368166600801885</v>
      </c>
      <c r="Z25" s="40" t="n">
        <v>0.8186327555952285</v>
      </c>
      <c r="AA25" s="40" t="n">
        <v>0.5522256468134137</v>
      </c>
      <c r="AB25" s="40" t="n">
        <v>0.561408473389246</v>
      </c>
      <c r="AC25" s="40" t="n">
        <v>0.5796837996455746</v>
      </c>
      <c r="AD25" s="40" t="n">
        <v>0.6063268162725921</v>
      </c>
      <c r="AE25" s="40" t="n">
        <v>0.48007710310546</v>
      </c>
      <c r="AF25" s="40" t="n">
        <v>0.2669029617972147</v>
      </c>
      <c r="AG25" s="40" t="n">
        <v>0.3112485397099118</v>
      </c>
      <c r="AH25" s="40" t="n">
        <v>-1.158305191847488</v>
      </c>
      <c r="AI25" s="40" t="n">
        <v>0.1136367220319388</v>
      </c>
      <c r="AJ25" s="40" t="n">
        <v>-0.07630473382524666</v>
      </c>
      <c r="AK25" s="40" t="n">
        <v>0.06219577666963056</v>
      </c>
      <c r="AL25" s="40" t="n">
        <v>-0.05726657631422167</v>
      </c>
      <c r="AM25" s="40" t="n">
        <v>0.2496890317813516</v>
      </c>
      <c r="AN25" s="40" t="n">
        <v>0.4438009866404506</v>
      </c>
      <c r="AO25" s="40" t="n">
        <v>0.6139938069039569</v>
      </c>
      <c r="AP25" s="40" t="n">
        <v>0.3662649793322194</v>
      </c>
      <c r="AQ25" s="40" t="n">
        <v>0.4977731348929642</v>
      </c>
      <c r="AR25" s="40" t="n">
        <v>-0.001082870503954218</v>
      </c>
      <c r="AS25" s="40" t="n">
        <v>-0.2838072458149173</v>
      </c>
      <c r="AT25" s="40" t="n">
        <v>0.2797371115467724</v>
      </c>
      <c r="AU25" s="141" t="n">
        <v>-0.05926270626381526</v>
      </c>
      <c r="AV25" s="141" t="n">
        <v>0.04233051374333104</v>
      </c>
      <c r="AW25" s="141" t="n">
        <v>0.8424686633209773</v>
      </c>
      <c r="AX25" s="141" t="n">
        <v>0.4349323568509753</v>
      </c>
      <c r="AY25" s="141" t="n">
        <v>0.6329919621629455</v>
      </c>
      <c r="AZ25" s="141" t="n">
        <v>0.5099158538694999</v>
      </c>
      <c r="BA25" s="141" t="n">
        <v>0.5590866495139496</v>
      </c>
      <c r="BB25" s="141" t="n">
        <v>1.434044123358828</v>
      </c>
      <c r="BC25" s="141" t="n">
        <v>0.345209577754689</v>
      </c>
      <c r="BD25" s="141" t="n">
        <v>0.7104628553602755</v>
      </c>
      <c r="BE25" s="141" t="n">
        <v>0.4190809103687007</v>
      </c>
      <c r="BF25" s="141" t="n">
        <v>0.6826438351070921</v>
      </c>
      <c r="BG25" s="141" t="n">
        <v>0.3972837121986851</v>
      </c>
      <c r="BH25" s="141" t="n">
        <v>0.5803037966413105</v>
      </c>
      <c r="BI25" s="141" t="n">
        <v>0.4455730765188459</v>
      </c>
      <c r="BJ25" s="141" t="n">
        <v>0.7098001065382832</v>
      </c>
      <c r="BK25" s="141" t="n">
        <v>0.5926468136946188</v>
      </c>
      <c r="BL25" s="141" t="n">
        <v>1.211059181838792</v>
      </c>
      <c r="BM25" s="141" t="n">
        <v>0.2428579416129868</v>
      </c>
      <c r="BN25" s="141" t="n">
        <v>0.6563788266656022</v>
      </c>
      <c r="BO25" s="141" t="n">
        <v>0.4584866822760371</v>
      </c>
      <c r="BP25" s="141" t="n">
        <v>0.659524164083687</v>
      </c>
      <c r="BQ25" s="141" t="n">
        <v>0.1983724171974589</v>
      </c>
      <c r="BR25" s="141" t="n">
        <v>-0.04975279962004563</v>
      </c>
      <c r="BS25" s="141" t="n">
        <v>0.4307074104739151</v>
      </c>
      <c r="BT25" s="141" t="n">
        <v>0.2634344883783536</v>
      </c>
      <c r="BU25" s="141" t="n">
        <v>0.2444522611193355</v>
      </c>
      <c r="BV25" s="40" t="n">
        <v>0.08853624421024092</v>
      </c>
      <c r="BW25" s="40" t="n">
        <v>-0.3374367237282359</v>
      </c>
      <c r="BX25" s="40" t="n">
        <v>-0.2065080430475636</v>
      </c>
      <c r="BY25" s="40" t="n">
        <v>-0.2506499359834786</v>
      </c>
      <c r="BZ25" s="40" t="n">
        <v>-0.0457784679857639</v>
      </c>
      <c r="CA25" s="40" t="n">
        <v>-0.3841800319525528</v>
      </c>
      <c r="CB25" s="40" t="n">
        <v>-0.4090974794277449</v>
      </c>
      <c r="CC25" s="40" t="n">
        <v>-0.6121348169462377</v>
      </c>
      <c r="CD25" s="40" t="n">
        <v>-0.5450721598731948</v>
      </c>
      <c r="CE25" s="40" t="n">
        <v>-0.7622824647773581</v>
      </c>
      <c r="CG25" s="3" t="n">
        <v>-1</v>
      </c>
    </row>
    <row r="26">
      <c r="A26" s="251" t="n">
        <v>40544</v>
      </c>
      <c r="B26" s="3" t="n">
        <v>0</v>
      </c>
      <c r="C26" s="40" t="n">
        <v>1.67423224772629</v>
      </c>
      <c r="D26" s="40" t="n">
        <v>0.5911703966999744</v>
      </c>
      <c r="E26" s="40" t="n">
        <v>1.059849148606409</v>
      </c>
      <c r="F26" s="40" t="n">
        <v>0.813859181724192</v>
      </c>
      <c r="G26" s="40" t="n">
        <v>0.817814276416359</v>
      </c>
      <c r="H26" s="40" t="n">
        <v>0.3269595303517058</v>
      </c>
      <c r="I26" s="40" t="n">
        <v>0.07515642277463255</v>
      </c>
      <c r="J26" s="40" t="n">
        <v>0.3082185887936053</v>
      </c>
      <c r="K26" s="40" t="n">
        <v>0.1967512631192102</v>
      </c>
      <c r="L26" s="40" t="n">
        <v>0.277194073823617</v>
      </c>
      <c r="M26" s="40" t="n">
        <v>-0.1358304453049937</v>
      </c>
      <c r="N26" s="40" t="n">
        <v>0.08323074791742995</v>
      </c>
      <c r="O26" s="40" t="n">
        <v>0.2161522863480397</v>
      </c>
      <c r="P26" s="40" t="n">
        <v>-0.3779804992290764</v>
      </c>
      <c r="Q26" s="40" t="n">
        <v>-0.4180804686421868</v>
      </c>
      <c r="R26" s="40" t="n">
        <v>-0.5974823700830956</v>
      </c>
      <c r="S26" s="40" t="n">
        <v>-0.6633119914237495</v>
      </c>
      <c r="T26" s="40" t="n">
        <v>-0.3335205030676764</v>
      </c>
      <c r="U26" s="40" t="n">
        <v>-3.002537740113843</v>
      </c>
      <c r="V26" s="40" t="n">
        <v>-0.3954288978704336</v>
      </c>
      <c r="W26" s="40" t="n">
        <v>0.3107305553447113</v>
      </c>
      <c r="X26" s="40" t="n">
        <v>-0.08614914649233207</v>
      </c>
      <c r="Y26" s="40" t="n">
        <v>0.2038883748170473</v>
      </c>
      <c r="Z26" s="40" t="n">
        <v>0.9630267608296771</v>
      </c>
      <c r="AA26" s="40" t="n">
        <v>0.6071765961307577</v>
      </c>
      <c r="AB26" s="40" t="n">
        <v>0.5649381586939503</v>
      </c>
      <c r="AC26" s="40" t="n">
        <v>0.6272260646850548</v>
      </c>
      <c r="AD26" s="40" t="n">
        <v>0.6694210178245917</v>
      </c>
      <c r="AE26" s="40" t="n">
        <v>0.6244185326630199</v>
      </c>
      <c r="AF26" s="40" t="n">
        <v>0.4203614299240195</v>
      </c>
      <c r="AG26" s="40" t="n">
        <v>0.4434061956550447</v>
      </c>
      <c r="AH26" s="40" t="n">
        <v>-1.195146981251923</v>
      </c>
      <c r="AI26" s="40" t="n">
        <v>0.1063682234508257</v>
      </c>
      <c r="AJ26" s="40" t="n">
        <v>-0.07739093589443587</v>
      </c>
      <c r="AK26" s="40" t="n">
        <v>0.02329630767543427</v>
      </c>
      <c r="AL26" s="40" t="n">
        <v>-0.07261835759248364</v>
      </c>
      <c r="AM26" s="40" t="n">
        <v>-0.02075220684890001</v>
      </c>
      <c r="AN26" s="40" t="n">
        <v>-0.03074997918491433</v>
      </c>
      <c r="AO26" s="40" t="n">
        <v>0.2472351979022558</v>
      </c>
      <c r="AP26" s="40" t="n">
        <v>-0.01418206520210083</v>
      </c>
      <c r="AQ26" s="40" t="n">
        <v>0.1998403217024637</v>
      </c>
      <c r="AR26" s="40" t="n">
        <v>-0.03731781541756305</v>
      </c>
      <c r="AS26" s="40" t="n">
        <v>-0.3274276703669353</v>
      </c>
      <c r="AT26" s="40" t="n">
        <v>-0.01793890852846747</v>
      </c>
      <c r="AU26" s="141" t="n">
        <v>-0.1783341395363015</v>
      </c>
      <c r="AV26" s="141" t="n">
        <v>-0.02799721217057782</v>
      </c>
      <c r="AW26" s="141" t="n">
        <v>0.8969029808537662</v>
      </c>
      <c r="AX26" s="141" t="n">
        <v>0.3695826518027189</v>
      </c>
      <c r="AY26" s="141" t="n">
        <v>0.4554932782529153</v>
      </c>
      <c r="AZ26" s="141" t="n">
        <v>0.4318423562821661</v>
      </c>
      <c r="BA26" s="141" t="n">
        <v>0.5331821627819852</v>
      </c>
      <c r="BB26" s="141" t="n">
        <v>1.572421010213988</v>
      </c>
      <c r="BC26" s="141" t="n">
        <v>0.4325571479060006</v>
      </c>
      <c r="BD26" s="141" t="n">
        <v>0.5795007719469718</v>
      </c>
      <c r="BE26" s="141" t="n">
        <v>0.4900843409848393</v>
      </c>
      <c r="BF26" s="141" t="n">
        <v>0.7434264538776325</v>
      </c>
      <c r="BG26" s="141" t="n">
        <v>0.6016712388091952</v>
      </c>
      <c r="BH26" s="141" t="n">
        <v>0.7903775831107913</v>
      </c>
      <c r="BI26" s="141" t="n">
        <v>0.8983637121544</v>
      </c>
      <c r="BJ26" s="141" t="n">
        <v>0.8788178275769364</v>
      </c>
      <c r="BK26" s="141" t="n">
        <v>0.7776506139419044</v>
      </c>
      <c r="BL26" s="141" t="n">
        <v>1.454965720465115</v>
      </c>
      <c r="BM26" s="141" t="n">
        <v>0.7380490462791216</v>
      </c>
      <c r="BN26" s="141" t="n">
        <v>0.6140465157632182</v>
      </c>
      <c r="BO26" s="141" t="n">
        <v>0.7101640611136426</v>
      </c>
      <c r="BP26" s="141" t="n">
        <v>0.9115165419662729</v>
      </c>
      <c r="BQ26" s="141" t="n">
        <v>0.2138850935417558</v>
      </c>
      <c r="BR26" s="141" t="n">
        <v>-0.05589124073148474</v>
      </c>
      <c r="BS26" s="141" t="n">
        <v>0.4113990130741775</v>
      </c>
      <c r="BT26" s="141" t="n">
        <v>0.1991397171064516</v>
      </c>
      <c r="BU26" s="141" t="n">
        <v>0.2396966129676969</v>
      </c>
      <c r="BV26" s="40" t="n">
        <v>0.03367349274866862</v>
      </c>
      <c r="BW26" s="40" t="n">
        <v>0.2185459714710854</v>
      </c>
      <c r="BX26" s="40" t="n">
        <v>-0.7176801441933801</v>
      </c>
      <c r="BY26" s="40" t="n">
        <v>-0.2896583281902853</v>
      </c>
      <c r="BZ26" s="40" t="n">
        <v>-0.1629296547683816</v>
      </c>
      <c r="CA26" s="40" t="n">
        <v>-0.5252031447343956</v>
      </c>
      <c r="CB26" s="40" t="n">
        <v>-0.3263418408321744</v>
      </c>
      <c r="CC26" s="40" t="n">
        <v>-0.7196525062929603</v>
      </c>
      <c r="CD26" s="40" t="n">
        <v>-0.6057705936394566</v>
      </c>
      <c r="CE26" s="40" t="n">
        <v>-0.8087466781958105</v>
      </c>
      <c r="CG26" s="3" t="n">
        <v>-1</v>
      </c>
    </row>
    <row r="27">
      <c r="A27" s="251" t="n">
        <v>40634</v>
      </c>
      <c r="B27" s="3" t="n">
        <v>1</v>
      </c>
      <c r="C27" s="40" t="n">
        <v>1.348625169858722</v>
      </c>
      <c r="D27" s="40" t="n">
        <v>-0.1638020280728868</v>
      </c>
      <c r="E27" s="40" t="n">
        <v>0.7610261736732832</v>
      </c>
      <c r="F27" s="40" t="n">
        <v>0.2233924133010034</v>
      </c>
      <c r="G27" s="40" t="n">
        <v>0.4476403479513947</v>
      </c>
      <c r="H27" s="40" t="n">
        <v>0.4670750314017565</v>
      </c>
      <c r="I27" s="40" t="n">
        <v>0.3503787724514857</v>
      </c>
      <c r="J27" s="40" t="n">
        <v>0.3167988560471708</v>
      </c>
      <c r="K27" s="40" t="n">
        <v>0.3295591976357493</v>
      </c>
      <c r="L27" s="40" t="n">
        <v>0.3999618452867035</v>
      </c>
      <c r="M27" s="40" t="n">
        <v>-0.1962540998601205</v>
      </c>
      <c r="N27" s="40" t="n">
        <v>-0.08729921598996908</v>
      </c>
      <c r="O27" s="40" t="n">
        <v>0.1511114196815947</v>
      </c>
      <c r="P27" s="40" t="n">
        <v>-0.6012729944184371</v>
      </c>
      <c r="Q27" s="40" t="n">
        <v>-0.4440943644688117</v>
      </c>
      <c r="R27" s="40" t="n">
        <v>-1.290430242824097</v>
      </c>
      <c r="S27" s="40" t="n">
        <v>-0.757656147753168</v>
      </c>
      <c r="T27" s="40" t="n">
        <v>-0.5526750228199175</v>
      </c>
      <c r="U27" s="40" t="n">
        <v>-3.087982181877459</v>
      </c>
      <c r="V27" s="40" t="n">
        <v>-0.4889353251858329</v>
      </c>
      <c r="W27" s="40" t="n">
        <v>0.06420770904158461</v>
      </c>
      <c r="X27" s="40" t="n">
        <v>-0.2646456240268427</v>
      </c>
      <c r="Y27" s="40" t="n">
        <v>0.04649131343489554</v>
      </c>
      <c r="Z27" s="40" t="n">
        <v>0.8698781087102713</v>
      </c>
      <c r="AA27" s="40" t="n">
        <v>0.4082377419198114</v>
      </c>
      <c r="AB27" s="40" t="n">
        <v>0.4375923082230427</v>
      </c>
      <c r="AC27" s="40" t="n">
        <v>0.4058466622923445</v>
      </c>
      <c r="AD27" s="40" t="n">
        <v>0.4986356375786363</v>
      </c>
      <c r="AE27" s="40" t="n">
        <v>0.2614552232868871</v>
      </c>
      <c r="AF27" s="40" t="n">
        <v>0.2418340223598691</v>
      </c>
      <c r="AG27" s="40" t="n">
        <v>0.2885589087588513</v>
      </c>
      <c r="AH27" s="40" t="n">
        <v>-1.210751235699482</v>
      </c>
      <c r="AI27" s="40" t="n">
        <v>0.1370114214389168</v>
      </c>
      <c r="AJ27" s="40" t="n">
        <v>-0.05019796015504252</v>
      </c>
      <c r="AK27" s="40" t="n">
        <v>0.01533270770552369</v>
      </c>
      <c r="AL27" s="40" t="n">
        <v>-0.06197623661382174</v>
      </c>
      <c r="AM27" s="40" t="n">
        <v>-0.5290348514791506</v>
      </c>
      <c r="AN27" s="40" t="n">
        <v>-0.3985791840825015</v>
      </c>
      <c r="AO27" s="40" t="n">
        <v>-0.3813260737295927</v>
      </c>
      <c r="AP27" s="40" t="n">
        <v>-0.5578981980133482</v>
      </c>
      <c r="AQ27" s="40" t="n">
        <v>-0.304185427097537</v>
      </c>
      <c r="AR27" s="40" t="n">
        <v>0.1041231834268195</v>
      </c>
      <c r="AS27" s="40" t="n">
        <v>-0.01928182789220553</v>
      </c>
      <c r="AT27" s="40" t="n">
        <v>0.1358456822592155</v>
      </c>
      <c r="AU27" s="141" t="n">
        <v>0.07018494571120844</v>
      </c>
      <c r="AV27" s="141" t="n">
        <v>0.1678436574929974</v>
      </c>
      <c r="AW27" s="141" t="n">
        <v>1.047010414574005</v>
      </c>
      <c r="AX27" s="141" t="n">
        <v>0.419899793477894</v>
      </c>
      <c r="AY27" s="141" t="n">
        <v>0.5021901099081106</v>
      </c>
      <c r="AZ27" s="141" t="n">
        <v>0.4794229609578064</v>
      </c>
      <c r="BA27" s="141" t="n">
        <v>0.5732898519500105</v>
      </c>
      <c r="BB27" s="141" t="n">
        <v>1.602519665502545</v>
      </c>
      <c r="BC27" s="141" t="n">
        <v>0.2184971003749537</v>
      </c>
      <c r="BD27" s="141" t="n">
        <v>0.540634997058139</v>
      </c>
      <c r="BE27" s="141" t="n">
        <v>0.4203162198246421</v>
      </c>
      <c r="BF27" s="141" t="n">
        <v>0.6411107609414103</v>
      </c>
      <c r="BG27" s="141" t="n">
        <v>1.237058659647695</v>
      </c>
      <c r="BH27" s="141" t="n">
        <v>1.266797676403957</v>
      </c>
      <c r="BI27" s="141" t="n">
        <v>1.343674441194348</v>
      </c>
      <c r="BJ27" s="141" t="n">
        <v>1.494698161547585</v>
      </c>
      <c r="BK27" s="141" t="n">
        <v>1.468865072634506</v>
      </c>
      <c r="BL27" s="141" t="n">
        <v>1.194318155662669</v>
      </c>
      <c r="BM27" s="141" t="n">
        <v>0.3825524452072414</v>
      </c>
      <c r="BN27" s="141" t="n">
        <v>0.1532580501071276</v>
      </c>
      <c r="BO27" s="141" t="n">
        <v>0.2009890457452826</v>
      </c>
      <c r="BP27" s="141" t="n">
        <v>0.4155321692094596</v>
      </c>
      <c r="BQ27" s="141" t="n">
        <v>0.1834941180710436</v>
      </c>
      <c r="BR27" s="141" t="n">
        <v>0.01884186512810956</v>
      </c>
      <c r="BS27" s="141" t="n">
        <v>0.295862543234977</v>
      </c>
      <c r="BT27" s="141" t="n">
        <v>0.06751256998216816</v>
      </c>
      <c r="BU27" s="141" t="n">
        <v>0.1833568689749311</v>
      </c>
      <c r="BV27" s="40" t="n">
        <v>0.06073960870922982</v>
      </c>
      <c r="BW27" s="40" t="n">
        <v>0.4857180942535851</v>
      </c>
      <c r="BX27" s="40" t="n">
        <v>-0.8336378079383187</v>
      </c>
      <c r="BY27" s="40" t="n">
        <v>-0.1346396088768466</v>
      </c>
      <c r="BZ27" s="40" t="n">
        <v>-0.1534447014345592</v>
      </c>
      <c r="CA27" s="40" t="n">
        <v>-0.482926717913562</v>
      </c>
      <c r="CB27" s="40" t="n">
        <v>-0.2281765573861911</v>
      </c>
      <c r="CC27" s="40" t="n">
        <v>-0.597996545822403</v>
      </c>
      <c r="CD27" s="40" t="n">
        <v>-0.4009004408359503</v>
      </c>
      <c r="CE27" s="40" t="n">
        <v>-0.6191267255570601</v>
      </c>
      <c r="CG27" s="3" t="n">
        <v>-1</v>
      </c>
    </row>
    <row r="28">
      <c r="A28" s="251" t="n">
        <v>40725</v>
      </c>
      <c r="B28" s="3" t="n">
        <v>0</v>
      </c>
      <c r="C28" s="40" t="n">
        <v>1.564042895662988</v>
      </c>
      <c r="D28" s="40" t="n">
        <v>-0.003023117689088668</v>
      </c>
      <c r="E28" s="40" t="n">
        <v>0.7665517291647627</v>
      </c>
      <c r="F28" s="40" t="n">
        <v>0.3133355412697587</v>
      </c>
      <c r="G28" s="40" t="n">
        <v>0.6079219302240914</v>
      </c>
      <c r="H28" s="40" t="n">
        <v>0.4373616998075731</v>
      </c>
      <c r="I28" s="40" t="n">
        <v>0.286469380854217</v>
      </c>
      <c r="J28" s="40" t="n">
        <v>0.2147402172776239</v>
      </c>
      <c r="K28" s="40" t="n">
        <v>0.2235874222307935</v>
      </c>
      <c r="L28" s="40" t="n">
        <v>0.3141529732846485</v>
      </c>
      <c r="M28" s="40" t="n">
        <v>-0.3096806795758571</v>
      </c>
      <c r="N28" s="40" t="n">
        <v>-0.1992239159817619</v>
      </c>
      <c r="O28" s="40" t="n">
        <v>0.06020067963609437</v>
      </c>
      <c r="P28" s="40" t="n">
        <v>-0.5960801456931031</v>
      </c>
      <c r="Q28" s="40" t="n">
        <v>-0.1282113437169374</v>
      </c>
      <c r="R28" s="40" t="n">
        <v>-1.056704357006467</v>
      </c>
      <c r="S28" s="40" t="n">
        <v>-0.5254243783269094</v>
      </c>
      <c r="T28" s="40" t="n">
        <v>-0.5579332289493629</v>
      </c>
      <c r="U28" s="40" t="n">
        <v>-3.114102456804959</v>
      </c>
      <c r="V28" s="40" t="n">
        <v>-0.3858246731717308</v>
      </c>
      <c r="W28" s="40" t="n">
        <v>-0.1192507072656851</v>
      </c>
      <c r="X28" s="40" t="n">
        <v>-0.3127789185093602</v>
      </c>
      <c r="Y28" s="40" t="n">
        <v>-0.03805392235764465</v>
      </c>
      <c r="Z28" s="40" t="n">
        <v>0.6297359035911787</v>
      </c>
      <c r="AA28" s="40" t="n">
        <v>0.01060724846451823</v>
      </c>
      <c r="AB28" s="40" t="n">
        <v>0.2562587446939411</v>
      </c>
      <c r="AC28" s="40" t="n">
        <v>0.04470108711701077</v>
      </c>
      <c r="AD28" s="40" t="n">
        <v>0.1982492736206862</v>
      </c>
      <c r="AE28" s="40" t="n">
        <v>-0.4003530006399353</v>
      </c>
      <c r="AF28" s="40" t="n">
        <v>-0.06084565289175214</v>
      </c>
      <c r="AG28" s="40" t="n">
        <v>-0.03560898109526779</v>
      </c>
      <c r="AH28" s="40" t="n">
        <v>-0.9398734853896101</v>
      </c>
      <c r="AI28" s="40" t="n">
        <v>0.35890171770192</v>
      </c>
      <c r="AJ28" s="40" t="n">
        <v>0.2175929456533921</v>
      </c>
      <c r="AK28" s="40" t="n">
        <v>0.4167732687686298</v>
      </c>
      <c r="AL28" s="40" t="n">
        <v>0.313700710153254</v>
      </c>
      <c r="AM28" s="40" t="n">
        <v>-0.7450215418729208</v>
      </c>
      <c r="AN28" s="40" t="n">
        <v>-0.7421309631015639</v>
      </c>
      <c r="AO28" s="40" t="n">
        <v>-0.5868821979559303</v>
      </c>
      <c r="AP28" s="40" t="n">
        <v>-0.6970451720304488</v>
      </c>
      <c r="AQ28" s="40" t="n">
        <v>-0.517819019238649</v>
      </c>
      <c r="AR28" s="40" t="n">
        <v>0.04884808786648637</v>
      </c>
      <c r="AS28" s="40" t="n">
        <v>-0.01663305838045459</v>
      </c>
      <c r="AT28" s="40" t="n">
        <v>-0.01210707882213007</v>
      </c>
      <c r="AU28" s="141" t="n">
        <v>-0.05287955399919873</v>
      </c>
      <c r="AV28" s="141" t="n">
        <v>0.06026503766304439</v>
      </c>
      <c r="AW28" s="141" t="n">
        <v>0.898887828995714</v>
      </c>
      <c r="AX28" s="141" t="n">
        <v>0.1806953724728534</v>
      </c>
      <c r="AY28" s="141" t="n">
        <v>0.3500217307622301</v>
      </c>
      <c r="AZ28" s="141" t="n">
        <v>0.2385486010688344</v>
      </c>
      <c r="BA28" s="141" t="n">
        <v>0.3770776599402056</v>
      </c>
      <c r="BB28" s="141" t="n">
        <v>1.325543335926349</v>
      </c>
      <c r="BC28" s="141" t="n">
        <v>-0.2104267266432407</v>
      </c>
      <c r="BD28" s="141" t="n">
        <v>0.1027549724613795</v>
      </c>
      <c r="BE28" s="141" t="n">
        <v>-0.1153566747733913</v>
      </c>
      <c r="BF28" s="141" t="n">
        <v>0.1532388977427406</v>
      </c>
      <c r="BG28" s="141" t="n">
        <v>1.859320507714544</v>
      </c>
      <c r="BH28" s="141" t="n">
        <v>1.599416800950396</v>
      </c>
      <c r="BI28" s="141" t="n">
        <v>1.752704866131588</v>
      </c>
      <c r="BJ28" s="141" t="n">
        <v>2.011669327426073</v>
      </c>
      <c r="BK28" s="141" t="n">
        <v>2.102386542816589</v>
      </c>
      <c r="BL28" s="141" t="n">
        <v>0.8493399898646515</v>
      </c>
      <c r="BM28" s="141" t="n">
        <v>-0.2568397885155559</v>
      </c>
      <c r="BN28" s="141" t="n">
        <v>-0.1505483597814123</v>
      </c>
      <c r="BO28" s="141" t="n">
        <v>-0.3525000692825245</v>
      </c>
      <c r="BP28" s="141" t="n">
        <v>-0.1667478991594797</v>
      </c>
      <c r="BQ28" s="141" t="n">
        <v>0.1650853282315294</v>
      </c>
      <c r="BR28" s="141" t="n">
        <v>0.00946310364691272</v>
      </c>
      <c r="BS28" s="141" t="n">
        <v>0.1334458303525902</v>
      </c>
      <c r="BT28" s="141" t="n">
        <v>-0.02179462179545134</v>
      </c>
      <c r="BU28" s="141" t="n">
        <v>0.1373546478151421</v>
      </c>
      <c r="BV28" s="40" t="n">
        <v>-0.1831938045385358</v>
      </c>
      <c r="BW28" s="40" t="n">
        <v>0.1025555761352556</v>
      </c>
      <c r="BX28" s="40" t="n">
        <v>-0.9125090591618927</v>
      </c>
      <c r="BY28" s="40" t="n">
        <v>-0.322087485583816</v>
      </c>
      <c r="BZ28" s="40" t="n">
        <v>-0.4867552561054528</v>
      </c>
      <c r="CA28" s="40" t="n">
        <v>-0.4307990769076436</v>
      </c>
      <c r="CB28" s="40" t="n">
        <v>-0.1251893118398424</v>
      </c>
      <c r="CC28" s="40" t="n">
        <v>-0.4418784114467323</v>
      </c>
      <c r="CD28" s="40" t="n">
        <v>-0.208096962295315</v>
      </c>
      <c r="CE28" s="40" t="n">
        <v>-0.4380101368716839</v>
      </c>
      <c r="CG28" s="3" t="n">
        <v>-1</v>
      </c>
    </row>
    <row r="29">
      <c r="A29" s="251" t="n">
        <v>40817</v>
      </c>
      <c r="B29" s="3" t="n">
        <v>0</v>
      </c>
      <c r="C29" s="40" t="n">
        <v>1.622453525961715</v>
      </c>
      <c r="D29" s="40" t="n">
        <v>-0.22831499550371</v>
      </c>
      <c r="E29" s="40" t="n">
        <v>0.5575484964365773</v>
      </c>
      <c r="F29" s="40" t="n">
        <v>0.2225190435616064</v>
      </c>
      <c r="G29" s="40" t="n">
        <v>0.5720132412357962</v>
      </c>
      <c r="H29" s="40" t="n">
        <v>0.4280504697081832</v>
      </c>
      <c r="I29" s="40" t="n">
        <v>0.160774822211962</v>
      </c>
      <c r="J29" s="40" t="n">
        <v>0.1529769944489821</v>
      </c>
      <c r="K29" s="40" t="n">
        <v>0.1668703718549842</v>
      </c>
      <c r="L29" s="40" t="n">
        <v>0.2445219447438441</v>
      </c>
      <c r="M29" s="40" t="n">
        <v>-0.9671617541719946</v>
      </c>
      <c r="N29" s="40" t="n">
        <v>-0.5426039895723014</v>
      </c>
      <c r="O29" s="40" t="n">
        <v>-0.2123298686874307</v>
      </c>
      <c r="P29" s="40" t="n">
        <v>-0.5052052929997587</v>
      </c>
      <c r="Q29" s="40" t="n">
        <v>-0.1133462603874372</v>
      </c>
      <c r="R29" s="40" t="n">
        <v>-0.5596253604084094</v>
      </c>
      <c r="S29" s="40" t="n">
        <v>-0.2577772640631469</v>
      </c>
      <c r="T29" s="40" t="n">
        <v>-0.4959615138523277</v>
      </c>
      <c r="U29" s="40" t="n">
        <v>-3.194369151012895</v>
      </c>
      <c r="V29" s="40" t="n">
        <v>-0.3582077082738082</v>
      </c>
      <c r="W29" s="40" t="n">
        <v>-0.3024277602032491</v>
      </c>
      <c r="X29" s="40" t="n">
        <v>-0.394536347651372</v>
      </c>
      <c r="Y29" s="40" t="n">
        <v>-0.1783034532653921</v>
      </c>
      <c r="Z29" s="40" t="n">
        <v>0.1312294763952998</v>
      </c>
      <c r="AA29" s="40" t="n">
        <v>-0.7390853938865669</v>
      </c>
      <c r="AB29" s="40" t="n">
        <v>-0.1192360683454225</v>
      </c>
      <c r="AC29" s="40" t="n">
        <v>-0.5708472535163699</v>
      </c>
      <c r="AD29" s="40" t="n">
        <v>-0.3203098796974807</v>
      </c>
      <c r="AE29" s="40" t="n">
        <v>-1.220885791480908</v>
      </c>
      <c r="AF29" s="40" t="n">
        <v>-0.4710506860174242</v>
      </c>
      <c r="AG29" s="40" t="n">
        <v>-0.383533302459708</v>
      </c>
      <c r="AH29" s="40" t="n">
        <v>-1.018211609316678</v>
      </c>
      <c r="AI29" s="40" t="n">
        <v>0.1706158164486737</v>
      </c>
      <c r="AJ29" s="40" t="n">
        <v>0.2235375591329017</v>
      </c>
      <c r="AK29" s="40" t="n">
        <v>0.2623241180315176</v>
      </c>
      <c r="AL29" s="40" t="n">
        <v>0.2034857964666406</v>
      </c>
      <c r="AM29" s="40" t="n">
        <v>-1.035561964793569</v>
      </c>
      <c r="AN29" s="40" t="n">
        <v>-1.010214606984015</v>
      </c>
      <c r="AO29" s="40" t="n">
        <v>-0.466179350974931</v>
      </c>
      <c r="AP29" s="40" t="n">
        <v>-0.8702541651199479</v>
      </c>
      <c r="AQ29" s="40" t="n">
        <v>-0.799275229862537</v>
      </c>
      <c r="AR29" s="40" t="n">
        <v>0.3750491300838478</v>
      </c>
      <c r="AS29" s="40" t="n">
        <v>0.6167124472539528</v>
      </c>
      <c r="AT29" s="40" t="n">
        <v>0.218234002257429</v>
      </c>
      <c r="AU29" s="141" t="n">
        <v>0.5143793785825</v>
      </c>
      <c r="AV29" s="141" t="n">
        <v>0.4827008531020789</v>
      </c>
      <c r="AW29" s="141" t="n">
        <v>0.5671189237845239</v>
      </c>
      <c r="AX29" s="141" t="n">
        <v>-0.2403468872867157</v>
      </c>
      <c r="AY29" s="141" t="n">
        <v>0.1279021996571345</v>
      </c>
      <c r="AZ29" s="141" t="n">
        <v>-0.1430853182261812</v>
      </c>
      <c r="BA29" s="141" t="n">
        <v>0.04754738160087323</v>
      </c>
      <c r="BB29" s="141" t="n">
        <v>0.9022346517323678</v>
      </c>
      <c r="BC29" s="141" t="n">
        <v>-0.7467883474435694</v>
      </c>
      <c r="BD29" s="141" t="n">
        <v>-0.2750103792865264</v>
      </c>
      <c r="BE29" s="141" t="n">
        <v>-0.7889622080426669</v>
      </c>
      <c r="BF29" s="141" t="n">
        <v>-0.4754706152417212</v>
      </c>
      <c r="BG29" s="141" t="n">
        <v>0.9027785497406795</v>
      </c>
      <c r="BH29" s="141" t="n">
        <v>0.5022472898632114</v>
      </c>
      <c r="BI29" s="141" t="n">
        <v>0.9030732489999468</v>
      </c>
      <c r="BJ29" s="141" t="n">
        <v>0.5075602398389822</v>
      </c>
      <c r="BK29" s="141" t="n">
        <v>0.810129082950696</v>
      </c>
      <c r="BL29" s="141" t="n">
        <v>0.5628625661850294</v>
      </c>
      <c r="BM29" s="141" t="n">
        <v>-0.7815729827421942</v>
      </c>
      <c r="BN29" s="141" t="n">
        <v>-0.4658623193646769</v>
      </c>
      <c r="BO29" s="141" t="n">
        <v>-0.7613965199092535</v>
      </c>
      <c r="BP29" s="141" t="n">
        <v>-0.6141618790682808</v>
      </c>
      <c r="BQ29" s="141" t="n">
        <v>0.2146815255005272</v>
      </c>
      <c r="BR29" s="141" t="n">
        <v>0.02410470545505549</v>
      </c>
      <c r="BS29" s="141" t="n">
        <v>-0.01641694667309792</v>
      </c>
      <c r="BT29" s="141" t="n">
        <v>0.02784994637924341</v>
      </c>
      <c r="BU29" s="141" t="n">
        <v>0.1637010599099262</v>
      </c>
      <c r="BV29" s="40" t="n">
        <v>-0.5437569987337897</v>
      </c>
      <c r="BW29" s="40" t="n">
        <v>-0.6736743289928494</v>
      </c>
      <c r="BX29" s="40" t="n">
        <v>-0.9556366539539652</v>
      </c>
      <c r="BY29" s="40" t="n">
        <v>-0.6521235166752032</v>
      </c>
      <c r="BZ29" s="40" t="n">
        <v>-0.9204393831371711</v>
      </c>
      <c r="CA29" s="40" t="n">
        <v>-0.1879256929209504</v>
      </c>
      <c r="CB29" s="40" t="n">
        <v>0.2365184325518836</v>
      </c>
      <c r="CC29" s="40" t="n">
        <v>-0.1149731820887611</v>
      </c>
      <c r="CD29" s="40" t="n">
        <v>0.2056698311788674</v>
      </c>
      <c r="CE29" s="40" t="n">
        <v>-0.06199127495950783</v>
      </c>
      <c r="CG29" s="3" t="n">
        <v>-1</v>
      </c>
    </row>
    <row r="30">
      <c r="A30" s="251" t="n">
        <v>40909</v>
      </c>
      <c r="B30" s="3" t="n">
        <v>0</v>
      </c>
      <c r="C30" s="40" t="n">
        <v>1.39789311948897</v>
      </c>
      <c r="D30" s="40" t="n">
        <v>-0.2802254131767358</v>
      </c>
      <c r="E30" s="40" t="n">
        <v>0.2132280319355526</v>
      </c>
      <c r="F30" s="40" t="n">
        <v>-0.1490478656855974</v>
      </c>
      <c r="G30" s="40" t="n">
        <v>0.2313063426753069</v>
      </c>
      <c r="H30" s="40" t="n">
        <v>0.232563917559579</v>
      </c>
      <c r="I30" s="40" t="n">
        <v>-0.1225193300662242</v>
      </c>
      <c r="J30" s="40" t="n">
        <v>-0.031268973709342</v>
      </c>
      <c r="K30" s="40" t="n">
        <v>-0.1371194684693204</v>
      </c>
      <c r="L30" s="40" t="n">
        <v>-0.03330368063966506</v>
      </c>
      <c r="M30" s="40" t="n">
        <v>-0.5757723961857361</v>
      </c>
      <c r="N30" s="40" t="n">
        <v>-0.4142965870941456</v>
      </c>
      <c r="O30" s="40" t="n">
        <v>-0.1714802380208873</v>
      </c>
      <c r="P30" s="40" t="n">
        <v>-0.6869549983864475</v>
      </c>
      <c r="Q30" s="40" t="n">
        <v>-0.2211181145263123</v>
      </c>
      <c r="R30" s="40" t="n">
        <v>-0.5662091881779201</v>
      </c>
      <c r="S30" s="40" t="n">
        <v>-0.3216410006553676</v>
      </c>
      <c r="T30" s="40" t="n">
        <v>-0.6561490077243591</v>
      </c>
      <c r="U30" s="40" t="n">
        <v>-3.428449076535602</v>
      </c>
      <c r="V30" s="40" t="n">
        <v>-0.5604708463523557</v>
      </c>
      <c r="W30" s="40" t="n">
        <v>-0.5774638540765136</v>
      </c>
      <c r="X30" s="40" t="n">
        <v>-0.6424389042477896</v>
      </c>
      <c r="Y30" s="40" t="n">
        <v>-0.4658999453267824</v>
      </c>
      <c r="Z30" s="40" t="n">
        <v>-0.2456729821177566</v>
      </c>
      <c r="AA30" s="40" t="n">
        <v>-1.299575304101908</v>
      </c>
      <c r="AB30" s="40" t="n">
        <v>-0.4418228160910948</v>
      </c>
      <c r="AC30" s="40" t="n">
        <v>-0.9718584181224681</v>
      </c>
      <c r="AD30" s="40" t="n">
        <v>-0.6796584877366507</v>
      </c>
      <c r="AE30" s="40" t="n">
        <v>-1.494946093577106</v>
      </c>
      <c r="AF30" s="40" t="n">
        <v>-0.5535337411672365</v>
      </c>
      <c r="AG30" s="40" t="n">
        <v>-0.3991977472094518</v>
      </c>
      <c r="AH30" s="40" t="n">
        <v>-0.9808122859041417</v>
      </c>
      <c r="AI30" s="40" t="n">
        <v>0.2610318644110424</v>
      </c>
      <c r="AJ30" s="40" t="n">
        <v>0.2889251906239604</v>
      </c>
      <c r="AK30" s="40" t="n">
        <v>0.2742244832413537</v>
      </c>
      <c r="AL30" s="40" t="n">
        <v>0.2451706480357042</v>
      </c>
      <c r="AM30" s="40" t="n">
        <v>-1.157354297238193</v>
      </c>
      <c r="AN30" s="40" t="n">
        <v>-0.8933757196841026</v>
      </c>
      <c r="AO30" s="40" t="n">
        <v>-0.7605896169246444</v>
      </c>
      <c r="AP30" s="40" t="n">
        <v>-0.9012649123348008</v>
      </c>
      <c r="AQ30" s="40" t="n">
        <v>-0.8859094916646747</v>
      </c>
      <c r="AR30" s="40" t="n">
        <v>0.3345472436041112</v>
      </c>
      <c r="AS30" s="40" t="n">
        <v>0.6097162970422613</v>
      </c>
      <c r="AT30" s="40" t="n">
        <v>0.1850526111481958</v>
      </c>
      <c r="AU30" s="141" t="n">
        <v>0.4003044649705269</v>
      </c>
      <c r="AV30" s="141" t="n">
        <v>0.3512263074084395</v>
      </c>
      <c r="AW30" s="141" t="n">
        <v>-0.1585201092732086</v>
      </c>
      <c r="AX30" s="141" t="n">
        <v>-0.9212561991509071</v>
      </c>
      <c r="AY30" s="141" t="n">
        <v>-0.3626183412178467</v>
      </c>
      <c r="AZ30" s="141" t="n">
        <v>-0.8478503830193768</v>
      </c>
      <c r="BA30" s="141" t="n">
        <v>-0.5636171243421382</v>
      </c>
      <c r="BB30" s="141" t="n">
        <v>0.3696754618031198</v>
      </c>
      <c r="BC30" s="141" t="n">
        <v>-1.688943895162044</v>
      </c>
      <c r="BD30" s="141" t="n">
        <v>-0.8604025460836435</v>
      </c>
      <c r="BE30" s="141" t="n">
        <v>-1.555351332184039</v>
      </c>
      <c r="BF30" s="141" t="n">
        <v>-1.18734155813531</v>
      </c>
      <c r="BG30" s="141" t="n">
        <v>0.1189273689523567</v>
      </c>
      <c r="BH30" s="141" t="n">
        <v>-0.479642485594195</v>
      </c>
      <c r="BI30" s="141" t="n">
        <v>0.2592178397776295</v>
      </c>
      <c r="BJ30" s="141" t="n">
        <v>-0.6259331158715238</v>
      </c>
      <c r="BK30" s="141" t="n">
        <v>-0.2261593332814022</v>
      </c>
      <c r="BL30" s="141" t="n">
        <v>0.05921519770212597</v>
      </c>
      <c r="BM30" s="141" t="n">
        <v>-1.682947539211691</v>
      </c>
      <c r="BN30" s="141" t="n">
        <v>-0.8171158588018285</v>
      </c>
      <c r="BO30" s="141" t="n">
        <v>-1.443525608763793</v>
      </c>
      <c r="BP30" s="141" t="n">
        <v>-1.32088754886115</v>
      </c>
      <c r="BQ30" s="141" t="n">
        <v>0.2928719919787238</v>
      </c>
      <c r="BR30" s="141" t="n">
        <v>0.1167418773761711</v>
      </c>
      <c r="BS30" s="141" t="n">
        <v>0.03894954729944389</v>
      </c>
      <c r="BT30" s="141" t="n">
        <v>0.1526596646053426</v>
      </c>
      <c r="BU30" s="141" t="n">
        <v>0.2118943156373443</v>
      </c>
      <c r="BV30" s="40" t="n">
        <v>-0.5748316091078296</v>
      </c>
      <c r="BW30" s="40" t="n">
        <v>-0.6483293483782943</v>
      </c>
      <c r="BX30" s="40" t="n">
        <v>-0.4062034008305288</v>
      </c>
      <c r="BY30" s="40" t="n">
        <v>-0.5352780026104437</v>
      </c>
      <c r="BZ30" s="40" t="n">
        <v>-0.8714995518170292</v>
      </c>
      <c r="CA30" s="40" t="n">
        <v>-0.008963738690153988</v>
      </c>
      <c r="CB30" s="40" t="n">
        <v>0.622152538087007</v>
      </c>
      <c r="CC30" s="40" t="n">
        <v>0.1970708366685289</v>
      </c>
      <c r="CD30" s="40" t="n">
        <v>0.4670208739143772</v>
      </c>
      <c r="CE30" s="40" t="n">
        <v>0.1995740688008869</v>
      </c>
      <c r="CG30" s="3" t="n">
        <v>-1</v>
      </c>
    </row>
    <row r="31">
      <c r="A31" s="251" t="n">
        <v>41000</v>
      </c>
      <c r="B31" s="3" t="n">
        <v>0</v>
      </c>
      <c r="C31" s="40" t="n">
        <v>1.201520941246275</v>
      </c>
      <c r="D31" s="40" t="n">
        <v>-0.1491730234003133</v>
      </c>
      <c r="E31" s="40" t="n">
        <v>-0.2146201347723986</v>
      </c>
      <c r="F31" s="40" t="n">
        <v>-0.4175568434699171</v>
      </c>
      <c r="G31" s="40" t="n">
        <v>-0.05992683471630936</v>
      </c>
      <c r="H31" s="40" t="n">
        <v>-0.2022444427498735</v>
      </c>
      <c r="I31" s="40" t="n">
        <v>-0.868732890732131</v>
      </c>
      <c r="J31" s="40" t="n">
        <v>-0.3422171953435836</v>
      </c>
      <c r="K31" s="40" t="n">
        <v>-0.7376219311919835</v>
      </c>
      <c r="L31" s="40" t="n">
        <v>-0.5453561010820939</v>
      </c>
      <c r="M31" s="40" t="n">
        <v>-0.9390886837785508</v>
      </c>
      <c r="N31" s="40" t="n">
        <v>-0.6609988226833072</v>
      </c>
      <c r="O31" s="40" t="n">
        <v>-0.4314742489360985</v>
      </c>
      <c r="P31" s="40" t="n">
        <v>-0.8842832499491379</v>
      </c>
      <c r="Q31" s="40" t="n">
        <v>-0.202536760364437</v>
      </c>
      <c r="R31" s="40" t="n">
        <v>-0.5727930159474305</v>
      </c>
      <c r="S31" s="40" t="n">
        <v>-0.3982774845660331</v>
      </c>
      <c r="T31" s="40" t="n">
        <v>-0.7369000304265558</v>
      </c>
      <c r="U31" s="40" t="n">
        <v>-3.761437525871442</v>
      </c>
      <c r="V31" s="40" t="n">
        <v>-0.8862222118808607</v>
      </c>
      <c r="W31" s="40" t="n">
        <v>-0.8307396001685917</v>
      </c>
      <c r="X31" s="40" t="n">
        <v>-0.964318758478069</v>
      </c>
      <c r="Y31" s="40" t="n">
        <v>-0.8180215173834032</v>
      </c>
      <c r="Z31" s="40" t="n">
        <v>-0.5977395210744099</v>
      </c>
      <c r="AA31" s="40" t="n">
        <v>-1.577959818938835</v>
      </c>
      <c r="AB31" s="40" t="n">
        <v>-0.7464050642538212</v>
      </c>
      <c r="AC31" s="40" t="n">
        <v>-1.278471041153207</v>
      </c>
      <c r="AD31" s="40" t="n">
        <v>-0.9761378070222068</v>
      </c>
      <c r="AE31" s="40" t="n">
        <v>-1.269543995696915</v>
      </c>
      <c r="AF31" s="40" t="n">
        <v>-0.6410034267437523</v>
      </c>
      <c r="AG31" s="40" t="n">
        <v>-0.4257021601159736</v>
      </c>
      <c r="AH31" s="40" t="n">
        <v>-0.8905710428768188</v>
      </c>
      <c r="AI31" s="40" t="n">
        <v>0.3899379544892327</v>
      </c>
      <c r="AJ31" s="40" t="n">
        <v>0.4143955157312287</v>
      </c>
      <c r="AK31" s="40" t="n">
        <v>0.3502382850027925</v>
      </c>
      <c r="AL31" s="40" t="n">
        <v>0.3470687888832806</v>
      </c>
      <c r="AM31" s="40" t="n">
        <v>-0.8578222634472839</v>
      </c>
      <c r="AN31" s="40" t="n">
        <v>-0.2584287793184508</v>
      </c>
      <c r="AO31" s="40" t="n">
        <v>-0.5407418447632621</v>
      </c>
      <c r="AP31" s="40" t="n">
        <v>-0.4646750550216861</v>
      </c>
      <c r="AQ31" s="40" t="n">
        <v>-0.5511261801183647</v>
      </c>
      <c r="AR31" s="40" t="n">
        <v>0.2067961035959408</v>
      </c>
      <c r="AS31" s="40" t="n">
        <v>0.1683442721312078</v>
      </c>
      <c r="AT31" s="40" t="n">
        <v>0.09771698865603208</v>
      </c>
      <c r="AU31" s="141" t="n">
        <v>0.1418381220856776</v>
      </c>
      <c r="AV31" s="141" t="n">
        <v>0.1300522562089347</v>
      </c>
      <c r="AW31" s="141" t="n">
        <v>-0.6472781646801427</v>
      </c>
      <c r="AX31" s="141" t="n">
        <v>-1.478908194628073</v>
      </c>
      <c r="AY31" s="141" t="n">
        <v>-0.6960925924520914</v>
      </c>
      <c r="AZ31" s="141" t="n">
        <v>-1.231101861623831</v>
      </c>
      <c r="BA31" s="141" t="n">
        <v>-0.9227668446602459</v>
      </c>
      <c r="BB31" s="141" t="n">
        <v>0.2954509042110205</v>
      </c>
      <c r="BC31" s="141" t="n">
        <v>-1.835438765794718</v>
      </c>
      <c r="BD31" s="141" t="n">
        <v>-1.10731884814475</v>
      </c>
      <c r="BE31" s="141" t="n">
        <v>-1.497327341914753</v>
      </c>
      <c r="BF31" s="141" t="n">
        <v>-1.218691691430364</v>
      </c>
      <c r="BG31" s="141" t="n">
        <v>-0.04235660623071568</v>
      </c>
      <c r="BH31" s="141" t="n">
        <v>-1.271195672386405</v>
      </c>
      <c r="BI31" s="141" t="n">
        <v>-0.003668845351013993</v>
      </c>
      <c r="BJ31" s="141" t="n">
        <v>-0.8727971332490558</v>
      </c>
      <c r="BK31" s="141" t="n">
        <v>-0.477715141915357</v>
      </c>
      <c r="BL31" s="141" t="n">
        <v>-0.1994872950272108</v>
      </c>
      <c r="BM31" s="141" t="n">
        <v>-1.680602238811911</v>
      </c>
      <c r="BN31" s="141" t="n">
        <v>-1.122509010017552</v>
      </c>
      <c r="BO31" s="141" t="n">
        <v>-1.688388863142299</v>
      </c>
      <c r="BP31" s="141" t="n">
        <v>-1.590387706757286</v>
      </c>
      <c r="BQ31" s="141" t="n">
        <v>0.2285885945090705</v>
      </c>
      <c r="BR31" s="141" t="n">
        <v>0.06664920313172951</v>
      </c>
      <c r="BS31" s="141" t="n">
        <v>0.05472150482680872</v>
      </c>
      <c r="BT31" s="141" t="n">
        <v>0.04482550967675841</v>
      </c>
      <c r="BU31" s="141" t="n">
        <v>0.0791746723098532</v>
      </c>
      <c r="BV31" s="40" t="n">
        <v>-0.5753800130048117</v>
      </c>
      <c r="BW31" s="40" t="n">
        <v>-0.6777511290838282</v>
      </c>
      <c r="BX31" s="40" t="n">
        <v>-0.181497182094815</v>
      </c>
      <c r="BY31" s="40" t="n">
        <v>-0.4687152573529607</v>
      </c>
      <c r="BZ31" s="40" t="n">
        <v>-0.7329823998004142</v>
      </c>
      <c r="CA31" s="40" t="n">
        <v>-0.03942062773605909</v>
      </c>
      <c r="CB31" s="40" t="n">
        <v>0.5344970500708569</v>
      </c>
      <c r="CC31" s="40" t="n">
        <v>0.2040725245648529</v>
      </c>
      <c r="CD31" s="40" t="n">
        <v>0.3858542862014911</v>
      </c>
      <c r="CE31" s="40" t="n">
        <v>0.2009822183544616</v>
      </c>
      <c r="CG31" s="3" t="n">
        <v>-1</v>
      </c>
    </row>
    <row r="32">
      <c r="A32" s="251" t="n">
        <v>41091</v>
      </c>
      <c r="B32" s="3" t="n">
        <v>0</v>
      </c>
      <c r="C32" s="40" t="n">
        <v>0.7265608356198678</v>
      </c>
      <c r="D32" s="40" t="n">
        <v>-0.8492599575046086</v>
      </c>
      <c r="E32" s="40" t="n">
        <v>-0.5844462924482298</v>
      </c>
      <c r="F32" s="40" t="n">
        <v>-0.9167964180709802</v>
      </c>
      <c r="G32" s="40" t="n">
        <v>-0.5970081608815526</v>
      </c>
      <c r="H32" s="40" t="n">
        <v>-0.3445601239452104</v>
      </c>
      <c r="I32" s="40" t="n">
        <v>-1.014883374096192</v>
      </c>
      <c r="J32" s="40" t="n">
        <v>-0.4808986463599907</v>
      </c>
      <c r="K32" s="40" t="n">
        <v>-0.8665785575295437</v>
      </c>
      <c r="L32" s="40" t="n">
        <v>-0.6768642673583288</v>
      </c>
      <c r="M32" s="40" t="n">
        <v>-0.3366529604196635</v>
      </c>
      <c r="N32" s="40" t="n">
        <v>-0.3762967284016512</v>
      </c>
      <c r="O32" s="40" t="n">
        <v>-0.2689567723673962</v>
      </c>
      <c r="P32" s="40" t="n">
        <v>-0.6843585740237805</v>
      </c>
      <c r="Q32" s="40" t="n">
        <v>-0.06317660415037502</v>
      </c>
      <c r="R32" s="40" t="n">
        <v>-0.1695335650649007</v>
      </c>
      <c r="S32" s="40" t="n">
        <v>-0.1184382024073916</v>
      </c>
      <c r="T32" s="40" t="n">
        <v>-0.3956800112407627</v>
      </c>
      <c r="U32" s="40" t="n">
        <v>-3.977670809972949</v>
      </c>
      <c r="V32" s="40" t="n">
        <v>-1.136398222807311</v>
      </c>
      <c r="W32" s="40" t="n">
        <v>-0.9195825248287712</v>
      </c>
      <c r="X32" s="40" t="n">
        <v>-1.078095529280327</v>
      </c>
      <c r="Y32" s="40" t="n">
        <v>-0.9960114500991724</v>
      </c>
      <c r="Z32" s="40" t="n">
        <v>-0.6910582483744003</v>
      </c>
      <c r="AA32" s="40" t="n">
        <v>-1.420097482201035</v>
      </c>
      <c r="AB32" s="40" t="n">
        <v>-0.899402233356436</v>
      </c>
      <c r="AC32" s="40" t="n">
        <v>-1.230292433337127</v>
      </c>
      <c r="AD32" s="40" t="n">
        <v>-0.998532639029987</v>
      </c>
      <c r="AE32" s="40" t="n">
        <v>-0.7357007612614285</v>
      </c>
      <c r="AF32" s="40" t="n">
        <v>-0.7223712576452671</v>
      </c>
      <c r="AG32" s="40" t="n">
        <v>-0.3980181602528565</v>
      </c>
      <c r="AH32" s="40" t="n">
        <v>-0.8521062313260994</v>
      </c>
      <c r="AI32" s="40" t="n">
        <v>0.1068891339559459</v>
      </c>
      <c r="AJ32" s="40" t="n">
        <v>0.3663001590155948</v>
      </c>
      <c r="AK32" s="40" t="n">
        <v>0.3276356728634047</v>
      </c>
      <c r="AL32" s="40" t="n">
        <v>0.3678710196500289</v>
      </c>
      <c r="AM32" s="40" t="n">
        <v>-0.7592168355521209</v>
      </c>
      <c r="AN32" s="40" t="n">
        <v>-0.01115758172012424</v>
      </c>
      <c r="AO32" s="40" t="n">
        <v>-0.6199843229561114</v>
      </c>
      <c r="AP32" s="40" t="n">
        <v>-0.2660909155139888</v>
      </c>
      <c r="AQ32" s="40" t="n">
        <v>-0.3893462436871876</v>
      </c>
      <c r="AR32" s="40" t="n">
        <v>0.1059303435369095</v>
      </c>
      <c r="AS32" s="40" t="n">
        <v>0.09359304056625946</v>
      </c>
      <c r="AT32" s="40" t="n">
        <v>0.05045065337960584</v>
      </c>
      <c r="AU32" s="141" t="n">
        <v>-0.05248923877001984</v>
      </c>
      <c r="AV32" s="141" t="n">
        <v>-0.03855837362284583</v>
      </c>
      <c r="AW32" s="141" t="n">
        <v>-0.7876700779321043</v>
      </c>
      <c r="AX32" s="141" t="n">
        <v>-1.472160256411771</v>
      </c>
      <c r="AY32" s="141" t="n">
        <v>-0.8488876369115748</v>
      </c>
      <c r="AZ32" s="141" t="n">
        <v>-1.22056768749181</v>
      </c>
      <c r="BA32" s="141" t="n">
        <v>-0.9782518339956774</v>
      </c>
      <c r="BB32" s="141" t="n">
        <v>0.2364695495604569</v>
      </c>
      <c r="BC32" s="141" t="n">
        <v>-1.529321414071313</v>
      </c>
      <c r="BD32" s="141" t="n">
        <v>-1.191419547431784</v>
      </c>
      <c r="BE32" s="141" t="n">
        <v>-1.366278515323779</v>
      </c>
      <c r="BF32" s="141" t="n">
        <v>-1.214688615938443</v>
      </c>
      <c r="BG32" s="141" t="n">
        <v>-0.004203050006022007</v>
      </c>
      <c r="BH32" s="141" t="n">
        <v>-1.851551365019924</v>
      </c>
      <c r="BI32" s="141" t="n">
        <v>-0.210332780409161</v>
      </c>
      <c r="BJ32" s="141" t="n">
        <v>-0.825110371127304</v>
      </c>
      <c r="BK32" s="141" t="n">
        <v>-0.4661986550859988</v>
      </c>
      <c r="BL32" s="141" t="n">
        <v>-0.04145466513397232</v>
      </c>
      <c r="BM32" s="141" t="n">
        <v>-1.074089278938735</v>
      </c>
      <c r="BN32" s="141" t="n">
        <v>-1.150941880097631</v>
      </c>
      <c r="BO32" s="141" t="n">
        <v>-1.242674415112167</v>
      </c>
      <c r="BP32" s="141" t="n">
        <v>-1.221696243534891</v>
      </c>
      <c r="BQ32" s="141" t="n">
        <v>0.1260517809165305</v>
      </c>
      <c r="BR32" s="141" t="n">
        <v>-0.05769120809118704</v>
      </c>
      <c r="BS32" s="141" t="n">
        <v>-0.03087006050870654</v>
      </c>
      <c r="BT32" s="141" t="n">
        <v>-0.1256581941931634</v>
      </c>
      <c r="BU32" s="141" t="n">
        <v>-0.08483607442456792</v>
      </c>
      <c r="BV32" s="40" t="n">
        <v>-0.06127094660867136</v>
      </c>
      <c r="BW32" s="40" t="n">
        <v>0.1299022256229654</v>
      </c>
      <c r="BX32" s="40" t="n">
        <v>0.2197040525468365</v>
      </c>
      <c r="BY32" s="40" t="n">
        <v>0.2474848070776363</v>
      </c>
      <c r="BZ32" s="40" t="n">
        <v>0.07130954512223275</v>
      </c>
      <c r="CA32" s="40" t="n">
        <v>-0.06159096716129712</v>
      </c>
      <c r="CB32" s="40" t="n">
        <v>0.4449558864967975</v>
      </c>
      <c r="CC32" s="40" t="n">
        <v>0.2130303839282346</v>
      </c>
      <c r="CD32" s="40" t="n">
        <v>0.3142416267501696</v>
      </c>
      <c r="CE32" s="40" t="n">
        <v>0.2043806283122337</v>
      </c>
      <c r="CG32" s="3" t="n">
        <v>-1</v>
      </c>
    </row>
    <row r="33">
      <c r="A33" s="251" t="n">
        <v>41183</v>
      </c>
      <c r="B33" s="3" t="n">
        <v>0</v>
      </c>
      <c r="C33" s="40" t="n">
        <v>0.6215498167460002</v>
      </c>
      <c r="D33" s="40" t="n">
        <v>-1.01497988089557</v>
      </c>
      <c r="E33" s="40" t="n">
        <v>-0.8525795033138455</v>
      </c>
      <c r="F33" s="40" t="n">
        <v>-0.9167427765031613</v>
      </c>
      <c r="G33" s="40" t="n">
        <v>-0.7202317282348603</v>
      </c>
      <c r="H33" s="40" t="n">
        <v>-0.3573423574861593</v>
      </c>
      <c r="I33" s="40" t="n">
        <v>-1.019388509491138</v>
      </c>
      <c r="J33" s="40" t="n">
        <v>-0.5668564357488267</v>
      </c>
      <c r="K33" s="40" t="n">
        <v>-0.786507705125212</v>
      </c>
      <c r="L33" s="40" t="n">
        <v>-0.6415694642592075</v>
      </c>
      <c r="M33" s="40" t="n">
        <v>-0.205186177573089</v>
      </c>
      <c r="N33" s="40" t="n">
        <v>-0.6825432933789035</v>
      </c>
      <c r="O33" s="40" t="n">
        <v>-0.4505459382651392</v>
      </c>
      <c r="P33" s="40" t="n">
        <v>-0.5337659609890953</v>
      </c>
      <c r="Q33" s="40" t="n">
        <v>-0.02043948957806236</v>
      </c>
      <c r="R33" s="40" t="n">
        <v>-0.1185088998511924</v>
      </c>
      <c r="S33" s="40" t="n">
        <v>0.04615606417346877</v>
      </c>
      <c r="T33" s="40" t="n">
        <v>-0.1380279108979402</v>
      </c>
      <c r="U33" s="40" t="n">
        <v>-4.070099370865366</v>
      </c>
      <c r="V33" s="40" t="n">
        <v>-1.152402426337421</v>
      </c>
      <c r="W33" s="40" t="n">
        <v>-0.9125671971477496</v>
      </c>
      <c r="X33" s="40" t="n">
        <v>-1.008763201233499</v>
      </c>
      <c r="Y33" s="40" t="n">
        <v>-1.00450739556729</v>
      </c>
      <c r="Z33" s="40" t="n">
        <v>-0.6348665916582116</v>
      </c>
      <c r="AA33" s="40" t="n">
        <v>-0.8236946656281507</v>
      </c>
      <c r="AB33" s="40" t="n">
        <v>-0.9972171797503854</v>
      </c>
      <c r="AC33" s="40" t="n">
        <v>-0.9818380471275817</v>
      </c>
      <c r="AD33" s="40" t="n">
        <v>-0.8733178191078639</v>
      </c>
      <c r="AE33" s="40" t="n">
        <v>0.003049611722660195</v>
      </c>
      <c r="AF33" s="40" t="n">
        <v>-0.7743734339698037</v>
      </c>
      <c r="AG33" s="40" t="n">
        <v>-0.353193002599929</v>
      </c>
      <c r="AH33" s="40" t="n">
        <v>-0.5193831565272081</v>
      </c>
      <c r="AI33" s="40" t="n">
        <v>0.6075083683564664</v>
      </c>
      <c r="AJ33" s="40" t="n">
        <v>0.6119205897099966</v>
      </c>
      <c r="AK33" s="40" t="n">
        <v>0.7399081557322055</v>
      </c>
      <c r="AL33" s="40" t="n">
        <v>0.762610573649427</v>
      </c>
      <c r="AM33" s="40" t="n">
        <v>-0.3278399813733765</v>
      </c>
      <c r="AN33" s="40" t="n">
        <v>0.5562735117421098</v>
      </c>
      <c r="AO33" s="40" t="n">
        <v>-0.3736103044844888</v>
      </c>
      <c r="AP33" s="40" t="n">
        <v>0.2728524610657011</v>
      </c>
      <c r="AQ33" s="40" t="n">
        <v>0.08008874128512834</v>
      </c>
      <c r="AR33" s="40" t="n">
        <v>-0.01927894091642538</v>
      </c>
      <c r="AS33" s="40" t="n">
        <v>-0.6465470348374168</v>
      </c>
      <c r="AT33" s="40" t="n">
        <v>-0.01955788442443876</v>
      </c>
      <c r="AU33" s="141" t="n">
        <v>-0.2794497554246264</v>
      </c>
      <c r="AV33" s="141" t="n">
        <v>-0.2199228168681895</v>
      </c>
      <c r="AW33" s="141" t="n">
        <v>-0.7366075598760095</v>
      </c>
      <c r="AX33" s="141" t="n">
        <v>-1.137994910576557</v>
      </c>
      <c r="AY33" s="141" t="n">
        <v>-0.9059923550348312</v>
      </c>
      <c r="AZ33" s="141" t="n">
        <v>-0.999827524661048</v>
      </c>
      <c r="BA33" s="141" t="n">
        <v>-0.8699827960752645</v>
      </c>
      <c r="BB33" s="141" t="n">
        <v>0.2413295407869999</v>
      </c>
      <c r="BC33" s="141" t="n">
        <v>-0.9280696601932116</v>
      </c>
      <c r="BD33" s="141" t="n">
        <v>-1.146981291585996</v>
      </c>
      <c r="BE33" s="141" t="n">
        <v>-1.119883712750972</v>
      </c>
      <c r="BF33" s="141" t="n">
        <v>-1.102417332865236</v>
      </c>
      <c r="BG33" s="141" t="n">
        <v>0.102840418741997</v>
      </c>
      <c r="BH33" s="141" t="n">
        <v>-0.7947989346556952</v>
      </c>
      <c r="BI33" s="141" t="n">
        <v>-0.2440490501155884</v>
      </c>
      <c r="BJ33" s="141" t="n">
        <v>-0.6541533493019812</v>
      </c>
      <c r="BK33" s="141" t="n">
        <v>-0.3637111614619781</v>
      </c>
      <c r="BL33" s="141" t="n">
        <v>0.05345614611192328</v>
      </c>
      <c r="BM33" s="141" t="n">
        <v>-0.6142245817852712</v>
      </c>
      <c r="BN33" s="141" t="n">
        <v>-1.207037934955995</v>
      </c>
      <c r="BO33" s="141" t="n">
        <v>-0.8879206661829078</v>
      </c>
      <c r="BP33" s="141" t="n">
        <v>-0.9666788518797418</v>
      </c>
      <c r="BQ33" s="141" t="n">
        <v>-0.04390810707901475</v>
      </c>
      <c r="BR33" s="141" t="n">
        <v>-0.3821929937081962</v>
      </c>
      <c r="BS33" s="141" t="n">
        <v>-0.2292067509849221</v>
      </c>
      <c r="BT33" s="141" t="n">
        <v>-0.3832945602402679</v>
      </c>
      <c r="BU33" s="141" t="n">
        <v>-0.3059792000908584</v>
      </c>
      <c r="BV33" s="40" t="n">
        <v>-0.08515913740698636</v>
      </c>
      <c r="BW33" s="40" t="n">
        <v>0.4886112732573314</v>
      </c>
      <c r="BX33" s="40" t="n">
        <v>-0.174909609461436</v>
      </c>
      <c r="BY33" s="40" t="n">
        <v>0.1792057457675266</v>
      </c>
      <c r="BZ33" s="40" t="n">
        <v>0.1237392067356377</v>
      </c>
      <c r="CA33" s="40" t="n">
        <v>-0.2392256908240985</v>
      </c>
      <c r="CB33" s="40" t="n">
        <v>-0.06182485010949838</v>
      </c>
      <c r="CC33" s="40" t="n">
        <v>0.1163818981937817</v>
      </c>
      <c r="CD33" s="40" t="n">
        <v>0.03438520697716982</v>
      </c>
      <c r="CE33" s="40" t="n">
        <v>0.01638188910321187</v>
      </c>
      <c r="CG33" s="3" t="n">
        <v>-1</v>
      </c>
    </row>
    <row r="34">
      <c r="A34" s="251" t="n">
        <v>41275</v>
      </c>
      <c r="B34" s="3" t="n">
        <v>0</v>
      </c>
      <c r="C34" s="40" t="n">
        <v>0.6522534405154958</v>
      </c>
      <c r="D34" s="40" t="n">
        <v>-0.7561259545621286</v>
      </c>
      <c r="E34" s="40" t="n">
        <v>-0.7106696497651047</v>
      </c>
      <c r="F34" s="40" t="n">
        <v>-0.7062839331300965</v>
      </c>
      <c r="G34" s="40" t="n">
        <v>-0.6743709086601621</v>
      </c>
      <c r="H34" s="40" t="n">
        <v>-0.3643318751595284</v>
      </c>
      <c r="I34" s="40" t="n">
        <v>-0.7747316901722847</v>
      </c>
      <c r="J34" s="40" t="n">
        <v>-0.5923647885420043</v>
      </c>
      <c r="K34" s="40" t="n">
        <v>-0.6808508175072628</v>
      </c>
      <c r="L34" s="40" t="n">
        <v>-0.592727494933921</v>
      </c>
      <c r="M34" s="40" t="n">
        <v>0.1110691056587103</v>
      </c>
      <c r="N34" s="40" t="n">
        <v>-0.2705511783419067</v>
      </c>
      <c r="O34" s="40" t="n">
        <v>-0.2379306192475657</v>
      </c>
      <c r="P34" s="40" t="n">
        <v>0.1932328605576596</v>
      </c>
      <c r="Q34" s="40" t="n">
        <v>0.6299079060875616</v>
      </c>
      <c r="R34" s="40" t="n">
        <v>0.3621105273230884</v>
      </c>
      <c r="S34" s="40" t="n">
        <v>0.7173058778153557</v>
      </c>
      <c r="T34" s="40" t="n">
        <v>0.5588721943296204</v>
      </c>
      <c r="U34" s="40" t="n">
        <v>-4.057652733596166</v>
      </c>
      <c r="V34" s="40" t="n">
        <v>-0.8279899501231383</v>
      </c>
      <c r="W34" s="40" t="n">
        <v>-0.8387761662377996</v>
      </c>
      <c r="X34" s="40" t="n">
        <v>-0.8015125377436625</v>
      </c>
      <c r="Y34" s="40" t="n">
        <v>-0.8795551265996374</v>
      </c>
      <c r="Z34" s="40" t="n">
        <v>-0.5399376586422283</v>
      </c>
      <c r="AA34" s="40" t="n">
        <v>-0.3163888374363386</v>
      </c>
      <c r="AB34" s="40" t="n">
        <v>-1.031154188327002</v>
      </c>
      <c r="AC34" s="40" t="n">
        <v>-0.669526619602634</v>
      </c>
      <c r="AD34" s="40" t="n">
        <v>-0.7127794917115559</v>
      </c>
      <c r="AE34" s="40" t="n">
        <v>0.1911865265707471</v>
      </c>
      <c r="AF34" s="40" t="n">
        <v>-0.8290086875018881</v>
      </c>
      <c r="AG34" s="40" t="n">
        <v>-0.3252260897929797</v>
      </c>
      <c r="AH34" s="40" t="n">
        <v>-0.4020039620345885</v>
      </c>
      <c r="AI34" s="40" t="n">
        <v>0.7049134796918626</v>
      </c>
      <c r="AJ34" s="40" t="n">
        <v>0.7596240499054732</v>
      </c>
      <c r="AK34" s="40" t="n">
        <v>0.7941908619436769</v>
      </c>
      <c r="AL34" s="40" t="n">
        <v>0.8352019678402347</v>
      </c>
      <c r="AM34" s="40" t="n">
        <v>-0.2643718487058185</v>
      </c>
      <c r="AN34" s="40" t="n">
        <v>0.7018892929799572</v>
      </c>
      <c r="AO34" s="40" t="n">
        <v>-0.1576004088095574</v>
      </c>
      <c r="AP34" s="40" t="n">
        <v>0.4055014760067261</v>
      </c>
      <c r="AQ34" s="40" t="n">
        <v>0.1397133057741565</v>
      </c>
      <c r="AR34" s="40" t="n">
        <v>-0.06241562159252245</v>
      </c>
      <c r="AS34" s="40" t="n">
        <v>-0.6508670883673174</v>
      </c>
      <c r="AT34" s="40" t="n">
        <v>-0.02697615371615605</v>
      </c>
      <c r="AU34" s="141" t="n">
        <v>-0.3502030877472671</v>
      </c>
      <c r="AV34" s="141" t="n">
        <v>-0.2581500608129615</v>
      </c>
      <c r="AW34" s="141" t="n">
        <v>-0.6047933137275066</v>
      </c>
      <c r="AX34" s="141" t="n">
        <v>-0.3895423171659056</v>
      </c>
      <c r="AY34" s="141" t="n">
        <v>-0.8615957497734066</v>
      </c>
      <c r="AZ34" s="141" t="n">
        <v>-0.6919225418377752</v>
      </c>
      <c r="BA34" s="141" t="n">
        <v>-0.6993302325592737</v>
      </c>
      <c r="BB34" s="141" t="n">
        <v>0.3020741092251099</v>
      </c>
      <c r="BC34" s="141" t="n">
        <v>-0.09492855067489601</v>
      </c>
      <c r="BD34" s="141" t="n">
        <v>-1.221636886602536</v>
      </c>
      <c r="BE34" s="141" t="n">
        <v>-0.7961911641190519</v>
      </c>
      <c r="BF34" s="141" t="n">
        <v>-0.9216018952857358</v>
      </c>
      <c r="BG34" s="141" t="n">
        <v>0.1146045622424235</v>
      </c>
      <c r="BH34" s="141" t="n">
        <v>-0.004295034871619368</v>
      </c>
      <c r="BI34" s="141" t="n">
        <v>-0.4037047621754113</v>
      </c>
      <c r="BJ34" s="141" t="n">
        <v>-0.5943157701453639</v>
      </c>
      <c r="BK34" s="141" t="n">
        <v>-0.3784327181858968</v>
      </c>
      <c r="BL34" s="141" t="n">
        <v>0.4143628143378943</v>
      </c>
      <c r="BM34" s="141" t="n">
        <v>0.4282246703306857</v>
      </c>
      <c r="BN34" s="141" t="n">
        <v>-1.085041369239607</v>
      </c>
      <c r="BO34" s="141" t="n">
        <v>-0.1177339011033391</v>
      </c>
      <c r="BP34" s="141" t="n">
        <v>-0.3465186667183999</v>
      </c>
      <c r="BQ34" s="141" t="n">
        <v>-0.146966455434421</v>
      </c>
      <c r="BR34" s="141" t="n">
        <v>-0.6500770014941974</v>
      </c>
      <c r="BS34" s="141" t="n">
        <v>-0.3413795284441583</v>
      </c>
      <c r="BT34" s="141" t="n">
        <v>-0.4963216142650937</v>
      </c>
      <c r="BU34" s="141" t="n">
        <v>-0.405190324735229</v>
      </c>
      <c r="BV34" s="40" t="n">
        <v>0.06149859101966415</v>
      </c>
      <c r="BW34" s="40" t="n">
        <v>0.677975489019611</v>
      </c>
      <c r="BX34" s="40" t="n">
        <v>0.02801961126710352</v>
      </c>
      <c r="BY34" s="40" t="n">
        <v>0.4039125189705544</v>
      </c>
      <c r="BZ34" s="40" t="n">
        <v>0.3608451885915753</v>
      </c>
      <c r="CA34" s="40" t="n">
        <v>-0.3351962616753472</v>
      </c>
      <c r="CB34" s="40" t="n">
        <v>-0.3931633071892455</v>
      </c>
      <c r="CC34" s="40" t="n">
        <v>0.1525539804337404</v>
      </c>
      <c r="CD34" s="40" t="n">
        <v>-0.1170788437056227</v>
      </c>
      <c r="CE34" s="40" t="n">
        <v>-0.07587439983521252</v>
      </c>
      <c r="CG34" s="3" t="n">
        <v>-1</v>
      </c>
    </row>
    <row r="35">
      <c r="A35" s="251" t="n">
        <v>41365</v>
      </c>
      <c r="B35" s="3" t="n">
        <v>0</v>
      </c>
      <c r="C35" s="40" t="n">
        <v>0.6605210153282645</v>
      </c>
      <c r="D35" s="40" t="n">
        <v>-0.5486082580341716</v>
      </c>
      <c r="E35" s="40" t="n">
        <v>-0.4784979248607931</v>
      </c>
      <c r="F35" s="40" t="n">
        <v>-0.5506766371829139</v>
      </c>
      <c r="G35" s="40" t="n">
        <v>-0.6308813636714026</v>
      </c>
      <c r="H35" s="40" t="n">
        <v>-0.3797695238199038</v>
      </c>
      <c r="I35" s="40" t="n">
        <v>-0.2304159415814118</v>
      </c>
      <c r="J35" s="40" t="n">
        <v>-0.7256576486884651</v>
      </c>
      <c r="K35" s="40" t="n">
        <v>-0.5817916047163973</v>
      </c>
      <c r="L35" s="40" t="n">
        <v>-0.5508765474012495</v>
      </c>
      <c r="M35" s="40" t="n">
        <v>0.1961960696041847</v>
      </c>
      <c r="N35" s="40" t="n">
        <v>-0.4325135548716008</v>
      </c>
      <c r="O35" s="40" t="n">
        <v>-0.3720886036901106</v>
      </c>
      <c r="P35" s="40" t="n">
        <v>0.8501282243124055</v>
      </c>
      <c r="Q35" s="40" t="n">
        <v>1.241234458013248</v>
      </c>
      <c r="R35" s="40" t="n">
        <v>0.9200899307891199</v>
      </c>
      <c r="S35" s="40" t="n">
        <v>1.240988517871567</v>
      </c>
      <c r="T35" s="40" t="n">
        <v>1.129950938602596</v>
      </c>
      <c r="U35" s="40" t="n">
        <v>-4.067514132791606</v>
      </c>
      <c r="V35" s="40" t="n">
        <v>-0.4027763533378386</v>
      </c>
      <c r="W35" s="40" t="n">
        <v>-0.7786905309567721</v>
      </c>
      <c r="X35" s="40" t="n">
        <v>-0.6393312369006386</v>
      </c>
      <c r="Y35" s="40" t="n">
        <v>-0.7695603780943259</v>
      </c>
      <c r="Z35" s="40" t="n">
        <v>-0.428870464097688</v>
      </c>
      <c r="AA35" s="40" t="n">
        <v>0.1815654031155609</v>
      </c>
      <c r="AB35" s="40" t="n">
        <v>-0.8910457314120585</v>
      </c>
      <c r="AC35" s="40" t="n">
        <v>-0.3320134031214392</v>
      </c>
      <c r="AD35" s="40" t="n">
        <v>-0.5374141519738163</v>
      </c>
      <c r="AE35" s="40" t="n">
        <v>0.4141254244990176</v>
      </c>
      <c r="AF35" s="40" t="n">
        <v>-0.5439265374687375</v>
      </c>
      <c r="AG35" s="40" t="n">
        <v>-0.2843525819225219</v>
      </c>
      <c r="AH35" s="40" t="n">
        <v>-0.2754147749206075</v>
      </c>
      <c r="AI35" s="40" t="n">
        <v>0.7491805620559819</v>
      </c>
      <c r="AJ35" s="40" t="n">
        <v>0.8958082630068637</v>
      </c>
      <c r="AK35" s="40" t="n">
        <v>0.8339056976445975</v>
      </c>
      <c r="AL35" s="40" t="n">
        <v>0.9037433868067136</v>
      </c>
      <c r="AM35" s="40" t="n">
        <v>-0.2998330901963621</v>
      </c>
      <c r="AN35" s="40" t="n">
        <v>0.4385826697347023</v>
      </c>
      <c r="AO35" s="40" t="n">
        <v>0.1482733124583331</v>
      </c>
      <c r="AP35" s="40" t="n">
        <v>0.4006038334381259</v>
      </c>
      <c r="AQ35" s="40" t="n">
        <v>0.128720673449787</v>
      </c>
      <c r="AR35" s="40" t="n">
        <v>-0.1196772812972482</v>
      </c>
      <c r="AS35" s="40" t="n">
        <v>-0.5352913334842951</v>
      </c>
      <c r="AT35" s="40" t="n">
        <v>-0.2405499387499105</v>
      </c>
      <c r="AU35" s="141" t="n">
        <v>-0.443920183171955</v>
      </c>
      <c r="AV35" s="141" t="n">
        <v>-0.3123070347884576</v>
      </c>
      <c r="AW35" s="141" t="n">
        <v>-0.4842812385692327</v>
      </c>
      <c r="AX35" s="141" t="n">
        <v>0.1422765240091086</v>
      </c>
      <c r="AY35" s="141" t="n">
        <v>-0.8785760374933808</v>
      </c>
      <c r="AZ35" s="141" t="n">
        <v>-0.4036355025569612</v>
      </c>
      <c r="BA35" s="141" t="n">
        <v>-0.5375314299310628</v>
      </c>
      <c r="BB35" s="141" t="n">
        <v>0.4021699021779512</v>
      </c>
      <c r="BC35" s="141" t="n">
        <v>0.149859128850823</v>
      </c>
      <c r="BD35" s="141" t="n">
        <v>-1.154323709972813</v>
      </c>
      <c r="BE35" s="141" t="n">
        <v>-0.3968253129752229</v>
      </c>
      <c r="BF35" s="141" t="n">
        <v>-0.6881711164701408</v>
      </c>
      <c r="BG35" s="141" t="n">
        <v>0.0801224166277809</v>
      </c>
      <c r="BH35" s="141" t="n">
        <v>0.1216921573223067</v>
      </c>
      <c r="BI35" s="141" t="n">
        <v>-0.9589255297296845</v>
      </c>
      <c r="BJ35" s="141" t="n">
        <v>-0.5617895666819143</v>
      </c>
      <c r="BK35" s="141" t="n">
        <v>-0.4500562501694896</v>
      </c>
      <c r="BL35" s="141" t="n">
        <v>0.6259095632109477</v>
      </c>
      <c r="BM35" s="141" t="n">
        <v>0.9952348853111272</v>
      </c>
      <c r="BN35" s="141" t="n">
        <v>-0.59268221702042</v>
      </c>
      <c r="BO35" s="141" t="n">
        <v>0.4026560551464813</v>
      </c>
      <c r="BP35" s="141" t="n">
        <v>0.001510609530052416</v>
      </c>
      <c r="BQ35" s="141" t="n">
        <v>-0.2053646933573474</v>
      </c>
      <c r="BR35" s="141" t="n">
        <v>-0.6413787921995071</v>
      </c>
      <c r="BS35" s="141" t="n">
        <v>-0.3678754824620247</v>
      </c>
      <c r="BT35" s="141" t="n">
        <v>-0.5169656239112385</v>
      </c>
      <c r="BU35" s="141" t="n">
        <v>-0.4363874185802472</v>
      </c>
      <c r="BV35" s="40" t="n">
        <v>-0.004638263046329436</v>
      </c>
      <c r="BW35" s="40" t="n">
        <v>0.608094534809887</v>
      </c>
      <c r="BX35" s="40" t="n">
        <v>-0.06583489963702387</v>
      </c>
      <c r="BY35" s="40" t="n">
        <v>0.3110040882176834</v>
      </c>
      <c r="BZ35" s="40" t="n">
        <v>0.252677100766165</v>
      </c>
      <c r="CA35" s="40" t="n">
        <v>-0.2820292675248884</v>
      </c>
      <c r="CB35" s="40" t="n">
        <v>-0.2923829123449773</v>
      </c>
      <c r="CC35" s="40" t="n">
        <v>0.1612978710158496</v>
      </c>
      <c r="CD35" s="40" t="n">
        <v>-0.07802641047836771</v>
      </c>
      <c r="CE35" s="40" t="n">
        <v>-0.006593193494614327</v>
      </c>
      <c r="CG35" s="3" t="n">
        <v>-1</v>
      </c>
    </row>
    <row r="36">
      <c r="A36" s="251" t="n">
        <v>41456</v>
      </c>
      <c r="B36" s="3" t="n">
        <v>0</v>
      </c>
      <c r="C36" s="40" t="n">
        <v>0.5302581151033724</v>
      </c>
      <c r="D36" s="40" t="n">
        <v>-0.1990634164453555</v>
      </c>
      <c r="E36" s="40" t="n">
        <v>-0.7188793571345186</v>
      </c>
      <c r="F36" s="40" t="n">
        <v>-0.6013005248042047</v>
      </c>
      <c r="G36" s="40" t="n">
        <v>-0.6885358423350104</v>
      </c>
      <c r="H36" s="40" t="n">
        <v>-0.3634977393712141</v>
      </c>
      <c r="I36" s="40" t="n">
        <v>-0.02457978592877247</v>
      </c>
      <c r="J36" s="40" t="n">
        <v>-0.6862531901292397</v>
      </c>
      <c r="K36" s="40" t="n">
        <v>-0.4113365431534797</v>
      </c>
      <c r="L36" s="40" t="n">
        <v>-0.4787656508336677</v>
      </c>
      <c r="M36" s="40" t="n">
        <v>0.0005171178700828637</v>
      </c>
      <c r="N36" s="40" t="n">
        <v>-0.1956989548784995</v>
      </c>
      <c r="O36" s="40" t="n">
        <v>-0.2558715953179957</v>
      </c>
      <c r="P36" s="40" t="n">
        <v>0.6527999727497158</v>
      </c>
      <c r="Q36" s="40" t="n">
        <v>0.9569397393365615</v>
      </c>
      <c r="R36" s="40" t="n">
        <v>0.7917052892836618</v>
      </c>
      <c r="S36" s="40" t="n">
        <v>0.902220424221014</v>
      </c>
      <c r="T36" s="40" t="n">
        <v>0.898589868907001</v>
      </c>
      <c r="U36" s="40" t="n">
        <v>-4.045186147704692</v>
      </c>
      <c r="V36" s="40" t="n">
        <v>-0.08884567102201728</v>
      </c>
      <c r="W36" s="40" t="n">
        <v>-0.7401760125897628</v>
      </c>
      <c r="X36" s="40" t="n">
        <v>-0.4469253363633051</v>
      </c>
      <c r="Y36" s="40" t="n">
        <v>-0.6256279395720934</v>
      </c>
      <c r="Z36" s="40" t="n">
        <v>-0.3060021208559356</v>
      </c>
      <c r="AA36" s="40" t="n">
        <v>0.4140064039360639</v>
      </c>
      <c r="AB36" s="40" t="n">
        <v>-0.6419913675830788</v>
      </c>
      <c r="AC36" s="40" t="n">
        <v>-0.009997225069990987</v>
      </c>
      <c r="AD36" s="40" t="n">
        <v>-0.3525953962937005</v>
      </c>
      <c r="AE36" s="40" t="n">
        <v>0.5921223407017863</v>
      </c>
      <c r="AF36" s="40" t="n">
        <v>-0.09129578872817012</v>
      </c>
      <c r="AG36" s="40" t="n">
        <v>-0.2604004178891855</v>
      </c>
      <c r="AH36" s="40" t="n">
        <v>-0.1615319622807823</v>
      </c>
      <c r="AI36" s="40" t="n">
        <v>0.8410299073171392</v>
      </c>
      <c r="AJ36" s="40" t="n">
        <v>0.7454480789315381</v>
      </c>
      <c r="AK36" s="40" t="n">
        <v>0.8295151423666705</v>
      </c>
      <c r="AL36" s="40" t="n">
        <v>0.9379564171467525</v>
      </c>
      <c r="AM36" s="40" t="n">
        <v>-0.1875294227768664</v>
      </c>
      <c r="AN36" s="40" t="n">
        <v>0.449349564056764</v>
      </c>
      <c r="AO36" s="40" t="n">
        <v>0.3606482022875919</v>
      </c>
      <c r="AP36" s="40" t="n">
        <v>0.4824010320343115</v>
      </c>
      <c r="AQ36" s="40" t="n">
        <v>0.2538589812989508</v>
      </c>
      <c r="AR36" s="40" t="n">
        <v>-0.1938422060315281</v>
      </c>
      <c r="AS36" s="40" t="n">
        <v>-0.4915121882078529</v>
      </c>
      <c r="AT36" s="40" t="n">
        <v>-0.2608535036079709</v>
      </c>
      <c r="AU36" s="141" t="n">
        <v>-0.5238984817954208</v>
      </c>
      <c r="AV36" s="141" t="n">
        <v>-0.3889627275199328</v>
      </c>
      <c r="AW36" s="141" t="n">
        <v>-0.4155353664585641</v>
      </c>
      <c r="AX36" s="141" t="n">
        <v>0.3248284153258273</v>
      </c>
      <c r="AY36" s="141" t="n">
        <v>-0.7541481208241032</v>
      </c>
      <c r="AZ36" s="141" t="n">
        <v>-0.1603061096306467</v>
      </c>
      <c r="BA36" s="141" t="n">
        <v>-0.4173446896565468</v>
      </c>
      <c r="BB36" s="141" t="n">
        <v>0.4988700663438823</v>
      </c>
      <c r="BC36" s="141" t="n">
        <v>0.3684734077746408</v>
      </c>
      <c r="BD36" s="141" t="n">
        <v>-0.7949754185286942</v>
      </c>
      <c r="BE36" s="141" t="n">
        <v>-0.0161949182373185</v>
      </c>
      <c r="BF36" s="141" t="n">
        <v>-0.4502417206582262</v>
      </c>
      <c r="BG36" s="141" t="n">
        <v>0.1647199923033412</v>
      </c>
      <c r="BH36" s="141" t="n">
        <v>0.1678377975289966</v>
      </c>
      <c r="BI36" s="141" t="n">
        <v>-1.404568062177056</v>
      </c>
      <c r="BJ36" s="141" t="n">
        <v>-0.2793977044955694</v>
      </c>
      <c r="BK36" s="141" t="n">
        <v>-0.3610862466643892</v>
      </c>
      <c r="BL36" s="141" t="n">
        <v>0.7477743835175746</v>
      </c>
      <c r="BM36" s="141" t="n">
        <v>0.9516249957572469</v>
      </c>
      <c r="BN36" s="141" t="n">
        <v>-0.1059029183270513</v>
      </c>
      <c r="BO36" s="141" t="n">
        <v>0.6965231388634449</v>
      </c>
      <c r="BP36" s="141" t="n">
        <v>0.2025019362501378</v>
      </c>
      <c r="BQ36" s="141" t="n">
        <v>-0.2466082818007138</v>
      </c>
      <c r="BR36" s="141" t="n">
        <v>-0.5507879940297956</v>
      </c>
      <c r="BS36" s="141" t="n">
        <v>-0.3894780855313967</v>
      </c>
      <c r="BT36" s="141" t="n">
        <v>-0.505528673364412</v>
      </c>
      <c r="BU36" s="141" t="n">
        <v>-0.4486564151738602</v>
      </c>
      <c r="BV36" s="40" t="n">
        <v>-0.2834668208655295</v>
      </c>
      <c r="BW36" s="40" t="n">
        <v>-0.2367377133401037</v>
      </c>
      <c r="BX36" s="40" t="n">
        <v>-0.1009739807816235</v>
      </c>
      <c r="BY36" s="40" t="n">
        <v>-0.05021486526666975</v>
      </c>
      <c r="BZ36" s="40" t="n">
        <v>-0.1410192868330303</v>
      </c>
      <c r="CA36" s="40" t="n">
        <v>-0.09291450053967419</v>
      </c>
      <c r="CB36" s="40" t="n">
        <v>-0.0377499578006648</v>
      </c>
      <c r="CC36" s="40" t="n">
        <v>0.2712829989221129</v>
      </c>
      <c r="CD36" s="40" t="n">
        <v>0.1397010474234826</v>
      </c>
      <c r="CE36" s="40" t="n">
        <v>0.2110299808007441</v>
      </c>
      <c r="CG36" s="3" t="n">
        <v>-1</v>
      </c>
    </row>
    <row r="37">
      <c r="A37" s="251" t="n">
        <v>41548</v>
      </c>
      <c r="B37" s="3" t="n">
        <v>0</v>
      </c>
      <c r="C37" s="40" t="n">
        <v>0.4432540142588722</v>
      </c>
      <c r="D37" s="40" t="n">
        <v>-0.1808032588013551</v>
      </c>
      <c r="E37" s="40" t="n">
        <v>-0.8199987104157147</v>
      </c>
      <c r="F37" s="40" t="n">
        <v>-0.5530000615752008</v>
      </c>
      <c r="G37" s="40" t="n">
        <v>-0.6891243487567037</v>
      </c>
      <c r="H37" s="40" t="n">
        <v>-0.2573633126047994</v>
      </c>
      <c r="I37" s="40" t="n">
        <v>0.1297662596512839</v>
      </c>
      <c r="J37" s="40" t="n">
        <v>-0.5873282771732754</v>
      </c>
      <c r="K37" s="40" t="n">
        <v>-0.1234815519019013</v>
      </c>
      <c r="L37" s="40" t="n">
        <v>-0.3056444952773034</v>
      </c>
      <c r="M37" s="40" t="n">
        <v>0.1336410385361464</v>
      </c>
      <c r="N37" s="40" t="n">
        <v>-0.04165372198920262</v>
      </c>
      <c r="O37" s="40" t="n">
        <v>-0.4115342062765434</v>
      </c>
      <c r="P37" s="40" t="n">
        <v>0.4632609942750258</v>
      </c>
      <c r="Q37" s="40" t="n">
        <v>0.713523999815999</v>
      </c>
      <c r="R37" s="40" t="n">
        <v>0.6139419395068728</v>
      </c>
      <c r="S37" s="40" t="n">
        <v>0.5930618811723076</v>
      </c>
      <c r="T37" s="40" t="n">
        <v>0.6567123869525144</v>
      </c>
      <c r="U37" s="40" t="n">
        <v>-3.92707081564255</v>
      </c>
      <c r="V37" s="40" t="n">
        <v>0.1882160171451848</v>
      </c>
      <c r="W37" s="40" t="n">
        <v>-0.5824698701567758</v>
      </c>
      <c r="X37" s="40" t="n">
        <v>-0.1352620171163238</v>
      </c>
      <c r="Y37" s="40" t="n">
        <v>-0.3907813217857147</v>
      </c>
      <c r="Z37" s="40" t="n">
        <v>-0.1615538683854982</v>
      </c>
      <c r="AA37" s="40" t="n">
        <v>0.5088985332142903</v>
      </c>
      <c r="AB37" s="40" t="n">
        <v>-0.2008728672027968</v>
      </c>
      <c r="AC37" s="40" t="n">
        <v>0.2851518118115428</v>
      </c>
      <c r="AD37" s="40" t="n">
        <v>-0.1472542176993843</v>
      </c>
      <c r="AE37" s="40" t="n">
        <v>0.5786799651198148</v>
      </c>
      <c r="AF37" s="40" t="n">
        <v>0.3698986263905644</v>
      </c>
      <c r="AG37" s="40" t="n">
        <v>-0.3059881060396572</v>
      </c>
      <c r="AH37" s="40" t="n">
        <v>-0.2482691211295403</v>
      </c>
      <c r="AI37" s="40" t="n">
        <v>0.3301817375531454</v>
      </c>
      <c r="AJ37" s="40" t="n">
        <v>0.7374039951182463</v>
      </c>
      <c r="AK37" s="40" t="n">
        <v>0.5632237792191871</v>
      </c>
      <c r="AL37" s="40" t="n">
        <v>0.7110673264803005</v>
      </c>
      <c r="AM37" s="40" t="n">
        <v>0.004598513324290878</v>
      </c>
      <c r="AN37" s="40" t="n">
        <v>0.2612985511486317</v>
      </c>
      <c r="AO37" s="40" t="n">
        <v>0.6728920350157884</v>
      </c>
      <c r="AP37" s="40" t="n">
        <v>0.6021255093344142</v>
      </c>
      <c r="AQ37" s="40" t="n">
        <v>0.4611137585800749</v>
      </c>
      <c r="AR37" s="40" t="n">
        <v>-0.2419281300638146</v>
      </c>
      <c r="AS37" s="40" t="n">
        <v>-0.3650594102698306</v>
      </c>
      <c r="AT37" s="40" t="n">
        <v>-0.6631525199091657</v>
      </c>
      <c r="AU37" s="141" t="n">
        <v>-0.5546321880212624</v>
      </c>
      <c r="AV37" s="141" t="n">
        <v>-0.426937642123969</v>
      </c>
      <c r="AW37" s="141" t="n">
        <v>-0.3323776553970719</v>
      </c>
      <c r="AX37" s="141" t="n">
        <v>0.3528436215457423</v>
      </c>
      <c r="AY37" s="141" t="n">
        <v>-0.5160846652915796</v>
      </c>
      <c r="AZ37" s="141" t="n">
        <v>0.07114783561469641</v>
      </c>
      <c r="BA37" s="141" t="n">
        <v>-0.2824092003331102</v>
      </c>
      <c r="BB37" s="141" t="n">
        <v>0.5074986094328858</v>
      </c>
      <c r="BC37" s="141" t="n">
        <v>0.3737653605655813</v>
      </c>
      <c r="BD37" s="141" t="n">
        <v>-0.3796003354431513</v>
      </c>
      <c r="BE37" s="141" t="n">
        <v>0.1565202331404629</v>
      </c>
      <c r="BF37" s="141" t="n">
        <v>-0.3337057960878873</v>
      </c>
      <c r="BG37" s="141" t="n">
        <v>0.2560310501378356</v>
      </c>
      <c r="BH37" s="141" t="n">
        <v>0.1522064593678512</v>
      </c>
      <c r="BI37" s="141" t="n">
        <v>-0.536056063935868</v>
      </c>
      <c r="BJ37" s="141" t="n">
        <v>0.09406529393739106</v>
      </c>
      <c r="BK37" s="141" t="n">
        <v>-0.2440050127455507</v>
      </c>
      <c r="BL37" s="141" t="n">
        <v>0.7684179042243405</v>
      </c>
      <c r="BM37" s="141" t="n">
        <v>0.8620760743573641</v>
      </c>
      <c r="BN37" s="141" t="n">
        <v>0.2143334831446422</v>
      </c>
      <c r="BO37" s="141" t="n">
        <v>0.747308481501949</v>
      </c>
      <c r="BP37" s="141" t="n">
        <v>0.2684580628029726</v>
      </c>
      <c r="BQ37" s="141" t="n">
        <v>-0.2084232306057201</v>
      </c>
      <c r="BR37" s="141" t="n">
        <v>-0.2431517727285701</v>
      </c>
      <c r="BS37" s="141" t="n">
        <v>-0.4002734712705004</v>
      </c>
      <c r="BT37" s="141" t="n">
        <v>-0.3662947685651723</v>
      </c>
      <c r="BU37" s="141" t="n">
        <v>-0.3594872140832908</v>
      </c>
      <c r="BV37" s="40" t="n">
        <v>-0.3043527930990747</v>
      </c>
      <c r="BW37" s="40" t="n">
        <v>-0.2335390114724479</v>
      </c>
      <c r="BX37" s="40" t="n">
        <v>0.2410777749017606</v>
      </c>
      <c r="BY37" s="40" t="n">
        <v>-0.06136126944909933</v>
      </c>
      <c r="BZ37" s="40" t="n">
        <v>-0.1670042110739426</v>
      </c>
      <c r="CA37" s="40" t="n">
        <v>0.08754153907796398</v>
      </c>
      <c r="CB37" s="40" t="n">
        <v>0.3938077160847462</v>
      </c>
      <c r="CC37" s="40" t="n">
        <v>0.2211689494818949</v>
      </c>
      <c r="CD37" s="40" t="n">
        <v>0.3232005386563951</v>
      </c>
      <c r="CE37" s="40" t="n">
        <v>0.3971976402484997</v>
      </c>
      <c r="CG37" s="3" t="n">
        <v>-1</v>
      </c>
    </row>
    <row r="38">
      <c r="A38" s="251" t="n">
        <v>41640</v>
      </c>
      <c r="B38" s="3" t="n">
        <v>0</v>
      </c>
      <c r="C38" s="40" t="n">
        <v>0.5975539447965552</v>
      </c>
      <c r="D38" s="40" t="n">
        <v>-0.05546876002024356</v>
      </c>
      <c r="E38" s="40" t="n">
        <v>-0.5565445750526554</v>
      </c>
      <c r="F38" s="40" t="n">
        <v>-0.2078416119851069</v>
      </c>
      <c r="G38" s="40" t="n">
        <v>-0.4260345033644407</v>
      </c>
      <c r="H38" s="40" t="n">
        <v>-0.2229143398578944</v>
      </c>
      <c r="I38" s="40" t="n">
        <v>0.1835507093208675</v>
      </c>
      <c r="J38" s="40" t="n">
        <v>-0.3902974628203989</v>
      </c>
      <c r="K38" s="40" t="n">
        <v>0.04417976378333743</v>
      </c>
      <c r="L38" s="40" t="n">
        <v>-0.2145964476885291</v>
      </c>
      <c r="M38" s="40" t="n">
        <v>0.1147144159842001</v>
      </c>
      <c r="N38" s="40" t="n">
        <v>0.131451614559037</v>
      </c>
      <c r="O38" s="40" t="n">
        <v>-0.1386650985299952</v>
      </c>
      <c r="P38" s="40" t="n">
        <v>0.6242393047603784</v>
      </c>
      <c r="Q38" s="40" t="n">
        <v>0.3084504790871244</v>
      </c>
      <c r="R38" s="40" t="n">
        <v>0.8312082559007257</v>
      </c>
      <c r="S38" s="40" t="n">
        <v>0.6287675157215941</v>
      </c>
      <c r="T38" s="40" t="n">
        <v>0.737838995806814</v>
      </c>
      <c r="U38" s="40" t="n">
        <v>-3.806915863516605</v>
      </c>
      <c r="V38" s="40" t="n">
        <v>0.3299529591437577</v>
      </c>
      <c r="W38" s="40" t="n">
        <v>-0.3008666568034911</v>
      </c>
      <c r="X38" s="40" t="n">
        <v>0.1461546013173513</v>
      </c>
      <c r="Y38" s="40" t="n">
        <v>-0.1732609170826931</v>
      </c>
      <c r="Z38" s="40" t="n">
        <v>-0.1129389037816307</v>
      </c>
      <c r="AA38" s="40" t="n">
        <v>0.4591024693576282</v>
      </c>
      <c r="AB38" s="40" t="n">
        <v>0.09106622820659471</v>
      </c>
      <c r="AC38" s="40" t="n">
        <v>0.381360719575449</v>
      </c>
      <c r="AD38" s="40" t="n">
        <v>-0.02651929611276431</v>
      </c>
      <c r="AE38" s="40" t="n">
        <v>0.4908562019149536</v>
      </c>
      <c r="AF38" s="40" t="n">
        <v>0.4336837569372021</v>
      </c>
      <c r="AG38" s="40" t="n">
        <v>-0.3891673981740023</v>
      </c>
      <c r="AH38" s="40" t="n">
        <v>-0.1825971028958784</v>
      </c>
      <c r="AI38" s="40" t="n">
        <v>0.2672091021596764</v>
      </c>
      <c r="AJ38" s="40" t="n">
        <v>0.7644818592882641</v>
      </c>
      <c r="AK38" s="40" t="n">
        <v>0.5189878135961505</v>
      </c>
      <c r="AL38" s="40" t="n">
        <v>0.6979757434833491</v>
      </c>
      <c r="AM38" s="40" t="n">
        <v>0.1510885871248165</v>
      </c>
      <c r="AN38" s="40" t="n">
        <v>0.3265542699585738</v>
      </c>
      <c r="AO38" s="40" t="n">
        <v>0.8464470758916791</v>
      </c>
      <c r="AP38" s="40" t="n">
        <v>0.6182300579586244</v>
      </c>
      <c r="AQ38" s="40" t="n">
        <v>0.6153080264623049</v>
      </c>
      <c r="AR38" s="40" t="n">
        <v>-0.2650911257186444</v>
      </c>
      <c r="AS38" s="40" t="n">
        <v>-0.3323102154369121</v>
      </c>
      <c r="AT38" s="40" t="n">
        <v>-0.6445159673396026</v>
      </c>
      <c r="AU38" s="141" t="n">
        <v>-0.4612012631328254</v>
      </c>
      <c r="AV38" s="141" t="n">
        <v>-0.4312846230889562</v>
      </c>
      <c r="AW38" s="141" t="n">
        <v>-0.3034893593796284</v>
      </c>
      <c r="AX38" s="141" t="n">
        <v>0.263001765233571</v>
      </c>
      <c r="AY38" s="141" t="n">
        <v>-0.08317586597918405</v>
      </c>
      <c r="AZ38" s="141" t="n">
        <v>0.2033317578063258</v>
      </c>
      <c r="BA38" s="141" t="n">
        <v>-0.1848911897525931</v>
      </c>
      <c r="BB38" s="141" t="n">
        <v>0.489704610380725</v>
      </c>
      <c r="BC38" s="141" t="n">
        <v>0.263478330800453</v>
      </c>
      <c r="BD38" s="141" t="n">
        <v>0.1154267667010922</v>
      </c>
      <c r="BE38" s="141" t="n">
        <v>0.2051866067241201</v>
      </c>
      <c r="BF38" s="141" t="n">
        <v>-0.2567733663800777</v>
      </c>
      <c r="BG38" s="141" t="n">
        <v>0.2549942261876409</v>
      </c>
      <c r="BH38" s="141" t="n">
        <v>0.1394877316337276</v>
      </c>
      <c r="BI38" s="141" t="n">
        <v>0.1127788881541266</v>
      </c>
      <c r="BJ38" s="141" t="n">
        <v>0.1923868563769177</v>
      </c>
      <c r="BK38" s="141" t="n">
        <v>-0.2312304490871585</v>
      </c>
      <c r="BL38" s="141" t="n">
        <v>0.6592084230295964</v>
      </c>
      <c r="BM38" s="141" t="n">
        <v>0.2952263373104681</v>
      </c>
      <c r="BN38" s="141" t="n">
        <v>0.6256156569528312</v>
      </c>
      <c r="BO38" s="141" t="n">
        <v>0.5418105605020559</v>
      </c>
      <c r="BP38" s="141" t="n">
        <v>0.1666587564438484</v>
      </c>
      <c r="BQ38" s="141" t="n">
        <v>-0.2284647840596624</v>
      </c>
      <c r="BR38" s="141" t="n">
        <v>-0.1204537470770963</v>
      </c>
      <c r="BS38" s="141" t="n">
        <v>-0.4932047632039726</v>
      </c>
      <c r="BT38" s="141" t="n">
        <v>-0.3152795109467681</v>
      </c>
      <c r="BU38" s="141" t="n">
        <v>-0.3423148075941197</v>
      </c>
      <c r="BV38" s="40" t="n">
        <v>-0.4459963223609837</v>
      </c>
      <c r="BW38" s="40" t="n">
        <v>-0.5407084435176469</v>
      </c>
      <c r="BX38" s="40" t="n">
        <v>0.1297359174431149</v>
      </c>
      <c r="BY38" s="40" t="n">
        <v>-0.2903379791143437</v>
      </c>
      <c r="BZ38" s="40" t="n">
        <v>-0.3047006709635939</v>
      </c>
      <c r="CA38" s="40" t="n">
        <v>0.21076677216655</v>
      </c>
      <c r="CB38" s="40" t="n">
        <v>0.6579743491671942</v>
      </c>
      <c r="CC38" s="40" t="n">
        <v>0.1764186829143034</v>
      </c>
      <c r="CD38" s="40" t="n">
        <v>0.4410792851956881</v>
      </c>
      <c r="CE38" s="40" t="n">
        <v>0.4942572806438144</v>
      </c>
      <c r="CG38" s="3" t="n">
        <v>-1</v>
      </c>
    </row>
    <row r="39">
      <c r="A39" s="251" t="n">
        <v>41730</v>
      </c>
      <c r="B39" s="3" t="n">
        <v>0</v>
      </c>
      <c r="C39" s="40" t="n">
        <v>0.6920706751727664</v>
      </c>
      <c r="D39" s="40" t="n">
        <v>0.03199335729943513</v>
      </c>
      <c r="E39" s="40" t="n">
        <v>-0.3542645303490356</v>
      </c>
      <c r="F39" s="40" t="n">
        <v>0.01474292811937316</v>
      </c>
      <c r="G39" s="40" t="n">
        <v>-0.2473891575858202</v>
      </c>
      <c r="H39" s="40" t="n">
        <v>-0.2236311025369884</v>
      </c>
      <c r="I39" s="40" t="n">
        <v>0.2026574562878017</v>
      </c>
      <c r="J39" s="40" t="n">
        <v>-0.01832614162625837</v>
      </c>
      <c r="K39" s="40" t="n">
        <v>0.1226441345593749</v>
      </c>
      <c r="L39" s="40" t="n">
        <v>-0.1640474466193196</v>
      </c>
      <c r="M39" s="40" t="n">
        <v>0.2758135831325792</v>
      </c>
      <c r="N39" s="40" t="n">
        <v>0.2748049569260772</v>
      </c>
      <c r="O39" s="40" t="n">
        <v>-0.1850560534111461</v>
      </c>
      <c r="P39" s="40" t="n">
        <v>0.803392585784401</v>
      </c>
      <c r="Q39" s="40" t="n">
        <v>-0.0334464374913741</v>
      </c>
      <c r="R39" s="40" t="n">
        <v>1.069872012545489</v>
      </c>
      <c r="S39" s="40" t="n">
        <v>0.6424111321753875</v>
      </c>
      <c r="T39" s="40" t="n">
        <v>0.8208435354216307</v>
      </c>
      <c r="U39" s="40" t="n">
        <v>-3.755445396632849</v>
      </c>
      <c r="V39" s="40" t="n">
        <v>0.4106615948390909</v>
      </c>
      <c r="W39" s="40" t="n">
        <v>0.004763514139591626</v>
      </c>
      <c r="X39" s="40" t="n">
        <v>0.2774366024760619</v>
      </c>
      <c r="Y39" s="40" t="n">
        <v>-0.04684148479061517</v>
      </c>
      <c r="Z39" s="40" t="n">
        <v>-0.09588810939609377</v>
      </c>
      <c r="AA39" s="40" t="n">
        <v>0.3580174873014045</v>
      </c>
      <c r="AB39" s="40" t="n">
        <v>0.3443103365359392</v>
      </c>
      <c r="AC39" s="40" t="n">
        <v>0.3818789888261586</v>
      </c>
      <c r="AD39" s="40" t="n">
        <v>0.07236372278384087</v>
      </c>
      <c r="AE39" s="40" t="n">
        <v>0.2701520559356384</v>
      </c>
      <c r="AF39" s="40" t="n">
        <v>0.4351047465329675</v>
      </c>
      <c r="AG39" s="40" t="n">
        <v>-0.2801890812167662</v>
      </c>
      <c r="AH39" s="40" t="n">
        <v>0.03523845111395379</v>
      </c>
      <c r="AI39" s="40" t="n">
        <v>0.3783353443805654</v>
      </c>
      <c r="AJ39" s="40" t="n">
        <v>0.8866839147877569</v>
      </c>
      <c r="AK39" s="40" t="n">
        <v>0.6898187989146284</v>
      </c>
      <c r="AL39" s="40" t="n">
        <v>0.8698667635837067</v>
      </c>
      <c r="AM39" s="40" t="n">
        <v>0.2476882426941492</v>
      </c>
      <c r="AN39" s="40" t="n">
        <v>0.430354887563092</v>
      </c>
      <c r="AO39" s="40" t="n">
        <v>0.7151677359967463</v>
      </c>
      <c r="AP39" s="40" t="n">
        <v>0.5527600830022223</v>
      </c>
      <c r="AQ39" s="40" t="n">
        <v>0.6913173455620852</v>
      </c>
      <c r="AR39" s="40" t="n">
        <v>-0.3159991012510219</v>
      </c>
      <c r="AS39" s="40" t="n">
        <v>-0.3218926064355933</v>
      </c>
      <c r="AT39" s="40" t="n">
        <v>-0.5619217755411554</v>
      </c>
      <c r="AU39" s="141" t="n">
        <v>-0.4195639097202088</v>
      </c>
      <c r="AV39" s="141" t="n">
        <v>-0.4761618765010915</v>
      </c>
      <c r="AW39" s="141" t="n">
        <v>-0.2003813073889184</v>
      </c>
      <c r="AX39" s="141" t="n">
        <v>0.2478101663541536</v>
      </c>
      <c r="AY39" s="141" t="n">
        <v>0.2564063281094902</v>
      </c>
      <c r="AZ39" s="141" t="n">
        <v>0.3167194136172</v>
      </c>
      <c r="BA39" s="141" t="n">
        <v>-0.02865217501230867</v>
      </c>
      <c r="BB39" s="141" t="n">
        <v>0.4953274644846949</v>
      </c>
      <c r="BC39" s="141" t="n">
        <v>0.130815612956569</v>
      </c>
      <c r="BD39" s="141" t="n">
        <v>0.1922125197514795</v>
      </c>
      <c r="BE39" s="141" t="n">
        <v>0.1907156762518138</v>
      </c>
      <c r="BF39" s="141" t="n">
        <v>-0.1326712817591362</v>
      </c>
      <c r="BG39" s="141" t="n">
        <v>0.303719831816917</v>
      </c>
      <c r="BH39" s="141" t="n">
        <v>0.2221609153225692</v>
      </c>
      <c r="BI39" s="141" t="n">
        <v>0.2868451340201261</v>
      </c>
      <c r="BJ39" s="141" t="n">
        <v>0.2314624328180252</v>
      </c>
      <c r="BK39" s="141" t="n">
        <v>-0.1388621840174327</v>
      </c>
      <c r="BL39" s="141" t="n">
        <v>0.61444293213541</v>
      </c>
      <c r="BM39" s="141" t="n">
        <v>-0.01382606578819193</v>
      </c>
      <c r="BN39" s="141" t="n">
        <v>0.8486887389473268</v>
      </c>
      <c r="BO39" s="141" t="n">
        <v>0.3593741324485621</v>
      </c>
      <c r="BP39" s="141" t="n">
        <v>0.1969885456079334</v>
      </c>
      <c r="BQ39" s="141" t="n">
        <v>-0.2460478344696157</v>
      </c>
      <c r="BR39" s="141" t="n">
        <v>-0.06012929188245013</v>
      </c>
      <c r="BS39" s="141" t="n">
        <v>-0.4490244278204837</v>
      </c>
      <c r="BT39" s="141" t="n">
        <v>-0.2413748525787291</v>
      </c>
      <c r="BU39" s="141" t="n">
        <v>-0.3184244650789144</v>
      </c>
      <c r="BV39" s="40" t="n">
        <v>-0.1344595546794565</v>
      </c>
      <c r="BW39" s="40" t="n">
        <v>-0.1383175804990746</v>
      </c>
      <c r="BX39" s="40" t="n">
        <v>0.4440027388822427</v>
      </c>
      <c r="BY39" s="40" t="n">
        <v>0.1039471617040901</v>
      </c>
      <c r="BZ39" s="40" t="n">
        <v>0.1397469488902525</v>
      </c>
      <c r="CA39" s="40" t="n">
        <v>0.2321152384037272</v>
      </c>
      <c r="CB39" s="40" t="n">
        <v>0.6196278423572438</v>
      </c>
      <c r="CC39" s="40" t="n">
        <v>0.2180125085114649</v>
      </c>
      <c r="CD39" s="40" t="n">
        <v>0.4329573192855942</v>
      </c>
      <c r="CE39" s="40" t="n">
        <v>0.4480120470678228</v>
      </c>
      <c r="CG39" s="3" t="n">
        <v>-1</v>
      </c>
    </row>
    <row r="40">
      <c r="A40" s="251" t="n">
        <v>41821</v>
      </c>
      <c r="B40" s="3" t="n">
        <v>0</v>
      </c>
      <c r="C40" s="40" t="n">
        <v>0.9420898913552536</v>
      </c>
      <c r="D40" s="40" t="n">
        <v>0.4176235569520283</v>
      </c>
      <c r="E40" s="40" t="n">
        <v>0.1498758657938368</v>
      </c>
      <c r="F40" s="40" t="n">
        <v>0.3736306472363141</v>
      </c>
      <c r="G40" s="40" t="n">
        <v>0.04808952610151673</v>
      </c>
      <c r="H40" s="40" t="n">
        <v>-0.2945434489835705</v>
      </c>
      <c r="I40" s="40" t="n">
        <v>0.08949815795030906</v>
      </c>
      <c r="J40" s="40" t="n">
        <v>0.04285908496911647</v>
      </c>
      <c r="K40" s="40" t="n">
        <v>0.02740187341985347</v>
      </c>
      <c r="L40" s="40" t="n">
        <v>-0.1790123135762697</v>
      </c>
      <c r="M40" s="40" t="n">
        <v>0.01468329057321236</v>
      </c>
      <c r="N40" s="40" t="n">
        <v>0.008849707973764867</v>
      </c>
      <c r="O40" s="40" t="n">
        <v>-0.1273590477718664</v>
      </c>
      <c r="P40" s="40" t="n">
        <v>0.6995356112777218</v>
      </c>
      <c r="Q40" s="40" t="n">
        <v>0.03344643749137516</v>
      </c>
      <c r="R40" s="40" t="n">
        <v>0.8772950502873011</v>
      </c>
      <c r="S40" s="40" t="n">
        <v>0.3608301117460493</v>
      </c>
      <c r="T40" s="40" t="n">
        <v>0.6291068047729274</v>
      </c>
      <c r="U40" s="40" t="n">
        <v>-3.765409732394142</v>
      </c>
      <c r="V40" s="40" t="n">
        <v>0.3681670593601071</v>
      </c>
      <c r="W40" s="40" t="n">
        <v>0.1687394587252056</v>
      </c>
      <c r="X40" s="40" t="n">
        <v>0.2631980202961195</v>
      </c>
      <c r="Y40" s="40" t="n">
        <v>0.001866628426559371</v>
      </c>
      <c r="Z40" s="40" t="n">
        <v>-0.1097577955319852</v>
      </c>
      <c r="AA40" s="40" t="n">
        <v>0.2109988690319744</v>
      </c>
      <c r="AB40" s="40" t="n">
        <v>0.3988187536970791</v>
      </c>
      <c r="AC40" s="40" t="n">
        <v>0.2953931296145969</v>
      </c>
      <c r="AD40" s="40" t="n">
        <v>0.1340861129488406</v>
      </c>
      <c r="AE40" s="40" t="n">
        <v>0.04663897170915108</v>
      </c>
      <c r="AF40" s="40" t="n">
        <v>0.4061628314219627</v>
      </c>
      <c r="AG40" s="40" t="n">
        <v>-0.04640855815048254</v>
      </c>
      <c r="AH40" s="40" t="n">
        <v>0.9418853641823695</v>
      </c>
      <c r="AI40" s="40" t="n">
        <v>1.34381921453626</v>
      </c>
      <c r="AJ40" s="40" t="n">
        <v>1.718175824861046</v>
      </c>
      <c r="AK40" s="40" t="n">
        <v>1.834281826114005</v>
      </c>
      <c r="AL40" s="40" t="n">
        <v>1.903886829352946</v>
      </c>
      <c r="AM40" s="40" t="n">
        <v>0.1420693624080124</v>
      </c>
      <c r="AN40" s="40" t="n">
        <v>0.2590665232902169</v>
      </c>
      <c r="AO40" s="40" t="n">
        <v>0.5830526314308956</v>
      </c>
      <c r="AP40" s="40" t="n">
        <v>0.3143624199971416</v>
      </c>
      <c r="AQ40" s="40" t="n">
        <v>0.5339530620496075</v>
      </c>
      <c r="AR40" s="40" t="n">
        <v>-0.3008892997489898</v>
      </c>
      <c r="AS40" s="40" t="n">
        <v>-0.1755162417309621</v>
      </c>
      <c r="AT40" s="40" t="n">
        <v>-0.4372664748276528</v>
      </c>
      <c r="AU40" s="141" t="n">
        <v>-0.2802478527413064</v>
      </c>
      <c r="AV40" s="141" t="n">
        <v>-0.4057118814045453</v>
      </c>
      <c r="AW40" s="141" t="n">
        <v>-0.260190744002092</v>
      </c>
      <c r="AX40" s="141" t="n">
        <v>0.1355969921271712</v>
      </c>
      <c r="AY40" s="141" t="n">
        <v>0.302640389969218</v>
      </c>
      <c r="AZ40" s="141" t="n">
        <v>0.2085299320432323</v>
      </c>
      <c r="BA40" s="141" t="n">
        <v>0.005296554899227111</v>
      </c>
      <c r="BB40" s="141" t="n">
        <v>0.4338036249256159</v>
      </c>
      <c r="BC40" s="141" t="n">
        <v>-0.09136892600309113</v>
      </c>
      <c r="BD40" s="141" t="n">
        <v>0.1897675235496902</v>
      </c>
      <c r="BE40" s="141" t="n">
        <v>0.0572666542122627</v>
      </c>
      <c r="BF40" s="141" t="n">
        <v>-0.09286742894486211</v>
      </c>
      <c r="BG40" s="141" t="n">
        <v>0.3596509247245451</v>
      </c>
      <c r="BH40" s="141" t="n">
        <v>0.1936786001517277</v>
      </c>
      <c r="BI40" s="141" t="n">
        <v>0.3015800287767064</v>
      </c>
      <c r="BJ40" s="141" t="n">
        <v>0.2470737383846016</v>
      </c>
      <c r="BK40" s="141" t="n">
        <v>0.02026223711345367</v>
      </c>
      <c r="BL40" s="141" t="n">
        <v>0.4679211555381432</v>
      </c>
      <c r="BM40" s="141" t="n">
        <v>-0.3374373096677025</v>
      </c>
      <c r="BN40" s="141" t="n">
        <v>0.5311284781786397</v>
      </c>
      <c r="BO40" s="141" t="n">
        <v>-0.0188027938550052</v>
      </c>
      <c r="BP40" s="141" t="n">
        <v>0.05876675886805211</v>
      </c>
      <c r="BQ40" s="141" t="n">
        <v>-0.285934935608426</v>
      </c>
      <c r="BR40" s="141" t="n">
        <v>-0.05812441667270636</v>
      </c>
      <c r="BS40" s="141" t="n">
        <v>-0.3897553756152283</v>
      </c>
      <c r="BT40" s="141" t="n">
        <v>-0.2111780132710896</v>
      </c>
      <c r="BU40" s="141" t="n">
        <v>-0.323495038377023</v>
      </c>
      <c r="BV40" s="40" t="n">
        <v>0.1850408539678399</v>
      </c>
      <c r="BW40" s="40" t="n">
        <v>0.4991696447708336</v>
      </c>
      <c r="BX40" s="40" t="n">
        <v>0.2480336577947779</v>
      </c>
      <c r="BY40" s="40" t="n">
        <v>0.4567968515810857</v>
      </c>
      <c r="BZ40" s="40" t="n">
        <v>0.5642901024412388</v>
      </c>
      <c r="CA40" s="40" t="n">
        <v>0.1412185257633067</v>
      </c>
      <c r="CB40" s="40" t="n">
        <v>0.2821684181000083</v>
      </c>
      <c r="CC40" s="40" t="n">
        <v>0.1628330243477642</v>
      </c>
      <c r="CD40" s="40" t="n">
        <v>0.2672232743374012</v>
      </c>
      <c r="CE40" s="40" t="n">
        <v>0.2739566252579979</v>
      </c>
      <c r="CG40" s="3" t="n">
        <v>-1</v>
      </c>
    </row>
    <row r="41">
      <c r="A41" s="251" t="n">
        <v>41913</v>
      </c>
      <c r="B41" s="3" t="n">
        <v>1</v>
      </c>
      <c r="C41" s="40" t="n">
        <v>1.012052840450581</v>
      </c>
      <c r="D41" s="40" t="n">
        <v>0.5767981070966109</v>
      </c>
      <c r="E41" s="40" t="n">
        <v>0.2715502954956168</v>
      </c>
      <c r="F41" s="40" t="n">
        <v>0.4228495737249853</v>
      </c>
      <c r="G41" s="40" t="n">
        <v>0.1661835802500074</v>
      </c>
      <c r="H41" s="40" t="n">
        <v>-0.2796173079503722</v>
      </c>
      <c r="I41" s="40" t="n">
        <v>-0.02888423010760794</v>
      </c>
      <c r="J41" s="40" t="n">
        <v>0.06660227823696718</v>
      </c>
      <c r="K41" s="40" t="n">
        <v>0.03950839023090195</v>
      </c>
      <c r="L41" s="40" t="n">
        <v>-0.0939330349782773</v>
      </c>
      <c r="M41" s="40" t="n">
        <v>0.00380420624681444</v>
      </c>
      <c r="N41" s="40" t="n">
        <v>0.08002089438908164</v>
      </c>
      <c r="O41" s="40" t="n">
        <v>-0.02683886204133476</v>
      </c>
      <c r="P41" s="40" t="n">
        <v>0.5541358469683701</v>
      </c>
      <c r="Q41" s="40" t="n">
        <v>0.0650347395665624</v>
      </c>
      <c r="R41" s="40" t="n">
        <v>0.6896559588562458</v>
      </c>
      <c r="S41" s="40" t="n">
        <v>0.07605590448709906</v>
      </c>
      <c r="T41" s="40" t="n">
        <v>0.4092011127164795</v>
      </c>
      <c r="U41" s="40" t="n">
        <v>-3.773475560101428</v>
      </c>
      <c r="V41" s="40" t="n">
        <v>0.2021210883750522</v>
      </c>
      <c r="W41" s="40" t="n">
        <v>0.2358046130936636</v>
      </c>
      <c r="X41" s="40" t="n">
        <v>0.2172149279730752</v>
      </c>
      <c r="Y41" s="40" t="n">
        <v>0.05116381414077897</v>
      </c>
      <c r="Z41" s="40" t="n">
        <v>-0.08932936057440133</v>
      </c>
      <c r="AA41" s="40" t="n">
        <v>0.07765467581993095</v>
      </c>
      <c r="AB41" s="40" t="n">
        <v>0.3742823139605947</v>
      </c>
      <c r="AC41" s="40" t="n">
        <v>0.2364186220939473</v>
      </c>
      <c r="AD41" s="40" t="n">
        <v>0.2101173163280717</v>
      </c>
      <c r="AE41" s="40" t="n">
        <v>-0.02129217729236585</v>
      </c>
      <c r="AF41" s="40" t="n">
        <v>0.3544206540147757</v>
      </c>
      <c r="AG41" s="40" t="n">
        <v>0.2683024501907377</v>
      </c>
      <c r="AH41" s="40" t="n">
        <v>0.8259963325495241</v>
      </c>
      <c r="AI41" s="40" t="n">
        <v>1.3083160138456</v>
      </c>
      <c r="AJ41" s="40" t="n">
        <v>1.288522487609745</v>
      </c>
      <c r="AK41" s="40" t="n">
        <v>1.342101850892092</v>
      </c>
      <c r="AL41" s="40" t="n">
        <v>1.552647982030068</v>
      </c>
      <c r="AM41" s="40" t="n">
        <v>-0.2858329166290817</v>
      </c>
      <c r="AN41" s="40" t="n">
        <v>-0.2282807588930345</v>
      </c>
      <c r="AO41" s="40" t="n">
        <v>0.02717486375946086</v>
      </c>
      <c r="AP41" s="40" t="n">
        <v>-0.214205677465704</v>
      </c>
      <c r="AQ41" s="40" t="n">
        <v>0.07036917146483902</v>
      </c>
      <c r="AR41" s="40" t="n">
        <v>-0.3803548561935738</v>
      </c>
      <c r="AS41" s="40" t="n">
        <v>-0.2269668225607632</v>
      </c>
      <c r="AT41" s="40" t="n">
        <v>-0.3880992356788672</v>
      </c>
      <c r="AU41" s="141" t="n">
        <v>-0.329791774499672</v>
      </c>
      <c r="AV41" s="141" t="n">
        <v>-0.4764441013797404</v>
      </c>
      <c r="AW41" s="141" t="n">
        <v>-0.3619474900123416</v>
      </c>
      <c r="AX41" s="141" t="n">
        <v>-0.02581087499602349</v>
      </c>
      <c r="AY41" s="141" t="n">
        <v>0.2149605915451458</v>
      </c>
      <c r="AZ41" s="141" t="n">
        <v>0.0516851847066009</v>
      </c>
      <c r="BA41" s="141" t="n">
        <v>0.00132263092096298</v>
      </c>
      <c r="BB41" s="141" t="n">
        <v>0.3589074461638971</v>
      </c>
      <c r="BC41" s="141" t="n">
        <v>-0.208657715183207</v>
      </c>
      <c r="BD41" s="141" t="n">
        <v>0.1130695136470741</v>
      </c>
      <c r="BE41" s="141" t="n">
        <v>-0.09632045707883956</v>
      </c>
      <c r="BF41" s="141" t="n">
        <v>-0.09362426512666544</v>
      </c>
      <c r="BG41" s="141" t="n">
        <v>0.4111540651700569</v>
      </c>
      <c r="BH41" s="141" t="n">
        <v>0.1541264284204899</v>
      </c>
      <c r="BI41" s="141" t="n">
        <v>0.2555454792843143</v>
      </c>
      <c r="BJ41" s="141" t="n">
        <v>0.2544920813171226</v>
      </c>
      <c r="BK41" s="141" t="n">
        <v>0.2302818288822244</v>
      </c>
      <c r="BL41" s="141" t="n">
        <v>0.4227210559230249</v>
      </c>
      <c r="BM41" s="141" t="n">
        <v>-0.4168292618728463</v>
      </c>
      <c r="BN41" s="141" t="n">
        <v>0.3850341960361519</v>
      </c>
      <c r="BO41" s="141" t="n">
        <v>-0.1846466706923415</v>
      </c>
      <c r="BP41" s="141" t="n">
        <v>0.03988392440408073</v>
      </c>
      <c r="BQ41" s="141" t="n">
        <v>-0.4048035204878009</v>
      </c>
      <c r="BR41" s="141" t="n">
        <v>-0.2902481825996213</v>
      </c>
      <c r="BS41" s="141" t="n">
        <v>-0.3414210258947363</v>
      </c>
      <c r="BT41" s="141" t="n">
        <v>-0.3158133967742539</v>
      </c>
      <c r="BU41" s="141" t="n">
        <v>-0.4242185147740464</v>
      </c>
      <c r="BV41" s="40" t="n">
        <v>0.2459577907450818</v>
      </c>
      <c r="BW41" s="40" t="n">
        <v>0.5863262298719387</v>
      </c>
      <c r="BX41" s="40" t="n">
        <v>0.3334316206332829</v>
      </c>
      <c r="BY41" s="40" t="n">
        <v>0.497005743222584</v>
      </c>
      <c r="BZ41" s="40" t="n">
        <v>0.6025137604126128</v>
      </c>
      <c r="CA41" s="40" t="n">
        <v>0.04681959731820316</v>
      </c>
      <c r="CB41" s="40" t="n">
        <v>-0.04907657014368881</v>
      </c>
      <c r="CC41" s="40" t="n">
        <v>0.2296619290200299</v>
      </c>
      <c r="CD41" s="40" t="n">
        <v>0.1082447556362703</v>
      </c>
      <c r="CE41" s="40" t="n">
        <v>0.1096360489449822</v>
      </c>
      <c r="CG41" s="3" t="n">
        <v>-1</v>
      </c>
    </row>
    <row r="42">
      <c r="A42" s="251" t="n">
        <v>42005</v>
      </c>
      <c r="B42" s="3" t="n">
        <v>0</v>
      </c>
      <c r="C42" s="40" t="n">
        <v>1.344998452670886</v>
      </c>
      <c r="D42" s="40" t="n">
        <v>0.7579561656063699</v>
      </c>
      <c r="E42" s="40" t="n">
        <v>0.4817251118040547</v>
      </c>
      <c r="F42" s="40" t="n">
        <v>0.74791041712666</v>
      </c>
      <c r="G42" s="40" t="n">
        <v>0.5383411812193932</v>
      </c>
      <c r="H42" s="40" t="n">
        <v>0.08841405545840317</v>
      </c>
      <c r="I42" s="40" t="n">
        <v>0.4040838900928969</v>
      </c>
      <c r="J42" s="40" t="n">
        <v>0.3879561431194238</v>
      </c>
      <c r="K42" s="40" t="n">
        <v>0.5396152726603237</v>
      </c>
      <c r="L42" s="40" t="n">
        <v>0.3845971107254756</v>
      </c>
      <c r="M42" s="40" t="n">
        <v>0.2427860855917539</v>
      </c>
      <c r="N42" s="40" t="n">
        <v>0.2081375017799061</v>
      </c>
      <c r="O42" s="40" t="n">
        <v>0.1856466175967129</v>
      </c>
      <c r="P42" s="40" t="n">
        <v>0.7410784010803926</v>
      </c>
      <c r="Q42" s="40" t="n">
        <v>0.08361609372843737</v>
      </c>
      <c r="R42" s="40" t="n">
        <v>0.3472969148416892</v>
      </c>
      <c r="S42" s="40" t="n">
        <v>0.121631389237003</v>
      </c>
      <c r="T42" s="40" t="n">
        <v>0.4948347553960177</v>
      </c>
      <c r="U42" s="40" t="n">
        <v>-3.736358276913202</v>
      </c>
      <c r="V42" s="40" t="n">
        <v>0.09284906716131505</v>
      </c>
      <c r="W42" s="40" t="n">
        <v>0.2554168353920834</v>
      </c>
      <c r="X42" s="40" t="n">
        <v>0.2172671687390733</v>
      </c>
      <c r="Y42" s="40" t="n">
        <v>0.1422441889133174</v>
      </c>
      <c r="Z42" s="40" t="n">
        <v>-0.08970754028276048</v>
      </c>
      <c r="AA42" s="40" t="n">
        <v>0.02497800339571946</v>
      </c>
      <c r="AB42" s="40" t="n">
        <v>0.3088939872711374</v>
      </c>
      <c r="AC42" s="40" t="n">
        <v>0.1589998481841191</v>
      </c>
      <c r="AD42" s="40" t="n">
        <v>0.2267979275682307</v>
      </c>
      <c r="AE42" s="40" t="n">
        <v>-0.05704607817936722</v>
      </c>
      <c r="AF42" s="40" t="n">
        <v>0.2758425482766304</v>
      </c>
      <c r="AG42" s="40" t="n">
        <v>0.299209390331203</v>
      </c>
      <c r="AH42" s="40" t="n">
        <v>0.8744882483093928</v>
      </c>
      <c r="AI42" s="40" t="n">
        <v>1.287392876916087</v>
      </c>
      <c r="AJ42" s="40" t="n">
        <v>1.222546450009897</v>
      </c>
      <c r="AK42" s="40" t="n">
        <v>1.168924026507313</v>
      </c>
      <c r="AL42" s="40" t="n">
        <v>1.417161229988199</v>
      </c>
      <c r="AM42" s="40" t="n">
        <v>-0.4623364235074874</v>
      </c>
      <c r="AN42" s="40" t="n">
        <v>-0.4821555538034978</v>
      </c>
      <c r="AO42" s="40" t="n">
        <v>-0.1280656094916889</v>
      </c>
      <c r="AP42" s="40" t="n">
        <v>-0.3919269838712451</v>
      </c>
      <c r="AQ42" s="40" t="n">
        <v>-0.150399766651722</v>
      </c>
      <c r="AR42" s="40" t="n">
        <v>-0.2022926649246653</v>
      </c>
      <c r="AS42" s="40" t="n">
        <v>0.1029654280399247</v>
      </c>
      <c r="AT42" s="40" t="n">
        <v>-0.1503455957857405</v>
      </c>
      <c r="AU42" s="141" t="n">
        <v>0.05667590934852559</v>
      </c>
      <c r="AV42" s="141" t="n">
        <v>-0.1376704812141829</v>
      </c>
      <c r="AW42" s="141" t="n">
        <v>0.2094537503692037</v>
      </c>
      <c r="AX42" s="141" t="n">
        <v>0.4477370488559279</v>
      </c>
      <c r="AY42" s="141" t="n">
        <v>0.4671728978906605</v>
      </c>
      <c r="AZ42" s="141" t="n">
        <v>0.5423228754905653</v>
      </c>
      <c r="BA42" s="141" t="n">
        <v>0.5003438107543634</v>
      </c>
      <c r="BB42" s="141" t="n">
        <v>0.5570505507740739</v>
      </c>
      <c r="BC42" s="141" t="n">
        <v>0.09456989056544647</v>
      </c>
      <c r="BD42" s="141" t="n">
        <v>0.2451996584306202</v>
      </c>
      <c r="BE42" s="141" t="n">
        <v>0.1866655738567826</v>
      </c>
      <c r="BF42" s="141" t="n">
        <v>0.2215475780426813</v>
      </c>
      <c r="BG42" s="141" t="n">
        <v>0.6686139598367152</v>
      </c>
      <c r="BH42" s="141" t="n">
        <v>0.4109624368655057</v>
      </c>
      <c r="BI42" s="141" t="n">
        <v>0.4591901742801441</v>
      </c>
      <c r="BJ42" s="141" t="n">
        <v>0.5242018614385284</v>
      </c>
      <c r="BK42" s="141" t="n">
        <v>0.5854348986644561</v>
      </c>
      <c r="BL42" s="141" t="n">
        <v>0.3784472608877528</v>
      </c>
      <c r="BM42" s="141" t="n">
        <v>-0.338532065169834</v>
      </c>
      <c r="BN42" s="141" t="n">
        <v>-0.03744931045558273</v>
      </c>
      <c r="BO42" s="141" t="n">
        <v>-0.3224008012707691</v>
      </c>
      <c r="BP42" s="141" t="n">
        <v>-0.005996306974724705</v>
      </c>
      <c r="BQ42" s="141" t="n">
        <v>-0.4103079401440786</v>
      </c>
      <c r="BR42" s="141" t="n">
        <v>-0.2687624384472256</v>
      </c>
      <c r="BS42" s="141" t="n">
        <v>-0.2491312345063607</v>
      </c>
      <c r="BT42" s="141" t="n">
        <v>-0.2542974164282978</v>
      </c>
      <c r="BU42" s="141" t="n">
        <v>-0.3670692031295436</v>
      </c>
      <c r="BV42" s="40" t="n">
        <v>0.2910684500034559</v>
      </c>
      <c r="BW42" s="40" t="n">
        <v>0.7853027396511875</v>
      </c>
      <c r="BX42" s="40" t="n">
        <v>0.2311746806685932</v>
      </c>
      <c r="BY42" s="40" t="n">
        <v>0.5019718616035451</v>
      </c>
      <c r="BZ42" s="40" t="n">
        <v>0.576342102961202</v>
      </c>
      <c r="CA42" s="40" t="n">
        <v>0.2212199816773145</v>
      </c>
      <c r="CB42" s="40" t="n">
        <v>0.0125978194460421</v>
      </c>
      <c r="CC42" s="40" t="n">
        <v>0.4467391461553423</v>
      </c>
      <c r="CD42" s="40" t="n">
        <v>0.2923074826855342</v>
      </c>
      <c r="CE42" s="40" t="n">
        <v>0.2887283348496956</v>
      </c>
      <c r="CG42" s="3" t="n">
        <v>-1</v>
      </c>
    </row>
    <row r="43">
      <c r="A43" s="251" t="n">
        <v>42095</v>
      </c>
      <c r="B43" s="3" t="n">
        <v>0</v>
      </c>
      <c r="C43" s="40" t="n">
        <v>1.18442156740911</v>
      </c>
      <c r="D43" s="40" t="n">
        <v>0.4992750504965617</v>
      </c>
      <c r="E43" s="40" t="n">
        <v>0.3643130554489518</v>
      </c>
      <c r="F43" s="40" t="n">
        <v>0.4651366188058367</v>
      </c>
      <c r="G43" s="40" t="n">
        <v>0.3869143677016504</v>
      </c>
      <c r="H43" s="40" t="n">
        <v>0.1090787887480882</v>
      </c>
      <c r="I43" s="40" t="n">
        <v>0.431835673088123</v>
      </c>
      <c r="J43" s="40" t="n">
        <v>0.4188921271042017</v>
      </c>
      <c r="K43" s="40" t="n">
        <v>0.4894692909758498</v>
      </c>
      <c r="L43" s="40" t="n">
        <v>0.4212174877996569</v>
      </c>
      <c r="M43" s="40" t="n">
        <v>0.3308198666596727</v>
      </c>
      <c r="N43" s="40" t="n">
        <v>0.3531831988466727</v>
      </c>
      <c r="O43" s="40" t="n">
        <v>0.3180799234127472</v>
      </c>
      <c r="P43" s="40" t="n">
        <v>0.7748319177950637</v>
      </c>
      <c r="Q43" s="40" t="n">
        <v>-0.02043948957806289</v>
      </c>
      <c r="R43" s="40" t="n">
        <v>-0.04773275132895219</v>
      </c>
      <c r="S43" s="40" t="n">
        <v>0.09057039007624086</v>
      </c>
      <c r="T43" s="40" t="n">
        <v>0.4208442834316802</v>
      </c>
      <c r="U43" s="40" t="n">
        <v>-3.7353027533652</v>
      </c>
      <c r="V43" s="40" t="n">
        <v>0.02650637199478923</v>
      </c>
      <c r="W43" s="40" t="n">
        <v>0.2640953724827531</v>
      </c>
      <c r="X43" s="40" t="n">
        <v>0.1652929559755313</v>
      </c>
      <c r="Y43" s="40" t="n">
        <v>0.1707436926983414</v>
      </c>
      <c r="Z43" s="40" t="n">
        <v>-0.1158536791231589</v>
      </c>
      <c r="AA43" s="40" t="n">
        <v>-0.02146667234854114</v>
      </c>
      <c r="AB43" s="40" t="n">
        <v>0.2147546306894937</v>
      </c>
      <c r="AC43" s="40" t="n">
        <v>0.0659386853657898</v>
      </c>
      <c r="AD43" s="40" t="n">
        <v>0.1905273176698692</v>
      </c>
      <c r="AE43" s="40" t="n">
        <v>-0.0531518150931678</v>
      </c>
      <c r="AF43" s="40" t="n">
        <v>0.1379817946505874</v>
      </c>
      <c r="AG43" s="40" t="n">
        <v>0.3021435802202218</v>
      </c>
      <c r="AH43" s="40" t="n">
        <v>0.6271882194778563</v>
      </c>
      <c r="AI43" s="40" t="n">
        <v>0.7209180549280283</v>
      </c>
      <c r="AJ43" s="40" t="n">
        <v>0.8644581436754616</v>
      </c>
      <c r="AK43" s="40" t="n">
        <v>0.5801949775220285</v>
      </c>
      <c r="AL43" s="40" t="n">
        <v>0.8995056711989571</v>
      </c>
      <c r="AM43" s="40" t="n">
        <v>-0.8123627942763971</v>
      </c>
      <c r="AN43" s="40" t="n">
        <v>-0.8332061554902469</v>
      </c>
      <c r="AO43" s="40" t="n">
        <v>-0.3315614877124535</v>
      </c>
      <c r="AP43" s="40" t="n">
        <v>-0.7099898848088938</v>
      </c>
      <c r="AQ43" s="40" t="n">
        <v>-0.5272561163908628</v>
      </c>
      <c r="AR43" s="40" t="n">
        <v>-0.2946335570840304</v>
      </c>
      <c r="AS43" s="40" t="n">
        <v>0.03503131084179556</v>
      </c>
      <c r="AT43" s="40" t="n">
        <v>-0.1880501967514324</v>
      </c>
      <c r="AU43" s="141" t="n">
        <v>-0.07293859033553111</v>
      </c>
      <c r="AV43" s="141" t="n">
        <v>-0.2045842587898927</v>
      </c>
      <c r="AW43" s="141" t="n">
        <v>0.1382500465758064</v>
      </c>
      <c r="AX43" s="141" t="n">
        <v>0.2955840524858482</v>
      </c>
      <c r="AY43" s="141" t="n">
        <v>0.3571762887858106</v>
      </c>
      <c r="AZ43" s="141" t="n">
        <v>0.3805275699550479</v>
      </c>
      <c r="BA43" s="141" t="n">
        <v>0.421995246023514</v>
      </c>
      <c r="BB43" s="141" t="n">
        <v>0.2968254929948661</v>
      </c>
      <c r="BC43" s="141" t="n">
        <v>-0.2787444886978282</v>
      </c>
      <c r="BD43" s="141" t="n">
        <v>-0.101305097021317</v>
      </c>
      <c r="BE43" s="141" t="n">
        <v>-0.2639273135868958</v>
      </c>
      <c r="BF43" s="141" t="n">
        <v>-0.13559956549186</v>
      </c>
      <c r="BG43" s="141" t="n">
        <v>0.9745730017566043</v>
      </c>
      <c r="BH43" s="141" t="n">
        <v>0.6665432789318275</v>
      </c>
      <c r="BI43" s="141" t="n">
        <v>0.7413645361500872</v>
      </c>
      <c r="BJ43" s="141" t="n">
        <v>0.8158254039762738</v>
      </c>
      <c r="BK43" s="141" t="n">
        <v>0.8950356510293395</v>
      </c>
      <c r="BL43" s="141" t="n">
        <v>0.2611064112721729</v>
      </c>
      <c r="BM43" s="141" t="n">
        <v>-0.4260409139043406</v>
      </c>
      <c r="BN43" s="141" t="n">
        <v>-0.3803819008690911</v>
      </c>
      <c r="BO43" s="141" t="n">
        <v>-0.494306353780219</v>
      </c>
      <c r="BP43" s="141" t="n">
        <v>-0.2086069536370234</v>
      </c>
      <c r="BQ43" s="141" t="n">
        <v>-0.3871889073930655</v>
      </c>
      <c r="BR43" s="141" t="n">
        <v>-0.2086051503987008</v>
      </c>
      <c r="BS43" s="141" t="n">
        <v>-0.1720127421466079</v>
      </c>
      <c r="BT43" s="141" t="n">
        <v>-0.1672645803976673</v>
      </c>
      <c r="BU43" s="141" t="n">
        <v>-0.2658081814497722</v>
      </c>
      <c r="BV43" s="40" t="n">
        <v>0.2717136431077833</v>
      </c>
      <c r="BW43" s="40" t="n">
        <v>0.4327556233246347</v>
      </c>
      <c r="BX43" s="40" t="n">
        <v>0.2782837605081447</v>
      </c>
      <c r="BY43" s="40" t="n">
        <v>0.4378427628573022</v>
      </c>
      <c r="BZ43" s="40" t="n">
        <v>0.4606330589279844</v>
      </c>
      <c r="CA43" s="40" t="n">
        <v>0.2740558300682467</v>
      </c>
      <c r="CB43" s="40" t="n">
        <v>0.05054524169880074</v>
      </c>
      <c r="CC43" s="40" t="n">
        <v>0.4464732736621662</v>
      </c>
      <c r="CD43" s="40" t="n">
        <v>0.2701153214852947</v>
      </c>
      <c r="CE43" s="40" t="n">
        <v>0.3276537797344795</v>
      </c>
      <c r="CG43" s="3" t="n">
        <v>-1</v>
      </c>
    </row>
    <row r="44">
      <c r="A44" s="251" t="n">
        <v>42186</v>
      </c>
      <c r="B44" s="3" t="n">
        <v>0</v>
      </c>
      <c r="C44" s="40" t="n">
        <v>1.450799581937531</v>
      </c>
      <c r="D44" s="40" t="n">
        <v>0.5158639101879311</v>
      </c>
      <c r="E44" s="40" t="n">
        <v>0.6401315538183675</v>
      </c>
      <c r="F44" s="40" t="n">
        <v>0.6949644766280999</v>
      </c>
      <c r="G44" s="40" t="n">
        <v>0.6465853022925743</v>
      </c>
      <c r="H44" s="40" t="n">
        <v>0.3109270328901947</v>
      </c>
      <c r="I44" s="40" t="n">
        <v>0.7858610757409582</v>
      </c>
      <c r="J44" s="40" t="n">
        <v>0.5779118392375651</v>
      </c>
      <c r="K44" s="40" t="n">
        <v>0.6859053920895072</v>
      </c>
      <c r="L44" s="40" t="n">
        <v>0.6183485150717696</v>
      </c>
      <c r="M44" s="40" t="n">
        <v>0.681206017794948</v>
      </c>
      <c r="N44" s="40" t="n">
        <v>0.4051481369133771</v>
      </c>
      <c r="O44" s="40" t="n">
        <v>0.2759152439842243</v>
      </c>
      <c r="P44" s="40" t="n">
        <v>0.4347003262856884</v>
      </c>
      <c r="Q44" s="40" t="n">
        <v>-0.1895298124511255</v>
      </c>
      <c r="R44" s="40" t="n">
        <v>-0.1382603831597252</v>
      </c>
      <c r="S44" s="40" t="n">
        <v>-0.2052348262304566</v>
      </c>
      <c r="T44" s="40" t="n">
        <v>0.005633792281547954</v>
      </c>
      <c r="U44" s="40" t="n">
        <v>-3.758710262162354</v>
      </c>
      <c r="V44" s="40" t="n">
        <v>0.008816054962210357</v>
      </c>
      <c r="W44" s="40" t="n">
        <v>0.227737399694915</v>
      </c>
      <c r="X44" s="40" t="n">
        <v>0.0789925036745603</v>
      </c>
      <c r="Y44" s="40" t="n">
        <v>0.1434488522005786</v>
      </c>
      <c r="Z44" s="40" t="n">
        <v>-0.0988177193258116</v>
      </c>
      <c r="AA44" s="40" t="n">
        <v>0.01176260104752455</v>
      </c>
      <c r="AB44" s="40" t="n">
        <v>0.142145123747425</v>
      </c>
      <c r="AC44" s="40" t="n">
        <v>0.04099686645204088</v>
      </c>
      <c r="AD44" s="40" t="n">
        <v>0.1691029442632183</v>
      </c>
      <c r="AE44" s="40" t="n">
        <v>-0.04535683660686201</v>
      </c>
      <c r="AF44" s="40" t="n">
        <v>0.0008152585532233945</v>
      </c>
      <c r="AG44" s="40" t="n">
        <v>0.2840850288367461</v>
      </c>
      <c r="AH44" s="40" t="n">
        <v>0.1666839283723834</v>
      </c>
      <c r="AI44" s="40" t="n">
        <v>-0.9440948221437456</v>
      </c>
      <c r="AJ44" s="40" t="n">
        <v>0.3143451786883489</v>
      </c>
      <c r="AK44" s="40" t="n">
        <v>-0.2494135819934752</v>
      </c>
      <c r="AL44" s="40" t="n">
        <v>0.1434735894114518</v>
      </c>
      <c r="AM44" s="40" t="n">
        <v>-0.5945201318847285</v>
      </c>
      <c r="AN44" s="40" t="n">
        <v>-0.5789635397821062</v>
      </c>
      <c r="AO44" s="40" t="n">
        <v>-0.2632870717984318</v>
      </c>
      <c r="AP44" s="40" t="n">
        <v>-0.4343364954653176</v>
      </c>
      <c r="AQ44" s="40" t="n">
        <v>-0.3295141577581177</v>
      </c>
      <c r="AR44" s="40" t="n">
        <v>0.007731968882844005</v>
      </c>
      <c r="AS44" s="40" t="n">
        <v>0.506020698996942</v>
      </c>
      <c r="AT44" s="40" t="n">
        <v>0.2166602088561322</v>
      </c>
      <c r="AU44" s="141" t="n">
        <v>0.4884782392058525</v>
      </c>
      <c r="AV44" s="141" t="n">
        <v>0.2791640154595215</v>
      </c>
      <c r="AW44" s="141" t="n">
        <v>0.2892136299462159</v>
      </c>
      <c r="AX44" s="141" t="n">
        <v>0.4795633050624365</v>
      </c>
      <c r="AY44" s="141" t="n">
        <v>0.4043485637878224</v>
      </c>
      <c r="AZ44" s="141" t="n">
        <v>0.4489433136870444</v>
      </c>
      <c r="BA44" s="141" t="n">
        <v>0.4877569846667719</v>
      </c>
      <c r="BB44" s="141" t="n">
        <v>0.182700224030378</v>
      </c>
      <c r="BC44" s="141" t="n">
        <v>-0.3526095411924678</v>
      </c>
      <c r="BD44" s="141" t="n">
        <v>-0.3040466674896589</v>
      </c>
      <c r="BE44" s="141" t="n">
        <v>-0.4196652591669837</v>
      </c>
      <c r="BF44" s="141" t="n">
        <v>-0.2835131265232786</v>
      </c>
      <c r="BG44" s="141" t="n">
        <v>0.8641276483162331</v>
      </c>
      <c r="BH44" s="141" t="n">
        <v>0.5012357167781137</v>
      </c>
      <c r="BI44" s="141" t="n">
        <v>0.5797033856321285</v>
      </c>
      <c r="BJ44" s="141" t="n">
        <v>0.5420118547238578</v>
      </c>
      <c r="BK44" s="141" t="n">
        <v>0.6627450955829188</v>
      </c>
      <c r="BL44" s="141" t="n">
        <v>0.1811013414993926</v>
      </c>
      <c r="BM44" s="141" t="n">
        <v>-0.3458373773546042</v>
      </c>
      <c r="BN44" s="141" t="n">
        <v>-0.5908725507128367</v>
      </c>
      <c r="BO44" s="141" t="n">
        <v>-0.5467146935450832</v>
      </c>
      <c r="BP44" s="141" t="n">
        <v>-0.375246232629972</v>
      </c>
      <c r="BQ44" s="141" t="n">
        <v>-0.1948505286804842</v>
      </c>
      <c r="BR44" s="141" t="n">
        <v>0.1346218787530763</v>
      </c>
      <c r="BS44" s="141" t="n">
        <v>0.04896483721254484</v>
      </c>
      <c r="BT44" s="141" t="n">
        <v>0.1667635311208266</v>
      </c>
      <c r="BU44" s="141" t="n">
        <v>0.03611749083052444</v>
      </c>
      <c r="BV44" s="40" t="n">
        <v>0.1972378439477477</v>
      </c>
      <c r="BW44" s="40" t="n">
        <v>0.01299523461960227</v>
      </c>
      <c r="BX44" s="40" t="n">
        <v>0.4840650592199839</v>
      </c>
      <c r="BY44" s="40" t="n">
        <v>0.2923445422202752</v>
      </c>
      <c r="BZ44" s="40" t="n">
        <v>0.277210703677494</v>
      </c>
      <c r="CA44" s="40" t="n">
        <v>0.4018853450997021</v>
      </c>
      <c r="CB44" s="40" t="n">
        <v>0.3141459589222204</v>
      </c>
      <c r="CC44" s="40" t="n">
        <v>0.3972681660528535</v>
      </c>
      <c r="CD44" s="40" t="n">
        <v>0.3475386192031754</v>
      </c>
      <c r="CE44" s="40" t="n">
        <v>0.4452916520215033</v>
      </c>
      <c r="CG44" s="3" t="n">
        <v>-1</v>
      </c>
    </row>
    <row r="45">
      <c r="A45" s="251" t="n">
        <v>42278</v>
      </c>
      <c r="B45" s="3" t="n">
        <v>0</v>
      </c>
      <c r="C45" s="40" t="n">
        <v>1.839767775149761</v>
      </c>
      <c r="D45" s="40" t="n">
        <v>0.8393554725606445</v>
      </c>
      <c r="E45" s="40" t="n">
        <v>0.971115974560294</v>
      </c>
      <c r="F45" s="40" t="n">
        <v>1.008319187324587</v>
      </c>
      <c r="G45" s="40" t="n">
        <v>0.9652216391192472</v>
      </c>
      <c r="H45" s="40" t="n">
        <v>0.4247433439541057</v>
      </c>
      <c r="I45" s="40" t="n">
        <v>0.9142140470700291</v>
      </c>
      <c r="J45" s="40" t="n">
        <v>0.5844944145903215</v>
      </c>
      <c r="K45" s="40" t="n">
        <v>0.7270974480965714</v>
      </c>
      <c r="L45" s="40" t="n">
        <v>0.6846836318552105</v>
      </c>
      <c r="M45" s="40" t="n">
        <v>0.6696453236225469</v>
      </c>
      <c r="N45" s="40" t="n">
        <v>0.3920836533206395</v>
      </c>
      <c r="O45" s="40" t="n">
        <v>0.3197681450210935</v>
      </c>
      <c r="P45" s="40" t="n">
        <v>0.2166006798216626</v>
      </c>
      <c r="Q45" s="40" t="n">
        <v>-0.2415576041043746</v>
      </c>
      <c r="R45" s="40" t="n">
        <v>-0.1563659095258791</v>
      </c>
      <c r="S45" s="40" t="n">
        <v>-0.3759251767587556</v>
      </c>
      <c r="T45" s="40" t="n">
        <v>-0.2646004441567325</v>
      </c>
      <c r="U45" s="40" t="n">
        <v>-3.786799795137205</v>
      </c>
      <c r="V45" s="40" t="n">
        <v>-0.0175338025755302</v>
      </c>
      <c r="W45" s="40" t="n">
        <v>0.1115101098368655</v>
      </c>
      <c r="X45" s="40" t="n">
        <v>-0.00593249791604182</v>
      </c>
      <c r="Y45" s="40" t="n">
        <v>0.09401675018475567</v>
      </c>
      <c r="Z45" s="40" t="n">
        <v>-0.0744202244942075</v>
      </c>
      <c r="AA45" s="40" t="n">
        <v>0.01603007295101019</v>
      </c>
      <c r="AB45" s="40" t="n">
        <v>0.05978067123789114</v>
      </c>
      <c r="AC45" s="40" t="n">
        <v>0.03930267670495723</v>
      </c>
      <c r="AD45" s="40" t="n">
        <v>0.1459785262832651</v>
      </c>
      <c r="AE45" s="40" t="n">
        <v>-0.09298082269526982</v>
      </c>
      <c r="AF45" s="40" t="n">
        <v>-0.07266164109857773</v>
      </c>
      <c r="AG45" s="40" t="n">
        <v>0.2223290714192736</v>
      </c>
      <c r="AH45" s="40" t="n">
        <v>0.2730967925528823</v>
      </c>
      <c r="AI45" s="40" t="n">
        <v>-0.6733599407373081</v>
      </c>
      <c r="AJ45" s="40" t="n">
        <v>0.4993325002405233</v>
      </c>
      <c r="AK45" s="40" t="n">
        <v>-0.1548001558828645</v>
      </c>
      <c r="AL45" s="40" t="n">
        <v>0.1711830825046667</v>
      </c>
      <c r="AM45" s="40" t="n">
        <v>-0.4080274938630747</v>
      </c>
      <c r="AN45" s="40" t="n">
        <v>-0.09604563400065821</v>
      </c>
      <c r="AO45" s="40" t="n">
        <v>-0.2669326123399249</v>
      </c>
      <c r="AP45" s="40" t="n">
        <v>-0.2022371203935625</v>
      </c>
      <c r="AQ45" s="40" t="n">
        <v>-0.1699123476029828</v>
      </c>
      <c r="AR45" s="40" t="n">
        <v>0.185622032413923</v>
      </c>
      <c r="AS45" s="40" t="n">
        <v>0.92798536555474</v>
      </c>
      <c r="AT45" s="40" t="n">
        <v>0.4595484889780651</v>
      </c>
      <c r="AU45" s="141" t="n">
        <v>0.75286847381963</v>
      </c>
      <c r="AV45" s="141" t="n">
        <v>0.5407135460908734</v>
      </c>
      <c r="AW45" s="141" t="n">
        <v>0.3099500530760329</v>
      </c>
      <c r="AX45" s="141" t="n">
        <v>0.5864849675498002</v>
      </c>
      <c r="AY45" s="141" t="n">
        <v>0.3685344537235036</v>
      </c>
      <c r="AZ45" s="141" t="n">
        <v>0.385943024556389</v>
      </c>
      <c r="BA45" s="141" t="n">
        <v>0.4346849186302868</v>
      </c>
      <c r="BB45" s="141" t="n">
        <v>0.09861570884860078</v>
      </c>
      <c r="BC45" s="141" t="n">
        <v>-0.3655121744417505</v>
      </c>
      <c r="BD45" s="141" t="n">
        <v>-0.3932047484556923</v>
      </c>
      <c r="BE45" s="141" t="n">
        <v>-0.4884091745359622</v>
      </c>
      <c r="BF45" s="141" t="n">
        <v>-0.3865811510534573</v>
      </c>
      <c r="BG45" s="141" t="n">
        <v>0.7175290908652278</v>
      </c>
      <c r="BH45" s="141" t="n">
        <v>0.3044067217093745</v>
      </c>
      <c r="BI45" s="141" t="n">
        <v>0.3825122221243342</v>
      </c>
      <c r="BJ45" s="141" t="n">
        <v>0.2536941965627786</v>
      </c>
      <c r="BK45" s="141" t="n">
        <v>0.4021664512585261</v>
      </c>
      <c r="BL45" s="141" t="n">
        <v>0.09320827074297321</v>
      </c>
      <c r="BM45" s="141" t="n">
        <v>-0.3973150802478521</v>
      </c>
      <c r="BN45" s="141" t="n">
        <v>-0.7040441468331119</v>
      </c>
      <c r="BO45" s="141" t="n">
        <v>-0.5727004274515883</v>
      </c>
      <c r="BP45" s="141" t="n">
        <v>-0.5250671927752673</v>
      </c>
      <c r="BQ45" s="141" t="n">
        <v>0.1361090866108731</v>
      </c>
      <c r="BR45" s="141" t="n">
        <v>0.7994636388910783</v>
      </c>
      <c r="BS45" s="141" t="n">
        <v>0.3259409037286373</v>
      </c>
      <c r="BT45" s="141" t="n">
        <v>0.6707415791236272</v>
      </c>
      <c r="BU45" s="141" t="n">
        <v>0.4793674510214435</v>
      </c>
      <c r="BV45" s="40" t="n">
        <v>0.1960026116545146</v>
      </c>
      <c r="BW45" s="40" t="n">
        <v>-0.05322454751668829</v>
      </c>
      <c r="BX45" s="40" t="n">
        <v>0.5038531688207479</v>
      </c>
      <c r="BY45" s="40" t="n">
        <v>0.2105022135576335</v>
      </c>
      <c r="BZ45" s="40" t="n">
        <v>0.2484107103817909</v>
      </c>
      <c r="CA45" s="40" t="n">
        <v>0.4939729371163299</v>
      </c>
      <c r="CB45" s="40" t="n">
        <v>0.5388925797067978</v>
      </c>
      <c r="CC45" s="40" t="n">
        <v>0.3263183235563842</v>
      </c>
      <c r="CD45" s="40" t="n">
        <v>0.3876816341218641</v>
      </c>
      <c r="CE45" s="40" t="n">
        <v>0.5071309564518345</v>
      </c>
      <c r="CG45" s="3" t="n">
        <v>-1</v>
      </c>
    </row>
    <row r="46">
      <c r="A46" s="251" t="n">
        <v>42370</v>
      </c>
      <c r="B46" s="3" t="n">
        <v>0</v>
      </c>
      <c r="C46" s="40" t="n">
        <v>1.854326287204882</v>
      </c>
      <c r="D46" s="40" t="n">
        <v>0.5164907473838716</v>
      </c>
      <c r="E46" s="40" t="n">
        <v>0.8739417628936936</v>
      </c>
      <c r="F46" s="40" t="n">
        <v>0.8252653391088581</v>
      </c>
      <c r="G46" s="40" t="n">
        <v>0.8809025797385139</v>
      </c>
      <c r="H46" s="40" t="n">
        <v>0.6448768694285156</v>
      </c>
      <c r="I46" s="40" t="n">
        <v>0.7222523288716932</v>
      </c>
      <c r="J46" s="40" t="n">
        <v>0.7436067512041427</v>
      </c>
      <c r="K46" s="40" t="n">
        <v>0.9153378905100524</v>
      </c>
      <c r="L46" s="40" t="n">
        <v>0.8583423138471586</v>
      </c>
      <c r="M46" s="40" t="n">
        <v>0.4707157272621736</v>
      </c>
      <c r="N46" s="40" t="n">
        <v>0.4154021719919156</v>
      </c>
      <c r="O46" s="40" t="n">
        <v>0.328138101892514</v>
      </c>
      <c r="P46" s="40" t="n">
        <v>0.1854435874696591</v>
      </c>
      <c r="Q46" s="40" t="n">
        <v>-0.397640979064124</v>
      </c>
      <c r="R46" s="40" t="n">
        <v>-0.2781667232618266</v>
      </c>
      <c r="S46" s="40" t="n">
        <v>-0.3762154664705382</v>
      </c>
      <c r="T46" s="40" t="n">
        <v>-0.3459148460870835</v>
      </c>
      <c r="U46" s="40" t="n">
        <v>-3.800230663449182</v>
      </c>
      <c r="V46" s="40" t="n">
        <v>-0.08405179078144187</v>
      </c>
      <c r="W46" s="40" t="n">
        <v>0.005314479007239734</v>
      </c>
      <c r="X46" s="40" t="n">
        <v>-0.04708619866968066</v>
      </c>
      <c r="Y46" s="40" t="n">
        <v>0.054502891540382</v>
      </c>
      <c r="Z46" s="40" t="n">
        <v>-0.08872580212653719</v>
      </c>
      <c r="AA46" s="40" t="n">
        <v>0.001055549709815584</v>
      </c>
      <c r="AB46" s="40" t="n">
        <v>0.01661213057379624</v>
      </c>
      <c r="AC46" s="40" t="n">
        <v>0.01085389043440099</v>
      </c>
      <c r="AD46" s="40" t="n">
        <v>0.08944645123519131</v>
      </c>
      <c r="AE46" s="40" t="n">
        <v>-0.2156159371302678</v>
      </c>
      <c r="AF46" s="40" t="n">
        <v>-0.1733748960803275</v>
      </c>
      <c r="AG46" s="40" t="n">
        <v>0.1044577591191748</v>
      </c>
      <c r="AH46" s="40" t="n">
        <v>0.3206547164068823</v>
      </c>
      <c r="AI46" s="40" t="n">
        <v>-0.674497421760332</v>
      </c>
      <c r="AJ46" s="40" t="n">
        <v>0.4819839245112345</v>
      </c>
      <c r="AK46" s="40" t="n">
        <v>-0.180285916098021</v>
      </c>
      <c r="AL46" s="40" t="n">
        <v>0.1473782874337445</v>
      </c>
      <c r="AM46" s="40" t="n">
        <v>-0.376732588508606</v>
      </c>
      <c r="AN46" s="40" t="n">
        <v>0.06728510210081637</v>
      </c>
      <c r="AO46" s="40" t="n">
        <v>-0.3414537203327156</v>
      </c>
      <c r="AP46" s="40" t="n">
        <v>-0.1212028983451808</v>
      </c>
      <c r="AQ46" s="40" t="n">
        <v>-0.1348292730897858</v>
      </c>
      <c r="AR46" s="40" t="n">
        <v>0.4022277151988751</v>
      </c>
      <c r="AS46" s="40" t="n">
        <v>0.9911819320298714</v>
      </c>
      <c r="AT46" s="40" t="n">
        <v>0.7172617201992243</v>
      </c>
      <c r="AU46" s="141" t="n">
        <v>1.035385248777233</v>
      </c>
      <c r="AV46" s="141" t="n">
        <v>0.8211790724996205</v>
      </c>
      <c r="AW46" s="141" t="n">
        <v>0.6097729100500925</v>
      </c>
      <c r="AX46" s="141" t="n">
        <v>0.3494300162132438</v>
      </c>
      <c r="AY46" s="141" t="n">
        <v>0.5239827071614831</v>
      </c>
      <c r="AZ46" s="141" t="n">
        <v>0.591274785181963</v>
      </c>
      <c r="BA46" s="141" t="n">
        <v>0.5982066840372798</v>
      </c>
      <c r="BB46" s="141" t="n">
        <v>0.2340224363116169</v>
      </c>
      <c r="BC46" s="141" t="n">
        <v>-0.4536091300507555</v>
      </c>
      <c r="BD46" s="141" t="n">
        <v>-0.2458783304358904</v>
      </c>
      <c r="BE46" s="141" t="n">
        <v>-0.200685433272025</v>
      </c>
      <c r="BF46" s="141" t="n">
        <v>-0.1958630557347321</v>
      </c>
      <c r="BG46" s="141" t="n">
        <v>0.8059878477349278</v>
      </c>
      <c r="BH46" s="141" t="n">
        <v>0.1364913304166395</v>
      </c>
      <c r="BI46" s="141" t="n">
        <v>0.4566905511065528</v>
      </c>
      <c r="BJ46" s="141" t="n">
        <v>0.2916046152712961</v>
      </c>
      <c r="BK46" s="141" t="n">
        <v>0.4464786191830806</v>
      </c>
      <c r="BL46" s="141" t="n">
        <v>0.1491238617533056</v>
      </c>
      <c r="BM46" s="141" t="n">
        <v>-0.2765101957425626</v>
      </c>
      <c r="BN46" s="141" t="n">
        <v>-0.5318674852206747</v>
      </c>
      <c r="BO46" s="141" t="n">
        <v>-0.3589570884864512</v>
      </c>
      <c r="BP46" s="141" t="n">
        <v>-0.4510248857738578</v>
      </c>
      <c r="BQ46" s="141" t="n">
        <v>0.2842002452941391</v>
      </c>
      <c r="BR46" s="141" t="n">
        <v>1.026476428693759</v>
      </c>
      <c r="BS46" s="141" t="n">
        <v>0.4850009552880306</v>
      </c>
      <c r="BT46" s="141" t="n">
        <v>0.8338594546549296</v>
      </c>
      <c r="BU46" s="141" t="n">
        <v>0.6442871394045521</v>
      </c>
      <c r="BV46" s="40" t="n">
        <v>0.2812341320207793</v>
      </c>
      <c r="BW46" s="40" t="n">
        <v>-0.01047793510687319</v>
      </c>
      <c r="BX46" s="40" t="n">
        <v>0.7323142019094484</v>
      </c>
      <c r="BY46" s="40" t="n">
        <v>0.2407804960474053</v>
      </c>
      <c r="BZ46" s="40" t="n">
        <v>0.3265522491092162</v>
      </c>
      <c r="CA46" s="40" t="n">
        <v>0.4010000044083717</v>
      </c>
      <c r="CB46" s="40" t="n">
        <v>0.2166641990710052</v>
      </c>
      <c r="CC46" s="40" t="n">
        <v>0.1527357131596504</v>
      </c>
      <c r="CD46" s="40" t="n">
        <v>0.1968055601293667</v>
      </c>
      <c r="CE46" s="40" t="n">
        <v>0.3289240311302414</v>
      </c>
      <c r="CG46" s="3" t="n">
        <v>-1</v>
      </c>
    </row>
    <row r="47">
      <c r="A47" s="251" t="n">
        <v>42461</v>
      </c>
      <c r="B47" s="3" t="n">
        <v>0</v>
      </c>
      <c r="C47" s="40" t="n">
        <v>2.215313099478107</v>
      </c>
      <c r="D47" s="40" t="n">
        <v>1.045389436367985</v>
      </c>
      <c r="E47" s="40" t="n">
        <v>1.059241299868896</v>
      </c>
      <c r="F47" s="40" t="n">
        <v>1.058525132737638</v>
      </c>
      <c r="G47" s="40" t="n">
        <v>1.133796849572676</v>
      </c>
      <c r="H47" s="40" t="n">
        <v>0.5424288282959246</v>
      </c>
      <c r="I47" s="40" t="n">
        <v>0.562460001679242</v>
      </c>
      <c r="J47" s="40" t="n">
        <v>0.656433633227003</v>
      </c>
      <c r="K47" s="40" t="n">
        <v>0.6209508304060793</v>
      </c>
      <c r="L47" s="40" t="n">
        <v>0.6492827329325479</v>
      </c>
      <c r="M47" s="40" t="n">
        <v>0.3802975990513788</v>
      </c>
      <c r="N47" s="40" t="n">
        <v>0.4140140003515778</v>
      </c>
      <c r="O47" s="40" t="n">
        <v>0.3910206897547192</v>
      </c>
      <c r="P47" s="40" t="n">
        <v>0.0815866129629798</v>
      </c>
      <c r="Q47" s="40" t="n">
        <v>-0.4961221561220615</v>
      </c>
      <c r="R47" s="40" t="n">
        <v>-0.4575760299809937</v>
      </c>
      <c r="S47" s="40" t="n">
        <v>-0.4200492129497448</v>
      </c>
      <c r="T47" s="40" t="n">
        <v>-0.4354921433637061</v>
      </c>
      <c r="U47" s="40" t="n">
        <v>-3.838465637042235</v>
      </c>
      <c r="V47" s="40" t="n">
        <v>-0.1357554584303462</v>
      </c>
      <c r="W47" s="40" t="n">
        <v>-0.06599792382904045</v>
      </c>
      <c r="X47" s="40" t="n">
        <v>-0.09901301758938548</v>
      </c>
      <c r="Y47" s="40" t="n">
        <v>-0.009171767451186594</v>
      </c>
      <c r="Z47" s="40" t="n">
        <v>-0.1434301931137915</v>
      </c>
      <c r="AA47" s="40" t="n">
        <v>-0.02964984212543634</v>
      </c>
      <c r="AB47" s="40" t="n">
        <v>-0.03261768416615091</v>
      </c>
      <c r="AC47" s="40" t="n">
        <v>-0.05432685499594155</v>
      </c>
      <c r="AD47" s="40" t="n">
        <v>0.003915187859864793</v>
      </c>
      <c r="AE47" s="40" t="n">
        <v>-0.2910769156339802</v>
      </c>
      <c r="AF47" s="40" t="n">
        <v>-0.2188813148392123</v>
      </c>
      <c r="AG47" s="40" t="n">
        <v>-0.03546328878925482</v>
      </c>
      <c r="AH47" s="40" t="n">
        <v>0.3838076731426652</v>
      </c>
      <c r="AI47" s="40" t="n">
        <v>-0.2964059443020577</v>
      </c>
      <c r="AJ47" s="40" t="n">
        <v>0.3338383591538553</v>
      </c>
      <c r="AK47" s="40" t="n">
        <v>-0.1799292602882987</v>
      </c>
      <c r="AL47" s="40" t="n">
        <v>0.1511539128817662</v>
      </c>
      <c r="AM47" s="40" t="n">
        <v>-0.1341275136866974</v>
      </c>
      <c r="AN47" s="40" t="n">
        <v>0.5330967952948611</v>
      </c>
      <c r="AO47" s="40" t="n">
        <v>-0.2470010990776068</v>
      </c>
      <c r="AP47" s="40" t="n">
        <v>0.1805324515236201</v>
      </c>
      <c r="AQ47" s="40" t="n">
        <v>0.09793746727750716</v>
      </c>
      <c r="AR47" s="40" t="n">
        <v>0.3261372261248494</v>
      </c>
      <c r="AS47" s="40" t="n">
        <v>1.017826370258901</v>
      </c>
      <c r="AT47" s="40" t="n">
        <v>0.6901945195234751</v>
      </c>
      <c r="AU47" s="141" t="n">
        <v>0.7591998649148188</v>
      </c>
      <c r="AV47" s="141" t="n">
        <v>0.6597980012597251</v>
      </c>
      <c r="AW47" s="141" t="n">
        <v>0.4521365183434702</v>
      </c>
      <c r="AX47" s="141" t="n">
        <v>0.2739847750637873</v>
      </c>
      <c r="AY47" s="141" t="n">
        <v>0.3743810165418128</v>
      </c>
      <c r="AZ47" s="141" t="n">
        <v>0.3370612597960698</v>
      </c>
      <c r="BA47" s="141" t="n">
        <v>0.3991205448242211</v>
      </c>
      <c r="BB47" s="141" t="n">
        <v>0.181879492740201</v>
      </c>
      <c r="BC47" s="141" t="n">
        <v>-0.1614118178694705</v>
      </c>
      <c r="BD47" s="141" t="n">
        <v>-0.3014291639675323</v>
      </c>
      <c r="BE47" s="141" t="n">
        <v>-0.2318194909691081</v>
      </c>
      <c r="BF47" s="141" t="n">
        <v>-0.256033273194432</v>
      </c>
      <c r="BG47" s="141" t="n">
        <v>0.7877266973257091</v>
      </c>
      <c r="BH47" s="141" t="n">
        <v>-0.1856459117914881</v>
      </c>
      <c r="BI47" s="141" t="n">
        <v>0.4011686406239013</v>
      </c>
      <c r="BJ47" s="141" t="n">
        <v>0.1842540626663656</v>
      </c>
      <c r="BK47" s="141" t="n">
        <v>0.3561798179822888</v>
      </c>
      <c r="BL47" s="141" t="n">
        <v>0.2395325413692141</v>
      </c>
      <c r="BM47" s="141" t="n">
        <v>-0.02601302358288503</v>
      </c>
      <c r="BN47" s="141" t="n">
        <v>-0.3909207646296695</v>
      </c>
      <c r="BO47" s="141" t="n">
        <v>-0.1241124273976563</v>
      </c>
      <c r="BP47" s="141" t="n">
        <v>-0.2926564245119636</v>
      </c>
      <c r="BQ47" s="141" t="n">
        <v>0.4299383878504996</v>
      </c>
      <c r="BR47" s="141" t="n">
        <v>1.207706295470898</v>
      </c>
      <c r="BS47" s="141" t="n">
        <v>0.6395091235305297</v>
      </c>
      <c r="BT47" s="141" t="n">
        <v>0.9606810752864948</v>
      </c>
      <c r="BU47" s="141" t="n">
        <v>0.7803564899346904</v>
      </c>
      <c r="BV47" s="40" t="n">
        <v>0.2753273857667409</v>
      </c>
      <c r="BW47" s="40" t="n">
        <v>0.003850247789444691</v>
      </c>
      <c r="BX47" s="40" t="n">
        <v>0.4126515803039191</v>
      </c>
      <c r="BY47" s="40" t="n">
        <v>0.1115767657883259</v>
      </c>
      <c r="BZ47" s="40" t="n">
        <v>0.2959310044042029</v>
      </c>
      <c r="CA47" s="40" t="n">
        <v>0.3207807637595932</v>
      </c>
      <c r="CB47" s="40" t="n">
        <v>0.05631115282494927</v>
      </c>
      <c r="CC47" s="40" t="n">
        <v>0.0711883622451852</v>
      </c>
      <c r="CD47" s="40" t="n">
        <v>0.05873879731259436</v>
      </c>
      <c r="CE47" s="40" t="n">
        <v>0.1651796152606621</v>
      </c>
      <c r="CG47" s="3" t="n">
        <v>-1</v>
      </c>
    </row>
    <row r="48">
      <c r="A48" s="251" t="n">
        <v>42552</v>
      </c>
      <c r="B48" s="3" t="n">
        <v>0</v>
      </c>
      <c r="C48" s="40" t="n">
        <v>2.03088797633589</v>
      </c>
      <c r="D48" s="40" t="n">
        <v>0.5882464457212383</v>
      </c>
      <c r="E48" s="40" t="n">
        <v>0.7571348331869133</v>
      </c>
      <c r="F48" s="40" t="n">
        <v>0.6297019815251552</v>
      </c>
      <c r="G48" s="40" t="n">
        <v>0.8293402837990484</v>
      </c>
      <c r="H48" s="40" t="n">
        <v>0.349427397757899</v>
      </c>
      <c r="I48" s="40" t="n">
        <v>0.04997095491380469</v>
      </c>
      <c r="J48" s="40" t="n">
        <v>0.5518159945517026</v>
      </c>
      <c r="K48" s="40" t="n">
        <v>0.2179254781344059</v>
      </c>
      <c r="L48" s="40" t="n">
        <v>0.3468685261031772</v>
      </c>
      <c r="M48" s="40" t="n">
        <v>-0.06714746835562593</v>
      </c>
      <c r="N48" s="40" t="n">
        <v>0.3575061066025929</v>
      </c>
      <c r="O48" s="40" t="n">
        <v>0.2491066303440466</v>
      </c>
      <c r="P48" s="40" t="n">
        <v>-0.05602387825837054</v>
      </c>
      <c r="Q48" s="40" t="n">
        <v>-0.3511875936594365</v>
      </c>
      <c r="R48" s="40" t="n">
        <v>-0.4789734702319037</v>
      </c>
      <c r="S48" s="40" t="n">
        <v>-0.4624315108700367</v>
      </c>
      <c r="T48" s="40" t="n">
        <v>-0.499341789221257</v>
      </c>
      <c r="U48" s="40" t="n">
        <v>-3.870829871388939</v>
      </c>
      <c r="V48" s="40" t="n">
        <v>-0.1475419104921226</v>
      </c>
      <c r="W48" s="40" t="n">
        <v>-0.08380498862827804</v>
      </c>
      <c r="X48" s="40" t="n">
        <v>-0.1282344506599309</v>
      </c>
      <c r="Y48" s="40" t="n">
        <v>-0.06406100520761529</v>
      </c>
      <c r="Z48" s="40" t="n">
        <v>-0.1836401661057109</v>
      </c>
      <c r="AA48" s="40" t="n">
        <v>-0.09119978531628563</v>
      </c>
      <c r="AB48" s="40" t="n">
        <v>-0.05068923447129482</v>
      </c>
      <c r="AC48" s="40" t="n">
        <v>-0.09301597082959118</v>
      </c>
      <c r="AD48" s="40" t="n">
        <v>-0.05538488143997596</v>
      </c>
      <c r="AE48" s="40" t="n">
        <v>-0.3685028104401846</v>
      </c>
      <c r="AF48" s="40" t="n">
        <v>-0.2631568361920166</v>
      </c>
      <c r="AG48" s="40" t="n">
        <v>-0.1758023412301653</v>
      </c>
      <c r="AH48" s="40" t="n">
        <v>-0.2458691515281329</v>
      </c>
      <c r="AI48" s="40" t="n">
        <v>-0.5024361522067695</v>
      </c>
      <c r="AJ48" s="40" t="n">
        <v>-1.137558893738803</v>
      </c>
      <c r="AK48" s="40" t="n">
        <v>-1.154119710302692</v>
      </c>
      <c r="AL48" s="40" t="n">
        <v>-0.7306221743200304</v>
      </c>
      <c r="AM48" s="40" t="n">
        <v>-0.4712442822020811</v>
      </c>
      <c r="AN48" s="40" t="n">
        <v>0.09689552030665687</v>
      </c>
      <c r="AO48" s="40" t="n">
        <v>-0.3967598030367326</v>
      </c>
      <c r="AP48" s="40" t="n">
        <v>-0.1024358615997728</v>
      </c>
      <c r="AQ48" s="40" t="n">
        <v>-0.2262451588355121</v>
      </c>
      <c r="AR48" s="40" t="n">
        <v>0.3599300759020662</v>
      </c>
      <c r="AS48" s="40" t="n">
        <v>0.5774700269017154</v>
      </c>
      <c r="AT48" s="40" t="n">
        <v>0.7102758277718668</v>
      </c>
      <c r="AU48" s="141" t="n">
        <v>0.6787292550659938</v>
      </c>
      <c r="AV48" s="141" t="n">
        <v>0.6550774021843054</v>
      </c>
      <c r="AW48" s="141" t="n">
        <v>0.3324295339325221</v>
      </c>
      <c r="AX48" s="141" t="n">
        <v>0.03772223653407579</v>
      </c>
      <c r="AY48" s="141" t="n">
        <v>0.3400148981791101</v>
      </c>
      <c r="AZ48" s="141" t="n">
        <v>0.1488085440969516</v>
      </c>
      <c r="BA48" s="141" t="n">
        <v>0.2470339542851129</v>
      </c>
      <c r="BB48" s="141" t="n">
        <v>0.198429203141151</v>
      </c>
      <c r="BC48" s="141" t="n">
        <v>0.02208726798562759</v>
      </c>
      <c r="BD48" s="141" t="n">
        <v>-0.226349255932229</v>
      </c>
      <c r="BE48" s="141" t="n">
        <v>-0.1458485620824497</v>
      </c>
      <c r="BF48" s="141" t="n">
        <v>-0.2108366427033607</v>
      </c>
      <c r="BG48" s="141" t="n">
        <v>0.6101007470820704</v>
      </c>
      <c r="BH48" s="141" t="n">
        <v>-0.2523949073695708</v>
      </c>
      <c r="BI48" s="141" t="n">
        <v>0.2075851024841318</v>
      </c>
      <c r="BJ48" s="141" t="n">
        <v>-0.1091176121478793</v>
      </c>
      <c r="BK48" s="141" t="n">
        <v>0.07461591829987349</v>
      </c>
      <c r="BL48" s="141" t="n">
        <v>0.1842012046734406</v>
      </c>
      <c r="BM48" s="141" t="n">
        <v>0.003737707430930864</v>
      </c>
      <c r="BN48" s="141" t="n">
        <v>-0.2958360794056772</v>
      </c>
      <c r="BO48" s="141" t="n">
        <v>-0.1370109532679969</v>
      </c>
      <c r="BP48" s="141" t="n">
        <v>-0.3252181056768396</v>
      </c>
      <c r="BQ48" s="141" t="n">
        <v>0.4960084094661862</v>
      </c>
      <c r="BR48" s="141" t="n">
        <v>1.021082876240688</v>
      </c>
      <c r="BS48" s="141" t="n">
        <v>0.739748661655993</v>
      </c>
      <c r="BT48" s="141" t="n">
        <v>0.9320594242428457</v>
      </c>
      <c r="BU48" s="141" t="n">
        <v>0.7966243261402407</v>
      </c>
      <c r="BV48" s="40" t="n">
        <v>0.2522238026590909</v>
      </c>
      <c r="BW48" s="40" t="n">
        <v>0.05858457171931482</v>
      </c>
      <c r="BX48" s="40" t="n">
        <v>0.06765259506985616</v>
      </c>
      <c r="BY48" s="40" t="n">
        <v>0.01237973631404242</v>
      </c>
      <c r="BZ48" s="40" t="n">
        <v>0.2372198763847685</v>
      </c>
      <c r="CA48" s="40" t="n">
        <v>0.1868299203688374</v>
      </c>
      <c r="CB48" s="40" t="n">
        <v>-0.2591768020014737</v>
      </c>
      <c r="CC48" s="40" t="n">
        <v>0.03662077756438616</v>
      </c>
      <c r="CD48" s="40" t="n">
        <v>-0.1338062861260537</v>
      </c>
      <c r="CE48" s="40" t="n">
        <v>-0.04785630596524548</v>
      </c>
      <c r="CG48" s="3" t="n">
        <v>-1</v>
      </c>
    </row>
    <row r="49">
      <c r="A49" s="251" t="n">
        <v>42644</v>
      </c>
      <c r="B49" s="3" t="n">
        <v>0</v>
      </c>
      <c r="C49" s="40" t="n">
        <v>2.085159608495251</v>
      </c>
      <c r="D49" s="40" t="n">
        <v>0.2488428921668348</v>
      </c>
      <c r="E49" s="40" t="n">
        <v>0.7462233126812476</v>
      </c>
      <c r="F49" s="40" t="n">
        <v>0.5360868599807522</v>
      </c>
      <c r="G49" s="40" t="n">
        <v>0.7607087386534965</v>
      </c>
      <c r="H49" s="40" t="n">
        <v>0.1202219904184456</v>
      </c>
      <c r="I49" s="40" t="n">
        <v>-0.3952487951766419</v>
      </c>
      <c r="J49" s="40" t="n">
        <v>0.3426206655265281</v>
      </c>
      <c r="K49" s="40" t="n">
        <v>-0.2143301259097944</v>
      </c>
      <c r="L49" s="40" t="n">
        <v>0.02342546266118051</v>
      </c>
      <c r="M49" s="40" t="n">
        <v>-0.3737030273908943</v>
      </c>
      <c r="N49" s="40" t="n">
        <v>0.1722981924140835</v>
      </c>
      <c r="O49" s="40" t="n">
        <v>0.118759141571262</v>
      </c>
      <c r="P49" s="40" t="n">
        <v>0.001097457720302765</v>
      </c>
      <c r="Q49" s="40" t="n">
        <v>-0.1542252395435625</v>
      </c>
      <c r="R49" s="40" t="n">
        <v>-0.3505888287264449</v>
      </c>
      <c r="S49" s="40" t="n">
        <v>-0.3268662154674583</v>
      </c>
      <c r="T49" s="40" t="n">
        <v>-0.3984969073815373</v>
      </c>
      <c r="U49" s="40" t="n">
        <v>-3.881136402983054</v>
      </c>
      <c r="V49" s="40" t="n">
        <v>-0.1241406694773114</v>
      </c>
      <c r="W49" s="40" t="n">
        <v>-0.08558626273344992</v>
      </c>
      <c r="X49" s="40" t="n">
        <v>-0.1244187665221013</v>
      </c>
      <c r="Y49" s="40" t="n">
        <v>-0.09055660528491762</v>
      </c>
      <c r="Z49" s="40" t="n">
        <v>-0.1837736801519274</v>
      </c>
      <c r="AA49" s="40" t="n">
        <v>-0.1175751473599481</v>
      </c>
      <c r="AB49" s="40" t="n">
        <v>-0.06479638136096301</v>
      </c>
      <c r="AC49" s="40" t="n">
        <v>-0.08273967804768273</v>
      </c>
      <c r="AD49" s="40" t="n">
        <v>-0.06495710084083035</v>
      </c>
      <c r="AE49" s="40" t="n">
        <v>-0.4073759470249638</v>
      </c>
      <c r="AF49" s="40" t="n">
        <v>-0.318156905188357</v>
      </c>
      <c r="AG49" s="40" t="n">
        <v>-0.2497329598903488</v>
      </c>
      <c r="AH49" s="40" t="n">
        <v>-0.3235595817418032</v>
      </c>
      <c r="AI49" s="40" t="n">
        <v>-0.7266500906078647</v>
      </c>
      <c r="AJ49" s="40" t="n">
        <v>-1.100974601110984</v>
      </c>
      <c r="AK49" s="40" t="n">
        <v>-1.051702598909428</v>
      </c>
      <c r="AL49" s="40" t="n">
        <v>-0.8216348226940081</v>
      </c>
      <c r="AM49" s="40" t="n">
        <v>-0.4924331960744986</v>
      </c>
      <c r="AN49" s="40" t="n">
        <v>-0.06634336290261955</v>
      </c>
      <c r="AO49" s="40" t="n">
        <v>-0.1336521482938951</v>
      </c>
      <c r="AP49" s="40" t="n">
        <v>-0.04819155247257777</v>
      </c>
      <c r="AQ49" s="40" t="n">
        <v>-0.2239781787449102</v>
      </c>
      <c r="AR49" s="40" t="n">
        <v>0.3560885233412999</v>
      </c>
      <c r="AS49" s="40" t="n">
        <v>0.2794997677153919</v>
      </c>
      <c r="AT49" s="40" t="n">
        <v>0.7915596156527551</v>
      </c>
      <c r="AU49" s="141" t="n">
        <v>0.5290504941063322</v>
      </c>
      <c r="AV49" s="141" t="n">
        <v>0.5848111916023686</v>
      </c>
      <c r="AW49" s="141" t="n">
        <v>0.0851520038757209</v>
      </c>
      <c r="AX49" s="141" t="n">
        <v>-0.196221400043373</v>
      </c>
      <c r="AY49" s="141" t="n">
        <v>0.2565225905196821</v>
      </c>
      <c r="AZ49" s="141" t="n">
        <v>-0.1517600895290292</v>
      </c>
      <c r="BA49" s="141" t="n">
        <v>0.008909205967051576</v>
      </c>
      <c r="BB49" s="141" t="n">
        <v>0.0773554125817067</v>
      </c>
      <c r="BC49" s="141" t="n">
        <v>-0.0298545670252116</v>
      </c>
      <c r="BD49" s="141" t="n">
        <v>-0.2707562394604298</v>
      </c>
      <c r="BE49" s="141" t="n">
        <v>-0.2872321362603698</v>
      </c>
      <c r="BF49" s="141" t="n">
        <v>-0.3351819243331036</v>
      </c>
      <c r="BG49" s="141" t="n">
        <v>0.5085712817615876</v>
      </c>
      <c r="BH49" s="141" t="n">
        <v>-0.2076153612732768</v>
      </c>
      <c r="BI49" s="141" t="n">
        <v>0.08074416942889145</v>
      </c>
      <c r="BJ49" s="141" t="n">
        <v>-0.2727708774852811</v>
      </c>
      <c r="BK49" s="141" t="n">
        <v>-0.09038177134027292</v>
      </c>
      <c r="BL49" s="141" t="n">
        <v>0.1061506780547886</v>
      </c>
      <c r="BM49" s="141" t="n">
        <v>0.01560550555537477</v>
      </c>
      <c r="BN49" s="141" t="n">
        <v>-0.3300893686153676</v>
      </c>
      <c r="BO49" s="141" t="n">
        <v>-0.2018811204576758</v>
      </c>
      <c r="BP49" s="141" t="n">
        <v>-0.3689739743135215</v>
      </c>
      <c r="BQ49" s="141" t="n">
        <v>0.4739581364658964</v>
      </c>
      <c r="BR49" s="141" t="n">
        <v>0.4993376513106833</v>
      </c>
      <c r="BS49" s="141" t="n">
        <v>0.8313425310679921</v>
      </c>
      <c r="BT49" s="141" t="n">
        <v>0.746003897250737</v>
      </c>
      <c r="BU49" s="141" t="n">
        <v>0.6926152938611932</v>
      </c>
      <c r="BV49" s="40" t="n">
        <v>0.2155095383952876</v>
      </c>
      <c r="BW49" s="40" t="n">
        <v>0.02078357776150734</v>
      </c>
      <c r="BX49" s="40" t="n">
        <v>-0.03066110265972412</v>
      </c>
      <c r="BY49" s="40" t="n">
        <v>-0.04782708681064331</v>
      </c>
      <c r="BZ49" s="40" t="n">
        <v>0.134354582371087</v>
      </c>
      <c r="CA49" s="40" t="n">
        <v>0.05735403648850348</v>
      </c>
      <c r="CB49" s="40" t="n">
        <v>-0.5261968652952485</v>
      </c>
      <c r="CC49" s="40" t="n">
        <v>0.00845796005488387</v>
      </c>
      <c r="CD49" s="40" t="n">
        <v>-0.3132657230519446</v>
      </c>
      <c r="CE49" s="40" t="n">
        <v>-0.2245770640558421</v>
      </c>
      <c r="CG49" s="3" t="n">
        <v>-1</v>
      </c>
    </row>
    <row r="50">
      <c r="A50" s="251" t="n">
        <v>42736</v>
      </c>
      <c r="B50" s="3" t="n">
        <v>0</v>
      </c>
      <c r="C50" s="40" t="n">
        <v>2.046429749518706</v>
      </c>
      <c r="D50" s="40" t="n">
        <v>0.1948051021328468</v>
      </c>
      <c r="E50" s="40" t="n">
        <v>0.4877654316781794</v>
      </c>
      <c r="F50" s="40" t="n">
        <v>0.3383177269883123</v>
      </c>
      <c r="G50" s="40" t="n">
        <v>0.5904842760196735</v>
      </c>
      <c r="H50" s="40" t="n">
        <v>-0.04581706577913688</v>
      </c>
      <c r="I50" s="40" t="n">
        <v>-0.8964755428708213</v>
      </c>
      <c r="J50" s="40" t="n">
        <v>-0.1150221008300086</v>
      </c>
      <c r="K50" s="40" t="n">
        <v>-0.5158311853542911</v>
      </c>
      <c r="L50" s="40" t="n">
        <v>-0.1979118725488343</v>
      </c>
      <c r="M50" s="40" t="n">
        <v>-0.774919796723469</v>
      </c>
      <c r="N50" s="40" t="n">
        <v>-0.1771082131908644</v>
      </c>
      <c r="O50" s="40" t="n">
        <v>-0.02433371859579355</v>
      </c>
      <c r="P50" s="40" t="n">
        <v>0.08677946168831346</v>
      </c>
      <c r="Q50" s="40" t="n">
        <v>-0.0706091458151251</v>
      </c>
      <c r="R50" s="40" t="n">
        <v>-0.4147811494791738</v>
      </c>
      <c r="S50" s="40" t="n">
        <v>-0.1883980229470523</v>
      </c>
      <c r="T50" s="40" t="n">
        <v>-0.2907036817279076</v>
      </c>
      <c r="U50" s="40" t="n">
        <v>-3.883899503435483</v>
      </c>
      <c r="V50" s="40" t="n">
        <v>-0.1101026001195824</v>
      </c>
      <c r="W50" s="40" t="n">
        <v>-0.1172896462554681</v>
      </c>
      <c r="X50" s="40" t="n">
        <v>-0.1102052329617911</v>
      </c>
      <c r="Y50" s="40" t="n">
        <v>-0.09758793484360131</v>
      </c>
      <c r="Z50" s="40" t="n">
        <v>-0.1870725779661788</v>
      </c>
      <c r="AA50" s="40" t="n">
        <v>-0.1057409351371086</v>
      </c>
      <c r="AB50" s="40" t="n">
        <v>-0.06680022833750783</v>
      </c>
      <c r="AC50" s="40" t="n">
        <v>-0.07313532337263075</v>
      </c>
      <c r="AD50" s="40" t="n">
        <v>-0.06629813699066407</v>
      </c>
      <c r="AE50" s="40" t="n">
        <v>-0.2814038959466739</v>
      </c>
      <c r="AF50" s="40" t="n">
        <v>-0.3160350803236049</v>
      </c>
      <c r="AG50" s="40" t="n">
        <v>-0.2652521792381559</v>
      </c>
      <c r="AH50" s="40" t="n">
        <v>-0.2948792713810585</v>
      </c>
      <c r="AI50" s="40" t="n">
        <v>-0.7496405758290269</v>
      </c>
      <c r="AJ50" s="40" t="n">
        <v>-1.119948949448895</v>
      </c>
      <c r="AK50" s="40" t="n">
        <v>-0.8022761033678677</v>
      </c>
      <c r="AL50" s="40" t="n">
        <v>-0.776613621577476</v>
      </c>
      <c r="AM50" s="40" t="n">
        <v>-0.4049924362055313</v>
      </c>
      <c r="AN50" s="40" t="n">
        <v>-0.02221240132134248</v>
      </c>
      <c r="AO50" s="40" t="n">
        <v>0.03709649916842988</v>
      </c>
      <c r="AP50" s="40" t="n">
        <v>0.06256090322336194</v>
      </c>
      <c r="AQ50" s="40" t="n">
        <v>-0.1049381328041487</v>
      </c>
      <c r="AR50" s="40" t="n">
        <v>0.2041678825432785</v>
      </c>
      <c r="AS50" s="40" t="n">
        <v>-0.3247422817225259</v>
      </c>
      <c r="AT50" s="40" t="n">
        <v>0.4368805038819666</v>
      </c>
      <c r="AU50" s="141" t="n">
        <v>0.1066030643862051</v>
      </c>
      <c r="AV50" s="141" t="n">
        <v>0.3012184829624391</v>
      </c>
      <c r="AW50" s="141" t="n">
        <v>-0.1237424320817625</v>
      </c>
      <c r="AX50" s="141" t="n">
        <v>-0.6402698239527542</v>
      </c>
      <c r="AY50" s="141" t="n">
        <v>-0.1911707551496127</v>
      </c>
      <c r="AZ50" s="141" t="n">
        <v>-0.3994148938318088</v>
      </c>
      <c r="BA50" s="141" t="n">
        <v>-0.1785158345605848</v>
      </c>
      <c r="BB50" s="141" t="n">
        <v>-0.01199190053810403</v>
      </c>
      <c r="BC50" s="141" t="n">
        <v>-0.3454632718397183</v>
      </c>
      <c r="BD50" s="141" t="n">
        <v>-0.5472231624484202</v>
      </c>
      <c r="BE50" s="141" t="n">
        <v>-0.3707697501158002</v>
      </c>
      <c r="BF50" s="141" t="n">
        <v>-0.4044544283395501</v>
      </c>
      <c r="BG50" s="141" t="n">
        <v>0.3507908028100901</v>
      </c>
      <c r="BH50" s="141" t="n">
        <v>-0.4522726350261674</v>
      </c>
      <c r="BI50" s="141" t="n">
        <v>-0.2634274283054605</v>
      </c>
      <c r="BJ50" s="141" t="n">
        <v>-0.4821582840929801</v>
      </c>
      <c r="BK50" s="141" t="n">
        <v>-0.3031979166267767</v>
      </c>
      <c r="BL50" s="141" t="n">
        <v>-0.04262201000211346</v>
      </c>
      <c r="BM50" s="141" t="n">
        <v>-0.2312005174004723</v>
      </c>
      <c r="BN50" s="141" t="n">
        <v>-0.4390508382601106</v>
      </c>
      <c r="BO50" s="141" t="n">
        <v>-0.3682266378399922</v>
      </c>
      <c r="BP50" s="141" t="n">
        <v>-0.5006996985135537</v>
      </c>
      <c r="BQ50" s="141" t="n">
        <v>0.2959768387385502</v>
      </c>
      <c r="BR50" s="141" t="n">
        <v>0.01740569201984275</v>
      </c>
      <c r="BS50" s="141" t="n">
        <v>0.6681727304381236</v>
      </c>
      <c r="BT50" s="141" t="n">
        <v>0.2989692074298006</v>
      </c>
      <c r="BU50" s="141" t="n">
        <v>0.4016026197246696</v>
      </c>
      <c r="BV50" s="40" t="n">
        <v>0.09829331039876087</v>
      </c>
      <c r="BW50" s="40" t="n">
        <v>-0.1949135731354368</v>
      </c>
      <c r="BX50" s="40" t="n">
        <v>-0.1941227456262246</v>
      </c>
      <c r="BY50" s="40" t="n">
        <v>-0.1991847639358115</v>
      </c>
      <c r="BZ50" s="40" t="n">
        <v>-0.06862946732341892</v>
      </c>
      <c r="CA50" s="40" t="n">
        <v>-0.1554342539366617</v>
      </c>
      <c r="CB50" s="40" t="n">
        <v>-0.6705938796122352</v>
      </c>
      <c r="CC50" s="40" t="n">
        <v>-0.3024106388413471</v>
      </c>
      <c r="CD50" s="40" t="n">
        <v>-0.5975085472306219</v>
      </c>
      <c r="CE50" s="40" t="n">
        <v>-0.4677870315417009</v>
      </c>
      <c r="CG50" s="3" t="n">
        <v>-1</v>
      </c>
    </row>
    <row r="51">
      <c r="A51" s="251" t="n">
        <v>42826</v>
      </c>
      <c r="B51" s="3" t="n">
        <v>0</v>
      </c>
      <c r="C51" s="40" t="n">
        <v>1.881941880639409</v>
      </c>
      <c r="D51" s="40" t="n">
        <v>-0.3380595724398379</v>
      </c>
      <c r="E51" s="40" t="n">
        <v>0.4850457888263998</v>
      </c>
      <c r="F51" s="40" t="n">
        <v>0.04982739616022093</v>
      </c>
      <c r="G51" s="40" t="n">
        <v>0.313917893589873</v>
      </c>
      <c r="H51" s="40" t="n">
        <v>-0.09726858638377846</v>
      </c>
      <c r="I51" s="40" t="n">
        <v>-0.8302853954054727</v>
      </c>
      <c r="J51" s="40" t="n">
        <v>-0.1768182249362558</v>
      </c>
      <c r="K51" s="40" t="n">
        <v>-0.5642243190095555</v>
      </c>
      <c r="L51" s="40" t="n">
        <v>-0.2721110047004623</v>
      </c>
      <c r="M51" s="40" t="n">
        <v>-0.7536103286408965</v>
      </c>
      <c r="N51" s="40" t="n">
        <v>-0.2173434123221551</v>
      </c>
      <c r="O51" s="40" t="n">
        <v>-0.0168356123682084</v>
      </c>
      <c r="P51" s="40" t="n">
        <v>-0.05862030262103811</v>
      </c>
      <c r="Q51" s="40" t="n">
        <v>-0.1003393124741255</v>
      </c>
      <c r="R51" s="40" t="n">
        <v>-0.5283521785032339</v>
      </c>
      <c r="S51" s="40" t="n">
        <v>-0.2452948064564853</v>
      </c>
      <c r="T51" s="40" t="n">
        <v>-0.3780274620919108</v>
      </c>
      <c r="U51" s="40" t="n">
        <v>-3.908619196380921</v>
      </c>
      <c r="V51" s="40" t="n">
        <v>-0.09231739429036391</v>
      </c>
      <c r="W51" s="40" t="n">
        <v>-0.1377799600201906</v>
      </c>
      <c r="X51" s="40" t="n">
        <v>-0.1185477335461528</v>
      </c>
      <c r="Y51" s="40" t="n">
        <v>-0.1171152929466858</v>
      </c>
      <c r="Z51" s="40" t="n">
        <v>-0.1857303240916461</v>
      </c>
      <c r="AA51" s="40" t="n">
        <v>-0.04548044781166696</v>
      </c>
      <c r="AB51" s="40" t="n">
        <v>-0.04794098529013214</v>
      </c>
      <c r="AC51" s="40" t="n">
        <v>-0.05787871276124678</v>
      </c>
      <c r="AD51" s="40" t="n">
        <v>-0.0593299597938959</v>
      </c>
      <c r="AE51" s="40" t="n">
        <v>-0.137825262880008</v>
      </c>
      <c r="AF51" s="40" t="n">
        <v>-0.2727217817415624</v>
      </c>
      <c r="AG51" s="40" t="n">
        <v>-0.2307773673078471</v>
      </c>
      <c r="AH51" s="40" t="n">
        <v>-0.3321637258533133</v>
      </c>
      <c r="AI51" s="40" t="n">
        <v>-0.8719603181447172</v>
      </c>
      <c r="AJ51" s="40" t="n">
        <v>-0.9188088306145302</v>
      </c>
      <c r="AK51" s="40" t="n">
        <v>-0.644717257510097</v>
      </c>
      <c r="AL51" s="40" t="n">
        <v>-0.8125842079544608</v>
      </c>
      <c r="AM51" s="40" t="n">
        <v>-0.630414633955931</v>
      </c>
      <c r="AN51" s="40" t="n">
        <v>-0.3900845044976295</v>
      </c>
      <c r="AO51" s="40" t="n">
        <v>0.1177044027734582</v>
      </c>
      <c r="AP51" s="40" t="n">
        <v>-0.1648681757976722</v>
      </c>
      <c r="AQ51" s="40" t="n">
        <v>-0.2703729572906425</v>
      </c>
      <c r="AR51" s="40" t="n">
        <v>0.1772931126107174</v>
      </c>
      <c r="AS51" s="40" t="n">
        <v>-0.2440473486999084</v>
      </c>
      <c r="AT51" s="40" t="n">
        <v>0.5072461830206049</v>
      </c>
      <c r="AU51" s="141" t="n">
        <v>-0.02790482028739426</v>
      </c>
      <c r="AV51" s="141" t="n">
        <v>0.2084756777376993</v>
      </c>
      <c r="AW51" s="141" t="n">
        <v>-0.1927646159107624</v>
      </c>
      <c r="AX51" s="141" t="n">
        <v>-0.5629203807732561</v>
      </c>
      <c r="AY51" s="141" t="n">
        <v>-0.1899191117006989</v>
      </c>
      <c r="AZ51" s="141" t="n">
        <v>-0.4250169901530045</v>
      </c>
      <c r="BA51" s="141" t="n">
        <v>-0.2431225096128846</v>
      </c>
      <c r="BB51" s="141" t="n">
        <v>-0.08233950914026657</v>
      </c>
      <c r="BC51" s="141" t="n">
        <v>-0.3710269980225119</v>
      </c>
      <c r="BD51" s="141" t="n">
        <v>-0.3646263491936227</v>
      </c>
      <c r="BE51" s="141" t="n">
        <v>-0.3695623500718473</v>
      </c>
      <c r="BF51" s="141" t="n">
        <v>-0.4414064203327041</v>
      </c>
      <c r="BG51" s="141" t="n">
        <v>0.1519378469562679</v>
      </c>
      <c r="BH51" s="141" t="n">
        <v>-0.6317042298117845</v>
      </c>
      <c r="BI51" s="141" t="n">
        <v>-0.681840383470116</v>
      </c>
      <c r="BJ51" s="141" t="n">
        <v>-0.6781999898714657</v>
      </c>
      <c r="BK51" s="141" t="n">
        <v>-0.5493487255862465</v>
      </c>
      <c r="BL51" s="141" t="n">
        <v>-0.1034613193099425</v>
      </c>
      <c r="BM51" s="141" t="n">
        <v>-0.4135700932083581</v>
      </c>
      <c r="BN51" s="141" t="n">
        <v>-0.3801364259528921</v>
      </c>
      <c r="BO51" s="141" t="n">
        <v>-0.3807262329340251</v>
      </c>
      <c r="BP51" s="141" t="n">
        <v>-0.5040123309444324</v>
      </c>
      <c r="BQ51" s="141" t="n">
        <v>0.2279328097108326</v>
      </c>
      <c r="BR51" s="141" t="n">
        <v>-0.2985623046245138</v>
      </c>
      <c r="BS51" s="141" t="n">
        <v>0.5819289464503671</v>
      </c>
      <c r="BT51" s="141" t="n">
        <v>0.05616750270334155</v>
      </c>
      <c r="BU51" s="141" t="n">
        <v>0.2631294028060677</v>
      </c>
      <c r="BV51" s="40" t="n">
        <v>-0.08064570564698025</v>
      </c>
      <c r="BW51" s="40" t="n">
        <v>-0.3792701190053304</v>
      </c>
      <c r="BX51" s="40" t="n">
        <v>-0.3548225376342937</v>
      </c>
      <c r="BY51" s="40" t="n">
        <v>-0.4058376477287098</v>
      </c>
      <c r="BZ51" s="40" t="n">
        <v>-0.3522295104276773</v>
      </c>
      <c r="CA51" s="40" t="n">
        <v>-0.2861297511704087</v>
      </c>
      <c r="CB51" s="40" t="n">
        <v>-0.7314259873122386</v>
      </c>
      <c r="CC51" s="40" t="n">
        <v>-0.4497654970372171</v>
      </c>
      <c r="CD51" s="40" t="n">
        <v>-0.7085129081812658</v>
      </c>
      <c r="CE51" s="40" t="n">
        <v>-0.5836578666984542</v>
      </c>
      <c r="CG51" s="3" t="n">
        <v>-1</v>
      </c>
    </row>
    <row r="52">
      <c r="A52" s="251" t="n">
        <v>42917</v>
      </c>
      <c r="B52" s="3" t="n">
        <v>0</v>
      </c>
      <c r="C52" s="40" t="n">
        <v>1.821789266583616</v>
      </c>
      <c r="D52" s="40" t="n">
        <v>-0.2120393615946127</v>
      </c>
      <c r="E52" s="40" t="n">
        <v>0.2579809947071815</v>
      </c>
      <c r="F52" s="40" t="n">
        <v>-0.1187393381393406</v>
      </c>
      <c r="G52" s="40" t="n">
        <v>0.1594468633054257</v>
      </c>
      <c r="H52" s="40" t="n">
        <v>-0.05414855029986478</v>
      </c>
      <c r="I52" s="40" t="n">
        <v>-0.5238151787389282</v>
      </c>
      <c r="J52" s="40" t="n">
        <v>-0.3128317796433447</v>
      </c>
      <c r="K52" s="40" t="n">
        <v>-0.4680407258073054</v>
      </c>
      <c r="L52" s="40" t="n">
        <v>-0.2355885690084852</v>
      </c>
      <c r="M52" s="40" t="n">
        <v>-0.4450010455631743</v>
      </c>
      <c r="N52" s="40" t="n">
        <v>-0.2981738815958081</v>
      </c>
      <c r="O52" s="40" t="n">
        <v>0.0669803446262193</v>
      </c>
      <c r="P52" s="40" t="n">
        <v>-0.2715271003597303</v>
      </c>
      <c r="Q52" s="40" t="n">
        <v>-0.1542252395435625</v>
      </c>
      <c r="R52" s="40" t="n">
        <v>-0.4477002883267273</v>
      </c>
      <c r="S52" s="40" t="n">
        <v>-0.342541859903731</v>
      </c>
      <c r="T52" s="40" t="n">
        <v>-0.500468547677567</v>
      </c>
      <c r="U52" s="40" t="n">
        <v>-3.938438156039916</v>
      </c>
      <c r="V52" s="40" t="n">
        <v>-0.08896798295418139</v>
      </c>
      <c r="W52" s="40" t="n">
        <v>-0.1428768188527696</v>
      </c>
      <c r="X52" s="40" t="n">
        <v>-0.1293853459392905</v>
      </c>
      <c r="Y52" s="40" t="n">
        <v>-0.1353092275064332</v>
      </c>
      <c r="Z52" s="40" t="n">
        <v>-0.1292775136685606</v>
      </c>
      <c r="AA52" s="40" t="n">
        <v>0.058449884667402</v>
      </c>
      <c r="AB52" s="40" t="n">
        <v>-0.02089786298676373</v>
      </c>
      <c r="AC52" s="40" t="n">
        <v>0.01572057755155441</v>
      </c>
      <c r="AD52" s="40" t="n">
        <v>-8.270792216051438e-05</v>
      </c>
      <c r="AE52" s="40" t="n">
        <v>0.07373193906372776</v>
      </c>
      <c r="AF52" s="40" t="n">
        <v>-0.1874330354903486</v>
      </c>
      <c r="AG52" s="40" t="n">
        <v>-0.1628319193239794</v>
      </c>
      <c r="AH52" s="40" t="n">
        <v>-0.3234754895031622</v>
      </c>
      <c r="AI52" s="40" t="n">
        <v>-0.09451445580877607</v>
      </c>
      <c r="AJ52" s="40" t="n">
        <v>-0.4694448202713166</v>
      </c>
      <c r="AK52" s="40" t="n">
        <v>-0.4586224766878249</v>
      </c>
      <c r="AL52" s="40" t="n">
        <v>-0.7619595006680399</v>
      </c>
      <c r="AM52" s="40" t="n">
        <v>-0.9956098309436739</v>
      </c>
      <c r="AN52" s="40" t="n">
        <v>-0.4121543092746918</v>
      </c>
      <c r="AO52" s="40" t="n">
        <v>-0.2594696390618514</v>
      </c>
      <c r="AP52" s="40" t="n">
        <v>-0.5441986316194165</v>
      </c>
      <c r="AQ52" s="40" t="n">
        <v>-0.5401389864596479</v>
      </c>
      <c r="AR52" s="40" t="n">
        <v>0.2697647698921806</v>
      </c>
      <c r="AS52" s="40" t="n">
        <v>-0.1478365745000677</v>
      </c>
      <c r="AT52" s="40" t="n">
        <v>0.2816436253203405</v>
      </c>
      <c r="AU52" s="141" t="n">
        <v>0.03006762042697365</v>
      </c>
      <c r="AV52" s="141" t="n">
        <v>0.2806742455110738</v>
      </c>
      <c r="AW52" s="141" t="n">
        <v>-0.1752273641283402</v>
      </c>
      <c r="AX52" s="141" t="n">
        <v>-0.4431228279495231</v>
      </c>
      <c r="AY52" s="141" t="n">
        <v>-0.2664722473905768</v>
      </c>
      <c r="AZ52" s="141" t="n">
        <v>-0.3699136859041269</v>
      </c>
      <c r="BA52" s="141" t="n">
        <v>-0.2301224873085032</v>
      </c>
      <c r="BB52" s="141" t="n">
        <v>-0.1316949017663221</v>
      </c>
      <c r="BC52" s="141" t="n">
        <v>-0.4635736065421239</v>
      </c>
      <c r="BD52" s="141" t="n">
        <v>-0.3023400004694117</v>
      </c>
      <c r="BE52" s="141" t="n">
        <v>-0.3725855132387003</v>
      </c>
      <c r="BF52" s="141" t="n">
        <v>-0.4429814720026698</v>
      </c>
      <c r="BG52" s="141" t="n">
        <v>0.1168474199873791</v>
      </c>
      <c r="BH52" s="141" t="n">
        <v>-0.4900844249052099</v>
      </c>
      <c r="BI52" s="141" t="n">
        <v>-0.6193825227017556</v>
      </c>
      <c r="BJ52" s="141" t="n">
        <v>-0.5947457394171261</v>
      </c>
      <c r="BK52" s="141" t="n">
        <v>-0.5760563523254825</v>
      </c>
      <c r="BL52" s="141" t="n">
        <v>-0.05926086153828264</v>
      </c>
      <c r="BM52" s="141" t="n">
        <v>-0.2935581098055513</v>
      </c>
      <c r="BN52" s="141" t="n">
        <v>-0.2506267591237754</v>
      </c>
      <c r="BO52" s="141" t="n">
        <v>-0.2439782128351985</v>
      </c>
      <c r="BP52" s="141" t="n">
        <v>-0.3575886723860165</v>
      </c>
      <c r="BQ52" s="141" t="n">
        <v>0.2249295757032222</v>
      </c>
      <c r="BR52" s="141" t="n">
        <v>-0.4006519131231027</v>
      </c>
      <c r="BS52" s="141" t="n">
        <v>0.3971282220939283</v>
      </c>
      <c r="BT52" s="141" t="n">
        <v>-0.06791816151667028</v>
      </c>
      <c r="BU52" s="141" t="n">
        <v>0.2104630226726041</v>
      </c>
      <c r="BV52" s="40" t="n">
        <v>-0.1581687907757416</v>
      </c>
      <c r="BW52" s="40" t="n">
        <v>-0.4372511616897332</v>
      </c>
      <c r="BX52" s="40" t="n">
        <v>-0.3578911258359173</v>
      </c>
      <c r="BY52" s="40" t="n">
        <v>-0.4505177354064304</v>
      </c>
      <c r="BZ52" s="40" t="n">
        <v>-0.4559197268109405</v>
      </c>
      <c r="CA52" s="40" t="n">
        <v>-0.398145957444015</v>
      </c>
      <c r="CB52" s="40" t="n">
        <v>-0.7049911782010517</v>
      </c>
      <c r="CC52" s="40" t="n">
        <v>-0.6423344128891647</v>
      </c>
      <c r="CD52" s="40" t="n">
        <v>-0.7642622183396214</v>
      </c>
      <c r="CE52" s="40" t="n">
        <v>-0.6632684473082616</v>
      </c>
      <c r="CG52" s="3" t="n">
        <v>-1</v>
      </c>
    </row>
    <row r="53">
      <c r="A53" s="251" t="n">
        <v>43009</v>
      </c>
      <c r="B53" s="3" t="n">
        <v>0</v>
      </c>
      <c r="C53" s="40" t="n">
        <v>1.786029276115918</v>
      </c>
      <c r="D53" s="40" t="n">
        <v>-0.3033371405612337</v>
      </c>
      <c r="E53" s="40" t="n">
        <v>-0.03736899436448521</v>
      </c>
      <c r="F53" s="40" t="n">
        <v>-0.2127040486972659</v>
      </c>
      <c r="G53" s="40" t="n">
        <v>0.05369052734947726</v>
      </c>
      <c r="H53" s="40" t="n">
        <v>-0.04954513156412424</v>
      </c>
      <c r="I53" s="40" t="n">
        <v>-0.2203466182096788</v>
      </c>
      <c r="J53" s="40" t="n">
        <v>-0.406415862063976</v>
      </c>
      <c r="K53" s="40" t="n">
        <v>-0.3979229480947658</v>
      </c>
      <c r="L53" s="40" t="n">
        <v>-0.2528799325950196</v>
      </c>
      <c r="M53" s="40" t="n">
        <v>-0.2179214935976792</v>
      </c>
      <c r="N53" s="40" t="n">
        <v>-0.3444449706992461</v>
      </c>
      <c r="O53" s="40" t="n">
        <v>0.03091173197651293</v>
      </c>
      <c r="P53" s="40" t="n">
        <v>-0.2715271003597303</v>
      </c>
      <c r="Q53" s="40" t="n">
        <v>-0.1951042186996872</v>
      </c>
      <c r="R53" s="40" t="n">
        <v>-0.309439905167003</v>
      </c>
      <c r="S53" s="40" t="n">
        <v>-0.2635830582988037</v>
      </c>
      <c r="T53" s="40" t="n">
        <v>-0.430233937234261</v>
      </c>
      <c r="U53" s="40" t="n">
        <v>-3.898629654548585</v>
      </c>
      <c r="V53" s="40" t="n">
        <v>-0.02301994962791792</v>
      </c>
      <c r="W53" s="40" t="n">
        <v>-0.08890047182289597</v>
      </c>
      <c r="X53" s="40" t="n">
        <v>-0.04661942680746556</v>
      </c>
      <c r="Y53" s="40" t="n">
        <v>-0.07745859429243761</v>
      </c>
      <c r="Z53" s="40" t="n">
        <v>-0.05806267436287488</v>
      </c>
      <c r="AA53" s="40" t="n">
        <v>0.1351625327385957</v>
      </c>
      <c r="AB53" s="40" t="n">
        <v>0.01122259190581447</v>
      </c>
      <c r="AC53" s="40" t="n">
        <v>0.100423906677532</v>
      </c>
      <c r="AD53" s="40" t="n">
        <v>0.06741307713848248</v>
      </c>
      <c r="AE53" s="40" t="n">
        <v>0.2676750380002907</v>
      </c>
      <c r="AF53" s="40" t="n">
        <v>-0.08883023385921594</v>
      </c>
      <c r="AG53" s="40" t="n">
        <v>-0.1113934915571293</v>
      </c>
      <c r="AH53" s="40" t="n">
        <v>-0.3390356146557871</v>
      </c>
      <c r="AI53" s="40" t="n">
        <v>-0.01884780118621936</v>
      </c>
      <c r="AJ53" s="40" t="n">
        <v>-0.5862631164567059</v>
      </c>
      <c r="AK53" s="40" t="n">
        <v>-0.3924803505272501</v>
      </c>
      <c r="AL53" s="40" t="n">
        <v>-0.6461860957636791</v>
      </c>
      <c r="AM53" s="40" t="n">
        <v>-1.021577916041519</v>
      </c>
      <c r="AN53" s="40" t="n">
        <v>-0.4159107650907703</v>
      </c>
      <c r="AO53" s="40" t="n">
        <v>-0.3969129772277978</v>
      </c>
      <c r="AP53" s="40" t="n">
        <v>-0.5205667889164384</v>
      </c>
      <c r="AQ53" s="40" t="n">
        <v>-0.4765464401029094</v>
      </c>
      <c r="AR53" s="40" t="n">
        <v>0.2401780438986514</v>
      </c>
      <c r="AS53" s="40" t="n">
        <v>-0.190048800229025</v>
      </c>
      <c r="AT53" s="40" t="n">
        <v>0.05863904365556728</v>
      </c>
      <c r="AU53" s="141" t="n">
        <v>-0.07787625493182079</v>
      </c>
      <c r="AV53" s="141" t="n">
        <v>0.1722424761372075</v>
      </c>
      <c r="AW53" s="141" t="n">
        <v>-0.2072918791828873</v>
      </c>
      <c r="AX53" s="141" t="n">
        <v>-0.2552679988639373</v>
      </c>
      <c r="AY53" s="141" t="n">
        <v>-0.2967666977983283</v>
      </c>
      <c r="AZ53" s="141" t="n">
        <v>-0.3456042451903786</v>
      </c>
      <c r="BA53" s="141" t="n">
        <v>-0.2602294183910273</v>
      </c>
      <c r="BB53" s="141" t="n">
        <v>-0.1697253404947256</v>
      </c>
      <c r="BC53" s="141" t="n">
        <v>-0.3469607765930601</v>
      </c>
      <c r="BD53" s="141" t="n">
        <v>-0.258051815462577</v>
      </c>
      <c r="BE53" s="141" t="n">
        <v>-0.3706280110293545</v>
      </c>
      <c r="BF53" s="141" t="n">
        <v>-0.43120632383881</v>
      </c>
      <c r="BG53" s="141" t="n">
        <v>0.1530712566790922</v>
      </c>
      <c r="BH53" s="141" t="n">
        <v>-0.3532161179176314</v>
      </c>
      <c r="BI53" s="141" t="n">
        <v>-0.4678503512381482</v>
      </c>
      <c r="BJ53" s="141" t="n">
        <v>-0.4350371185928616</v>
      </c>
      <c r="BK53" s="141" t="n">
        <v>-0.5088676148621466</v>
      </c>
      <c r="BL53" s="141" t="n">
        <v>-0.05539983886279164</v>
      </c>
      <c r="BM53" s="141" t="n">
        <v>-0.1947920065017135</v>
      </c>
      <c r="BN53" s="141" t="n">
        <v>-0.1549543498075098</v>
      </c>
      <c r="BO53" s="141" t="n">
        <v>-0.1923290474721493</v>
      </c>
      <c r="BP53" s="141" t="n">
        <v>-0.2903168587886379</v>
      </c>
      <c r="BQ53" s="141" t="n">
        <v>0.1538853931140772</v>
      </c>
      <c r="BR53" s="141" t="n">
        <v>-0.4730644410053775</v>
      </c>
      <c r="BS53" s="141" t="n">
        <v>0.01681707380433964</v>
      </c>
      <c r="BT53" s="141" t="n">
        <v>-0.259756810119508</v>
      </c>
      <c r="BU53" s="141" t="n">
        <v>0.06967415011543245</v>
      </c>
      <c r="BV53" s="40" t="n">
        <v>-0.2394461641883922</v>
      </c>
      <c r="BW53" s="40" t="n">
        <v>-0.4847307496636665</v>
      </c>
      <c r="BX53" s="40" t="n">
        <v>-0.4384928062795953</v>
      </c>
      <c r="BY53" s="40" t="n">
        <v>-0.4996999455048621</v>
      </c>
      <c r="BZ53" s="40" t="n">
        <v>-0.522523879807397</v>
      </c>
      <c r="CA53" s="40" t="n">
        <v>-0.4359430618499686</v>
      </c>
      <c r="CB53" s="40" t="n">
        <v>-0.5945033218481861</v>
      </c>
      <c r="CC53" s="40" t="n">
        <v>-0.746617095272492</v>
      </c>
      <c r="CD53" s="40" t="n">
        <v>-0.6816773602836991</v>
      </c>
      <c r="CE53" s="40" t="n">
        <v>-0.6549985389650783</v>
      </c>
      <c r="CG53" s="3" t="n">
        <v>-1</v>
      </c>
    </row>
    <row r="54">
      <c r="A54" s="251" t="n">
        <v>43101</v>
      </c>
      <c r="B54" s="3" t="n">
        <v>0</v>
      </c>
      <c r="C54" s="40" t="n">
        <v>1.860914569543141</v>
      </c>
      <c r="D54" s="40" t="n">
        <v>-0.1881241657336477</v>
      </c>
      <c r="E54" s="40" t="n">
        <v>0.004581398624754957</v>
      </c>
      <c r="F54" s="40" t="n">
        <v>-0.1193469353869585</v>
      </c>
      <c r="G54" s="40" t="n">
        <v>0.063762368007989</v>
      </c>
      <c r="H54" s="40" t="n">
        <v>-0.07983949710223773</v>
      </c>
      <c r="I54" s="40" t="n">
        <v>-0.04415889011822923</v>
      </c>
      <c r="J54" s="40" t="n">
        <v>-0.6210065014412259</v>
      </c>
      <c r="K54" s="40" t="n">
        <v>-0.3574587866028637</v>
      </c>
      <c r="L54" s="40" t="n">
        <v>-0.3083161603609239</v>
      </c>
      <c r="M54" s="40" t="n">
        <v>-0.00792222099644339</v>
      </c>
      <c r="N54" s="40" t="n">
        <v>-0.4557721769292281</v>
      </c>
      <c r="O54" s="40" t="n">
        <v>-0.1236639961103342</v>
      </c>
      <c r="P54" s="40" t="n">
        <v>-0.2195986131063907</v>
      </c>
      <c r="Q54" s="40" t="n">
        <v>-0.2192599791101249</v>
      </c>
      <c r="R54" s="40" t="n">
        <v>-0.2567692830109176</v>
      </c>
      <c r="S54" s="40" t="n">
        <v>-0.1625622385983808</v>
      </c>
      <c r="T54" s="40" t="n">
        <v>-0.3254454007974577</v>
      </c>
      <c r="U54" s="40" t="n">
        <v>-3.762094369585277</v>
      </c>
      <c r="V54" s="40" t="n">
        <v>0.1602874134148061</v>
      </c>
      <c r="W54" s="40" t="n">
        <v>0.03031689868808655</v>
      </c>
      <c r="X54" s="40" t="n">
        <v>0.1534212535152753</v>
      </c>
      <c r="Y54" s="40" t="n">
        <v>0.07932533557188913</v>
      </c>
      <c r="Z54" s="40" t="n">
        <v>-0.01029260375867452</v>
      </c>
      <c r="AA54" s="40" t="n">
        <v>0.1900710991959201</v>
      </c>
      <c r="AB54" s="40" t="n">
        <v>0.0538114674925716</v>
      </c>
      <c r="AC54" s="40" t="n">
        <v>0.1520497691432832</v>
      </c>
      <c r="AD54" s="40" t="n">
        <v>0.1092630530891946</v>
      </c>
      <c r="AE54" s="40" t="n">
        <v>0.3965489885700399</v>
      </c>
      <c r="AF54" s="40" t="n">
        <v>0.07321617000837274</v>
      </c>
      <c r="AG54" s="40" t="n">
        <v>-0.04809916999753004</v>
      </c>
      <c r="AH54" s="40" t="n">
        <v>0.1834968511160916</v>
      </c>
      <c r="AI54" s="40" t="n">
        <v>0.5826000822803735</v>
      </c>
      <c r="AJ54" s="40" t="n">
        <v>-0.1313614450157952</v>
      </c>
      <c r="AK54" s="40" t="n">
        <v>0.4743441342130043</v>
      </c>
      <c r="AL54" s="40" t="n">
        <v>0.1518786760216846</v>
      </c>
      <c r="AM54" s="40" t="n">
        <v>-1.382696758854875</v>
      </c>
      <c r="AN54" s="40" t="n">
        <v>-0.7684811688019607</v>
      </c>
      <c r="AO54" s="40" t="n">
        <v>-0.6507700417171307</v>
      </c>
      <c r="AP54" s="40" t="n">
        <v>-0.7986805098476694</v>
      </c>
      <c r="AQ54" s="40" t="n">
        <v>-0.7535058636749096</v>
      </c>
      <c r="AR54" s="40" t="n">
        <v>0.08389370438139834</v>
      </c>
      <c r="AS54" s="40" t="n">
        <v>-0.1972035951202088</v>
      </c>
      <c r="AT54" s="40" t="n">
        <v>-0.3421584798698697</v>
      </c>
      <c r="AU54" s="141" t="n">
        <v>-0.3602924783638025</v>
      </c>
      <c r="AV54" s="141" t="n">
        <v>-0.1201214165985382</v>
      </c>
      <c r="AW54" s="141" t="n">
        <v>-0.2184323708738845</v>
      </c>
      <c r="AX54" s="141" t="n">
        <v>-0.08265281850046267</v>
      </c>
      <c r="AY54" s="141" t="n">
        <v>-0.4751814015649284</v>
      </c>
      <c r="AZ54" s="141" t="n">
        <v>-0.2955510268017541</v>
      </c>
      <c r="BA54" s="141" t="n">
        <v>-0.2787101164084489</v>
      </c>
      <c r="BB54" s="141" t="n">
        <v>-0.1525502367143638</v>
      </c>
      <c r="BC54" s="141" t="n">
        <v>-0.1973776948188977</v>
      </c>
      <c r="BD54" s="141" t="n">
        <v>-0.3717499813267254</v>
      </c>
      <c r="BE54" s="141" t="n">
        <v>-0.2923901592328751</v>
      </c>
      <c r="BF54" s="141" t="n">
        <v>-0.3519307488818568</v>
      </c>
      <c r="BG54" s="141" t="n">
        <v>0.1439440657898094</v>
      </c>
      <c r="BH54" s="141" t="n">
        <v>-0.2055178517562087</v>
      </c>
      <c r="BI54" s="141" t="n">
        <v>-0.5487343733383575</v>
      </c>
      <c r="BJ54" s="141" t="n">
        <v>-0.359355454007242</v>
      </c>
      <c r="BK54" s="141" t="n">
        <v>-0.4941348046699383</v>
      </c>
      <c r="BL54" s="141" t="n">
        <v>0.01298124847380766</v>
      </c>
      <c r="BM54" s="141" t="n">
        <v>0.06704447929488133</v>
      </c>
      <c r="BN54" s="141" t="n">
        <v>-0.1419565202584442</v>
      </c>
      <c r="BO54" s="141" t="n">
        <v>-0.05986806091277846</v>
      </c>
      <c r="BP54" s="141" t="n">
        <v>-0.1379832578833682</v>
      </c>
      <c r="BQ54" s="141" t="n">
        <v>0.06519357097398572</v>
      </c>
      <c r="BR54" s="141" t="n">
        <v>-0.3410954535370546</v>
      </c>
      <c r="BS54" s="141" t="n">
        <v>-0.2071887883470696</v>
      </c>
      <c r="BT54" s="141" t="n">
        <v>-0.400958710304806</v>
      </c>
      <c r="BU54" s="141" t="n">
        <v>-0.09792151501868047</v>
      </c>
      <c r="BV54" s="40" t="n">
        <v>-0.3068853763158412</v>
      </c>
      <c r="BW54" s="40" t="n">
        <v>-0.4316960254449932</v>
      </c>
      <c r="BX54" s="40" t="n">
        <v>-0.5922307925636149</v>
      </c>
      <c r="BY54" s="40" t="n">
        <v>-0.5170606251793656</v>
      </c>
      <c r="BZ54" s="40" t="n">
        <v>-0.5566485707909535</v>
      </c>
      <c r="CA54" s="40" t="n">
        <v>-0.4007911977360162</v>
      </c>
      <c r="CB54" s="40" t="n">
        <v>-0.2956950661549412</v>
      </c>
      <c r="CC54" s="40" t="n">
        <v>-0.6437474126969803</v>
      </c>
      <c r="CD54" s="40" t="n">
        <v>-0.4806923776952308</v>
      </c>
      <c r="CE54" s="40" t="n">
        <v>-0.5678085345172539</v>
      </c>
      <c r="CG54" s="3" t="n">
        <v>-1</v>
      </c>
    </row>
    <row r="55">
      <c r="A55" s="251" t="n">
        <v>43191</v>
      </c>
      <c r="B55" s="3" t="n">
        <v>0</v>
      </c>
      <c r="C55" s="40" t="n">
        <v>2.031483348478145</v>
      </c>
      <c r="D55" s="40" t="n">
        <v>0.151644538648819</v>
      </c>
      <c r="E55" s="40" t="n">
        <v>-0.1278326163299813</v>
      </c>
      <c r="F55" s="40" t="n">
        <v>0.07484938699796022</v>
      </c>
      <c r="G55" s="40" t="n">
        <v>0.1874642080762073</v>
      </c>
      <c r="H55" s="40" t="n">
        <v>-0.1214212660272459</v>
      </c>
      <c r="I55" s="40" t="n">
        <v>-0.03134859811481169</v>
      </c>
      <c r="J55" s="40" t="n">
        <v>-0.5688504408014716</v>
      </c>
      <c r="K55" s="40" t="n">
        <v>-0.2890578644209337</v>
      </c>
      <c r="L55" s="40" t="n">
        <v>-0.3392025379966147</v>
      </c>
      <c r="M55" s="40" t="n">
        <v>0.07887039468274044</v>
      </c>
      <c r="N55" s="40" t="n">
        <v>-0.3928349291430351</v>
      </c>
      <c r="O55" s="40" t="n">
        <v>-0.1166576378594405</v>
      </c>
      <c r="P55" s="40" t="n">
        <v>-0.2611414029090622</v>
      </c>
      <c r="Q55" s="40" t="n">
        <v>-0.1449345624626245</v>
      </c>
      <c r="R55" s="40" t="n">
        <v>-0.2172663163938533</v>
      </c>
      <c r="S55" s="40" t="n">
        <v>-0.1544341266684619</v>
      </c>
      <c r="T55" s="40" t="n">
        <v>-0.292018233260269</v>
      </c>
      <c r="U55" s="40" t="n">
        <v>-3.572255644036651</v>
      </c>
      <c r="V55" s="40" t="n">
        <v>0.4426319488190232</v>
      </c>
      <c r="W55" s="40" t="n">
        <v>0.2116267882901205</v>
      </c>
      <c r="X55" s="40" t="n">
        <v>0.3993908129038668</v>
      </c>
      <c r="Y55" s="40" t="n">
        <v>0.284135694097737</v>
      </c>
      <c r="Z55" s="40" t="n">
        <v>0.01593931125865475</v>
      </c>
      <c r="AA55" s="40" t="n">
        <v>0.2168320786181273</v>
      </c>
      <c r="AB55" s="40" t="n">
        <v>0.1093402676711325</v>
      </c>
      <c r="AC55" s="40" t="n">
        <v>0.170597403008513</v>
      </c>
      <c r="AD55" s="40" t="n">
        <v>0.1274376224244838</v>
      </c>
      <c r="AE55" s="40" t="n">
        <v>0.4706640189132873</v>
      </c>
      <c r="AF55" s="40" t="n">
        <v>0.2116388844014245</v>
      </c>
      <c r="AG55" s="40" t="n">
        <v>0.01999296284045483</v>
      </c>
      <c r="AH55" s="40" t="n">
        <v>0.1906319063302356</v>
      </c>
      <c r="AI55" s="40" t="n">
        <v>0.6366972848394414</v>
      </c>
      <c r="AJ55" s="40" t="n">
        <v>-0.1850119773788786</v>
      </c>
      <c r="AK55" s="40" t="n">
        <v>0.5094770105927661</v>
      </c>
      <c r="AL55" s="40" t="n">
        <v>0.2352346395270128</v>
      </c>
      <c r="AM55" s="40" t="n">
        <v>-1.605118025196772</v>
      </c>
      <c r="AN55" s="40" t="n">
        <v>-0.7661224196148329</v>
      </c>
      <c r="AO55" s="40" t="n">
        <v>-0.9516010458020636</v>
      </c>
      <c r="AP55" s="40" t="n">
        <v>-0.8932110447660729</v>
      </c>
      <c r="AQ55" s="40" t="n">
        <v>-0.8881252213235437</v>
      </c>
      <c r="AR55" s="40" t="n">
        <v>0.06080761524462069</v>
      </c>
      <c r="AS55" s="40" t="n">
        <v>-0.1909916094295994</v>
      </c>
      <c r="AT55" s="40" t="n">
        <v>-0.2851871720841552</v>
      </c>
      <c r="AU55" s="141" t="n">
        <v>-0.3313664272956999</v>
      </c>
      <c r="AV55" s="141" t="n">
        <v>-0.1860944365691952</v>
      </c>
      <c r="AW55" s="141" t="n">
        <v>-0.1924563442446257</v>
      </c>
      <c r="AX55" s="141" t="n">
        <v>0.0002690837315458824</v>
      </c>
      <c r="AY55" s="141" t="n">
        <v>-0.3698340821271298</v>
      </c>
      <c r="AZ55" s="141" t="n">
        <v>-0.1744259869287328</v>
      </c>
      <c r="BA55" s="141" t="n">
        <v>-0.2313069680191872</v>
      </c>
      <c r="BB55" s="141" t="n">
        <v>-0.02881494733168523</v>
      </c>
      <c r="BC55" s="141" t="n">
        <v>0.07516135231368615</v>
      </c>
      <c r="BD55" s="141" t="n">
        <v>-0.2026156001904058</v>
      </c>
      <c r="BE55" s="141" t="n">
        <v>-0.02697294010742726</v>
      </c>
      <c r="BF55" s="141" t="n">
        <v>-0.1151590228759269</v>
      </c>
      <c r="BG55" s="141" t="n">
        <v>0.08008107961512319</v>
      </c>
      <c r="BH55" s="141" t="n">
        <v>-0.07139512409446325</v>
      </c>
      <c r="BI55" s="141" t="n">
        <v>-0.5865314125286099</v>
      </c>
      <c r="BJ55" s="141" t="n">
        <v>-0.3360799544426049</v>
      </c>
      <c r="BK55" s="141" t="n">
        <v>-0.5181035482372657</v>
      </c>
      <c r="BL55" s="141" t="n">
        <v>-0.009594833425655371</v>
      </c>
      <c r="BM55" s="141" t="n">
        <v>0.1131809509343347</v>
      </c>
      <c r="BN55" s="141" t="n">
        <v>-0.2597662434641003</v>
      </c>
      <c r="BO55" s="141" t="n">
        <v>-0.06833490219190984</v>
      </c>
      <c r="BP55" s="141" t="n">
        <v>-0.1268924203860863</v>
      </c>
      <c r="BQ55" s="141" t="n">
        <v>-0.01853156324780917</v>
      </c>
      <c r="BR55" s="141" t="n">
        <v>-0.3642719764277548</v>
      </c>
      <c r="BS55" s="141" t="n">
        <v>-0.4242699272365401</v>
      </c>
      <c r="BT55" s="141" t="n">
        <v>-0.4884770291269634</v>
      </c>
      <c r="BU55" s="141" t="n">
        <v>-0.2507724306830572</v>
      </c>
      <c r="BV55" s="40" t="n">
        <v>-0.1830575858104957</v>
      </c>
      <c r="BW55" s="40" t="n">
        <v>-0.1091143317123182</v>
      </c>
      <c r="BX55" s="40" t="n">
        <v>-0.4615893388475332</v>
      </c>
      <c r="BY55" s="40" t="n">
        <v>-0.2536862726043742</v>
      </c>
      <c r="BZ55" s="40" t="n">
        <v>-0.3370766462871234</v>
      </c>
      <c r="CA55" s="40" t="n">
        <v>-0.2678422614655664</v>
      </c>
      <c r="CB55" s="40" t="n">
        <v>0.022039402652909</v>
      </c>
      <c r="CC55" s="40" t="n">
        <v>-0.4725975397698721</v>
      </c>
      <c r="CD55" s="40" t="n">
        <v>-0.1711354963891231</v>
      </c>
      <c r="CE55" s="40" t="n">
        <v>-0.3540807239324638</v>
      </c>
      <c r="CG55" s="3" t="n">
        <v>-1</v>
      </c>
    </row>
    <row r="56">
      <c r="A56" s="251" t="n">
        <v>43282</v>
      </c>
      <c r="B56" s="3" t="n">
        <v>0</v>
      </c>
      <c r="C56" s="40" t="n">
        <v>2.142358662421605</v>
      </c>
      <c r="D56" s="40" t="n">
        <v>0.3250777114827166</v>
      </c>
      <c r="E56" s="40" t="n">
        <v>0.07751514305449943</v>
      </c>
      <c r="F56" s="40" t="n">
        <v>0.2279845226394992</v>
      </c>
      <c r="G56" s="40" t="n">
        <v>0.2265277019007764</v>
      </c>
      <c r="H56" s="40" t="n">
        <v>-0.1472376206205786</v>
      </c>
      <c r="I56" s="40" t="n">
        <v>-0.1208235234120199</v>
      </c>
      <c r="J56" s="40" t="n">
        <v>-0.4255902304620745</v>
      </c>
      <c r="K56" s="40" t="n">
        <v>-0.2092719076452682</v>
      </c>
      <c r="L56" s="40" t="n">
        <v>-0.3466079430396934</v>
      </c>
      <c r="M56" s="40" t="n">
        <v>-0.03833512682249043</v>
      </c>
      <c r="N56" s="40" t="n">
        <v>-0.2813992791527339</v>
      </c>
      <c r="O56" s="40" t="n">
        <v>-0.2181008421546303</v>
      </c>
      <c r="P56" s="40" t="n">
        <v>-0.3338412850637373</v>
      </c>
      <c r="Q56" s="40" t="n">
        <v>-0.04459524998849951</v>
      </c>
      <c r="R56" s="40" t="n">
        <v>-0.176117392834411</v>
      </c>
      <c r="S56" s="40" t="n">
        <v>-0.1811407801524811</v>
      </c>
      <c r="T56" s="40" t="n">
        <v>-0.2801872694690162</v>
      </c>
      <c r="U56" s="40" t="n">
        <v>-3.398578892380803</v>
      </c>
      <c r="V56" s="40" t="n">
        <v>0.7104187011227069</v>
      </c>
      <c r="W56" s="40" t="n">
        <v>0.37542151151426</v>
      </c>
      <c r="X56" s="40" t="n">
        <v>0.585990124588322</v>
      </c>
      <c r="Y56" s="40" t="n">
        <v>0.4549212222995752</v>
      </c>
      <c r="Z56" s="40" t="n">
        <v>0.05768520021979768</v>
      </c>
      <c r="AA56" s="40" t="n">
        <v>0.201019423702937</v>
      </c>
      <c r="AB56" s="40" t="n">
        <v>0.1655685650386402</v>
      </c>
      <c r="AC56" s="40" t="n">
        <v>0.1952384029453719</v>
      </c>
      <c r="AD56" s="40" t="n">
        <v>0.1559431140538524</v>
      </c>
      <c r="AE56" s="40" t="n">
        <v>0.4585067443246406</v>
      </c>
      <c r="AF56" s="40" t="n">
        <v>0.3384293419734287</v>
      </c>
      <c r="AG56" s="40" t="n">
        <v>0.07838651726559008</v>
      </c>
      <c r="AH56" s="40" t="n">
        <v>0.1695650395594095</v>
      </c>
      <c r="AI56" s="40" t="n">
        <v>0.6004594278242315</v>
      </c>
      <c r="AJ56" s="40" t="n">
        <v>0.3978775517869755</v>
      </c>
      <c r="AK56" s="40" t="n">
        <v>0.5139339240646408</v>
      </c>
      <c r="AL56" s="40" t="n">
        <v>0.2549574653337359</v>
      </c>
      <c r="AM56" s="40" t="n">
        <v>-1.283057318300165</v>
      </c>
      <c r="AN56" s="40" t="n">
        <v>-0.2259353630086468</v>
      </c>
      <c r="AO56" s="40" t="n">
        <v>-0.5251713917268143</v>
      </c>
      <c r="AP56" s="40" t="n">
        <v>-0.3985030819341959</v>
      </c>
      <c r="AQ56" s="40" t="n">
        <v>-0.5295792680726176</v>
      </c>
      <c r="AR56" s="40" t="n">
        <v>0.009064462667281305</v>
      </c>
      <c r="AS56" s="40" t="n">
        <v>-0.4274486728522693</v>
      </c>
      <c r="AT56" s="40" t="n">
        <v>-0.3771247833517157</v>
      </c>
      <c r="AU56" s="141" t="n">
        <v>-0.3635326373311206</v>
      </c>
      <c r="AV56" s="141" t="n">
        <v>-0.3004607875260584</v>
      </c>
      <c r="AW56" s="141" t="n">
        <v>-0.2349205314917619</v>
      </c>
      <c r="AX56" s="141" t="n">
        <v>-0.05210488665155966</v>
      </c>
      <c r="AY56" s="141" t="n">
        <v>-0.3255161558080089</v>
      </c>
      <c r="AZ56" s="141" t="n">
        <v>-0.1387811566149056</v>
      </c>
      <c r="BA56" s="141" t="n">
        <v>-0.242770904997234</v>
      </c>
      <c r="BB56" s="141" t="n">
        <v>-0.03699519283746616</v>
      </c>
      <c r="BC56" s="141" t="n">
        <v>0.132981157552683</v>
      </c>
      <c r="BD56" s="141" t="n">
        <v>-0.2263973139224577</v>
      </c>
      <c r="BE56" s="141" t="n">
        <v>0.001035609820804798</v>
      </c>
      <c r="BF56" s="141" t="n">
        <v>-0.09061489076685156</v>
      </c>
      <c r="BG56" s="141" t="n">
        <v>0.1192804030376998</v>
      </c>
      <c r="BH56" s="141" t="n">
        <v>0.002417352369508983</v>
      </c>
      <c r="BI56" s="141" t="n">
        <v>-0.4068159859754282</v>
      </c>
      <c r="BJ56" s="141" t="n">
        <v>-0.1788092594042385</v>
      </c>
      <c r="BK56" s="141" t="n">
        <v>-0.3827437922178717</v>
      </c>
      <c r="BL56" s="141" t="n">
        <v>-0.07795813956014934</v>
      </c>
      <c r="BM56" s="141" t="n">
        <v>-0.0225445289281118</v>
      </c>
      <c r="BN56" s="141" t="n">
        <v>-0.273354737096415</v>
      </c>
      <c r="BO56" s="141" t="n">
        <v>-0.1250354325187544</v>
      </c>
      <c r="BP56" s="141" t="n">
        <v>-0.1913660003294749</v>
      </c>
      <c r="BQ56" s="141" t="n">
        <v>-0.100659756575546</v>
      </c>
      <c r="BR56" s="141" t="n">
        <v>-0.4812179064634312</v>
      </c>
      <c r="BS56" s="141" t="n">
        <v>-0.5644711730873427</v>
      </c>
      <c r="BT56" s="141" t="n">
        <v>-0.5289665186221233</v>
      </c>
      <c r="BU56" s="141" t="n">
        <v>-0.3906113785932652</v>
      </c>
      <c r="BV56" s="40" t="n">
        <v>-0.05084859667586727</v>
      </c>
      <c r="BW56" s="40" t="n">
        <v>0.1143438753369929</v>
      </c>
      <c r="BX56" s="40" t="n">
        <v>-0.3051910448778468</v>
      </c>
      <c r="BY56" s="40" t="n">
        <v>-0.0007693660694479609</v>
      </c>
      <c r="BZ56" s="40" t="n">
        <v>-0.1219942003933106</v>
      </c>
      <c r="CA56" s="40" t="n">
        <v>-0.1435098164093483</v>
      </c>
      <c r="CB56" s="40" t="n">
        <v>0.3068780096570586</v>
      </c>
      <c r="CC56" s="40" t="n">
        <v>-0.2652253483116458</v>
      </c>
      <c r="CD56" s="40" t="n">
        <v>0.091607382843549</v>
      </c>
      <c r="CE56" s="40" t="n">
        <v>-0.1580409392063024</v>
      </c>
      <c r="CG56" s="3" t="n">
        <v>-1</v>
      </c>
    </row>
    <row r="57">
      <c r="A57" s="251" t="n">
        <v>43374</v>
      </c>
      <c r="B57" s="3" t="n">
        <v>0</v>
      </c>
      <c r="C57" s="40" t="n">
        <v>2.152953705188478</v>
      </c>
      <c r="D57" s="40" t="n">
        <v>0.3720846569841983</v>
      </c>
      <c r="E57" s="40" t="n">
        <v>0.04714305875344756</v>
      </c>
      <c r="F57" s="40" t="n">
        <v>0.2241647907477873</v>
      </c>
      <c r="G57" s="40" t="n">
        <v>0.1809210689552421</v>
      </c>
      <c r="H57" s="40" t="n">
        <v>-0.1559599763180876</v>
      </c>
      <c r="I57" s="40" t="n">
        <v>-0.138119506857466</v>
      </c>
      <c r="J57" s="40" t="n">
        <v>-0.2366592019236997</v>
      </c>
      <c r="K57" s="40" t="n">
        <v>-0.1347954425352798</v>
      </c>
      <c r="L57" s="40" t="n">
        <v>-0.3135952147897515</v>
      </c>
      <c r="M57" s="40" t="n">
        <v>-0.02083336679333939</v>
      </c>
      <c r="N57" s="40" t="n">
        <v>-0.1390035537307882</v>
      </c>
      <c r="O57" s="40" t="n">
        <v>-0.2426549514343486</v>
      </c>
      <c r="P57" s="40" t="n">
        <v>-0.3026841927117338</v>
      </c>
      <c r="Q57" s="40" t="n">
        <v>-0.02229762499424975</v>
      </c>
      <c r="R57" s="40" t="n">
        <v>-0.1925769622581877</v>
      </c>
      <c r="S57" s="40" t="n">
        <v>-0.1222119686605685</v>
      </c>
      <c r="T57" s="40" t="n">
        <v>-0.1975583160063037</v>
      </c>
      <c r="U57" s="40" t="n">
        <v>-3.219106035289484</v>
      </c>
      <c r="V57" s="40" t="n">
        <v>0.8942076564626225</v>
      </c>
      <c r="W57" s="40" t="n">
        <v>0.526288885265772</v>
      </c>
      <c r="X57" s="40" t="n">
        <v>0.74606290026306</v>
      </c>
      <c r="Y57" s="40" t="n">
        <v>0.6143691084343946</v>
      </c>
      <c r="Z57" s="40" t="n">
        <v>0.1196056411134761</v>
      </c>
      <c r="AA57" s="40" t="n">
        <v>0.1910262300142593</v>
      </c>
      <c r="AB57" s="40" t="n">
        <v>0.2081425572832543</v>
      </c>
      <c r="AC57" s="40" t="n">
        <v>0.2310908662237906</v>
      </c>
      <c r="AD57" s="40" t="n">
        <v>0.2012345428571067</v>
      </c>
      <c r="AE57" s="40" t="n">
        <v>0.391503208686079</v>
      </c>
      <c r="AF57" s="40" t="n">
        <v>0.419145145274012</v>
      </c>
      <c r="AG57" s="40" t="n">
        <v>0.1205472261791427</v>
      </c>
      <c r="AH57" s="40" t="n">
        <v>0.1605725122411689</v>
      </c>
      <c r="AI57" s="40" t="n">
        <v>0.6084579103127036</v>
      </c>
      <c r="AJ57" s="40" t="n">
        <v>0.4636722167503441</v>
      </c>
      <c r="AK57" s="40" t="n">
        <v>0.4257800210141762</v>
      </c>
      <c r="AL57" s="40" t="n">
        <v>0.2430659075985934</v>
      </c>
      <c r="AM57" s="40" t="n">
        <v>-1.388615014668897</v>
      </c>
      <c r="AN57" s="40" t="n">
        <v>-0.2884932509887346</v>
      </c>
      <c r="AO57" s="40" t="n">
        <v>-0.5797505484435503</v>
      </c>
      <c r="AP57" s="40" t="n">
        <v>-0.4024935909577991</v>
      </c>
      <c r="AQ57" s="40" t="n">
        <v>-0.574087249055804</v>
      </c>
      <c r="AR57" s="40" t="n">
        <v>-0.02619859152285009</v>
      </c>
      <c r="AS57" s="40" t="n">
        <v>-0.4367556774359594</v>
      </c>
      <c r="AT57" s="40" t="n">
        <v>-0.4108979048762535</v>
      </c>
      <c r="AU57" s="141" t="n">
        <v>-0.3486500381691137</v>
      </c>
      <c r="AV57" s="141" t="n">
        <v>-0.3501835578038959</v>
      </c>
      <c r="AW57" s="141" t="n">
        <v>-0.1786471784699871</v>
      </c>
      <c r="AX57" s="141" t="n">
        <v>0.02500334543695354</v>
      </c>
      <c r="AY57" s="141" t="n">
        <v>-0.1513543418352364</v>
      </c>
      <c r="AZ57" s="141" t="n">
        <v>-0.01981630041982149</v>
      </c>
      <c r="BA57" s="141" t="n">
        <v>-0.1658967317454597</v>
      </c>
      <c r="BB57" s="141" t="n">
        <v>-0.06512235887089723</v>
      </c>
      <c r="BC57" s="141" t="n">
        <v>0.1468877332056946</v>
      </c>
      <c r="BD57" s="141" t="n">
        <v>-0.1370146225349437</v>
      </c>
      <c r="BE57" s="141" t="n">
        <v>0.00304236993650397</v>
      </c>
      <c r="BF57" s="141" t="n">
        <v>-0.1033284527032628</v>
      </c>
      <c r="BG57" s="141" t="n">
        <v>0.1902080831546684</v>
      </c>
      <c r="BH57" s="141" t="n">
        <v>0.03689824122077011</v>
      </c>
      <c r="BI57" s="141" t="n">
        <v>-0.2638750412673535</v>
      </c>
      <c r="BJ57" s="141" t="n">
        <v>-0.01584033180742178</v>
      </c>
      <c r="BK57" s="141" t="n">
        <v>-0.2244655691251652</v>
      </c>
      <c r="BL57" s="141" t="n">
        <v>-0.2322116190745205</v>
      </c>
      <c r="BM57" s="141" t="n">
        <v>-0.2131935081220074</v>
      </c>
      <c r="BN57" s="141" t="n">
        <v>-0.3528119016528667</v>
      </c>
      <c r="BO57" s="141" t="n">
        <v>-0.3100902723548443</v>
      </c>
      <c r="BP57" s="141" t="n">
        <v>-0.3781016000298299</v>
      </c>
      <c r="BQ57" s="141" t="n">
        <v>-0.1206074756116529</v>
      </c>
      <c r="BR57" s="141" t="n">
        <v>-0.4056978240129858</v>
      </c>
      <c r="BS57" s="141" t="n">
        <v>-0.5624820756791215</v>
      </c>
      <c r="BT57" s="141" t="n">
        <v>-0.4441095014143409</v>
      </c>
      <c r="BU57" s="141" t="n">
        <v>-0.4250562939256241</v>
      </c>
      <c r="BV57" s="40" t="n">
        <v>-0.007100415658231484</v>
      </c>
      <c r="BW57" s="40" t="n">
        <v>0.2475518566458136</v>
      </c>
      <c r="BX57" s="40" t="n">
        <v>-0.2241661221110295</v>
      </c>
      <c r="BY57" s="40" t="n">
        <v>0.1081773180846006</v>
      </c>
      <c r="BZ57" s="40" t="n">
        <v>-0.04053908341200929</v>
      </c>
      <c r="CA57" s="40" t="n">
        <v>-0.03532927830935982</v>
      </c>
      <c r="CB57" s="40" t="n">
        <v>0.4828048368726593</v>
      </c>
      <c r="CC57" s="40" t="n">
        <v>-0.07441419155227863</v>
      </c>
      <c r="CD57" s="40" t="n">
        <v>0.2900455800847463</v>
      </c>
      <c r="CE57" s="40" t="n">
        <v>0.01965396029395253</v>
      </c>
      <c r="CG57" s="3" t="n">
        <v>-1</v>
      </c>
    </row>
    <row r="58">
      <c r="A58" s="251" t="n">
        <v>43466</v>
      </c>
      <c r="B58" s="3" t="n">
        <v>0</v>
      </c>
      <c r="C58" s="40" t="n">
        <v>2.293682549611033</v>
      </c>
      <c r="D58" s="40" t="n">
        <v>0.4388541962831889</v>
      </c>
      <c r="E58" s="40" t="n">
        <v>0.1719361102258275</v>
      </c>
      <c r="F58" s="40" t="n">
        <v>0.375470081883035</v>
      </c>
      <c r="G58" s="40" t="n">
        <v>0.2920702637386628</v>
      </c>
      <c r="H58" s="40" t="n">
        <v>-0.215797503828568</v>
      </c>
      <c r="I58" s="40" t="n">
        <v>-0.1764645983911504</v>
      </c>
      <c r="J58" s="40" t="n">
        <v>-0.1456555447365419</v>
      </c>
      <c r="K58" s="40" t="n">
        <v>-0.1701276800043036</v>
      </c>
      <c r="L58" s="40" t="n">
        <v>-0.3264219358053953</v>
      </c>
      <c r="M58" s="40" t="n">
        <v>-0.02574189744316676</v>
      </c>
      <c r="N58" s="40" t="n">
        <v>-0.01959931659048227</v>
      </c>
      <c r="O58" s="40" t="n">
        <v>-0.3203598069004848</v>
      </c>
      <c r="P58" s="40" t="n">
        <v>-0.1235309116877119</v>
      </c>
      <c r="Q58" s="40" t="n">
        <v>0.06875101039893772</v>
      </c>
      <c r="R58" s="40" t="n">
        <v>-0.1333225123325915</v>
      </c>
      <c r="S58" s="40" t="n">
        <v>0.07199184852214027</v>
      </c>
      <c r="T58" s="40" t="n">
        <v>-0.004507033825238298</v>
      </c>
      <c r="U58" s="40" t="n">
        <v>-3.008496354976465</v>
      </c>
      <c r="V58" s="40" t="n">
        <v>0.9916846088337119</v>
      </c>
      <c r="W58" s="40" t="n">
        <v>0.6959121056118859</v>
      </c>
      <c r="X58" s="40" t="n">
        <v>0.9159897850307315</v>
      </c>
      <c r="Y58" s="40" t="n">
        <v>0.7885816389836804</v>
      </c>
      <c r="Z58" s="40" t="n">
        <v>0.1583758039448241</v>
      </c>
      <c r="AA58" s="40" t="n">
        <v>0.1813496681145498</v>
      </c>
      <c r="AB58" s="40" t="n">
        <v>0.2370053084712928</v>
      </c>
      <c r="AC58" s="40" t="n">
        <v>0.2320480087955438</v>
      </c>
      <c r="AD58" s="40" t="n">
        <v>0.2221772142824585</v>
      </c>
      <c r="AE58" s="40" t="n">
        <v>0.2874711981462914</v>
      </c>
      <c r="AF58" s="40" t="n">
        <v>0.4349411437237313</v>
      </c>
      <c r="AG58" s="40" t="n">
        <v>0.1927475528701706</v>
      </c>
      <c r="AH58" s="40" t="n">
        <v>-0.2126875270338896</v>
      </c>
      <c r="AI58" s="40" t="n">
        <v>-0.4825011961372564</v>
      </c>
      <c r="AJ58" s="40" t="n">
        <v>0.07871824399513944</v>
      </c>
      <c r="AK58" s="40" t="n">
        <v>-0.2018950520894482</v>
      </c>
      <c r="AL58" s="40" t="n">
        <v>-0.225613181481796</v>
      </c>
      <c r="AM58" s="40" t="n">
        <v>-1.24960048516531</v>
      </c>
      <c r="AN58" s="40" t="n">
        <v>0.1046144295352847</v>
      </c>
      <c r="AO58" s="40" t="n">
        <v>-0.5463868708832665</v>
      </c>
      <c r="AP58" s="40" t="n">
        <v>-0.1570267868441524</v>
      </c>
      <c r="AQ58" s="40" t="n">
        <v>-0.3701782480295651</v>
      </c>
      <c r="AR58" s="40" t="n">
        <v>-0.1332223216231437</v>
      </c>
      <c r="AS58" s="40" t="n">
        <v>-0.3559871415515404</v>
      </c>
      <c r="AT58" s="40" t="n">
        <v>-0.3626408597815783</v>
      </c>
      <c r="AU58" s="141" t="n">
        <v>-0.4512210577659794</v>
      </c>
      <c r="AV58" s="141" t="n">
        <v>-0.4758072366988289</v>
      </c>
      <c r="AW58" s="141" t="n">
        <v>-0.1492197325782257</v>
      </c>
      <c r="AX58" s="141" t="n">
        <v>0.06041422883953963</v>
      </c>
      <c r="AY58" s="141" t="n">
        <v>-0.01461755875849274</v>
      </c>
      <c r="AZ58" s="141" t="n">
        <v>0.0385496294534323</v>
      </c>
      <c r="BA58" s="141" t="n">
        <v>-0.1119478753381896</v>
      </c>
      <c r="BB58" s="141" t="n">
        <v>-0.07129583188030728</v>
      </c>
      <c r="BC58" s="141" t="n">
        <v>0.1141007182947599</v>
      </c>
      <c r="BD58" s="141" t="n">
        <v>-0.05702998920356635</v>
      </c>
      <c r="BE58" s="141" t="n">
        <v>0.02099260135848679</v>
      </c>
      <c r="BF58" s="141" t="n">
        <v>-0.09365479981201497</v>
      </c>
      <c r="BG58" s="141" t="n">
        <v>0.1877814048914059</v>
      </c>
      <c r="BH58" s="141" t="n">
        <v>0.04355570645518675</v>
      </c>
      <c r="BI58" s="141" t="n">
        <v>-0.1351101879582146</v>
      </c>
      <c r="BJ58" s="141" t="n">
        <v>0.03019784634927032</v>
      </c>
      <c r="BK58" s="141" t="n">
        <v>-0.1750574452562692</v>
      </c>
      <c r="BL58" s="141" t="n">
        <v>-0.2573658705817505</v>
      </c>
      <c r="BM58" s="141" t="n">
        <v>-0.3259751734477991</v>
      </c>
      <c r="BN58" s="141" t="n">
        <v>-0.2239143972663883</v>
      </c>
      <c r="BO58" s="141" t="n">
        <v>-0.2839794836597874</v>
      </c>
      <c r="BP58" s="141" t="n">
        <v>-0.3753370294242205</v>
      </c>
      <c r="BQ58" s="141" t="n">
        <v>-0.1215584614214407</v>
      </c>
      <c r="BR58" s="141" t="n">
        <v>-0.2760177104948052</v>
      </c>
      <c r="BS58" s="141" t="n">
        <v>-0.3950045504358303</v>
      </c>
      <c r="BT58" s="141" t="n">
        <v>-0.33015610397569</v>
      </c>
      <c r="BU58" s="141" t="n">
        <v>-0.3997252752103505</v>
      </c>
      <c r="BV58" s="40" t="n">
        <v>0.1908383551240381</v>
      </c>
      <c r="BW58" s="40" t="n">
        <v>0.5302977764563241</v>
      </c>
      <c r="BX58" s="40" t="n">
        <v>0.09319198633709624</v>
      </c>
      <c r="BY58" s="40" t="n">
        <v>0.4094841610424692</v>
      </c>
      <c r="BZ58" s="40" t="n">
        <v>0.2311345724667822</v>
      </c>
      <c r="CA58" s="40" t="n">
        <v>0.04052166339353756</v>
      </c>
      <c r="CB58" s="40" t="n">
        <v>0.5318538519677839</v>
      </c>
      <c r="CC58" s="40" t="n">
        <v>0.1573303803366784</v>
      </c>
      <c r="CD58" s="40" t="n">
        <v>0.4061248202493861</v>
      </c>
      <c r="CE58" s="40" t="n">
        <v>0.158403979243263</v>
      </c>
      <c r="CG58" s="3" t="n">
        <v>-1</v>
      </c>
    </row>
    <row r="59">
      <c r="A59" s="251" t="n">
        <v>43556</v>
      </c>
      <c r="B59" s="3" t="n">
        <v>0</v>
      </c>
      <c r="C59" s="40" t="n">
        <v>2.057614996722949</v>
      </c>
      <c r="D59" s="40" t="n">
        <v>0.0264991496973255</v>
      </c>
      <c r="E59" s="40" t="n">
        <v>0.1221606074405442</v>
      </c>
      <c r="F59" s="40" t="n">
        <v>0.07003944033846321</v>
      </c>
      <c r="G59" s="40" t="n">
        <v>0.02766982891662728</v>
      </c>
      <c r="H59" s="40" t="n">
        <v>-0.2489298269187003</v>
      </c>
      <c r="I59" s="40" t="n">
        <v>-0.1654977704581665</v>
      </c>
      <c r="J59" s="40" t="n">
        <v>-0.1299578990325333</v>
      </c>
      <c r="K59" s="40" t="n">
        <v>-0.1867154374078606</v>
      </c>
      <c r="L59" s="40" t="n">
        <v>-0.2831746798302729</v>
      </c>
      <c r="M59" s="40" t="n">
        <v>-0.08002200743919612</v>
      </c>
      <c r="N59" s="40" t="n">
        <v>-0.0006704712331588942</v>
      </c>
      <c r="O59" s="40" t="n">
        <v>-0.2990356167957216</v>
      </c>
      <c r="P59" s="40" t="n">
        <v>-0.05862030262103737</v>
      </c>
      <c r="Q59" s="40" t="n">
        <v>0.144934562462625</v>
      </c>
      <c r="R59" s="40" t="n">
        <v>4.678090995121449e-16</v>
      </c>
      <c r="S59" s="40" t="n">
        <v>0.1535632575331136</v>
      </c>
      <c r="T59" s="40" t="n">
        <v>0.07417826504038992</v>
      </c>
      <c r="U59" s="40" t="n">
        <v>-2.826449396880719</v>
      </c>
      <c r="V59" s="40" t="n">
        <v>0.9814311637491413</v>
      </c>
      <c r="W59" s="40" t="n">
        <v>0.860283704856967</v>
      </c>
      <c r="X59" s="40" t="n">
        <v>1.012507487689223</v>
      </c>
      <c r="Y59" s="40" t="n">
        <v>0.9124056456383451</v>
      </c>
      <c r="Z59" s="40" t="n">
        <v>0.1812652348977967</v>
      </c>
      <c r="AA59" s="40" t="n">
        <v>0.1777558808487401</v>
      </c>
      <c r="AB59" s="40" t="n">
        <v>0.2517884008740151</v>
      </c>
      <c r="AC59" s="40" t="n">
        <v>0.209137924946193</v>
      </c>
      <c r="AD59" s="40" t="n">
        <v>0.224306226014693</v>
      </c>
      <c r="AE59" s="40" t="n">
        <v>0.2334099568078396</v>
      </c>
      <c r="AF59" s="40" t="n">
        <v>0.4476925479879996</v>
      </c>
      <c r="AG59" s="40" t="n">
        <v>0.2710845443123212</v>
      </c>
      <c r="AH59" s="40" t="n">
        <v>-0.2301768105785049</v>
      </c>
      <c r="AI59" s="40" t="n">
        <v>-0.5124904475072146</v>
      </c>
      <c r="AJ59" s="40" t="n">
        <v>0.09767685239777395</v>
      </c>
      <c r="AK59" s="40" t="n">
        <v>-0.2420685029802461</v>
      </c>
      <c r="AL59" s="40" t="n">
        <v>-0.1908941434877495</v>
      </c>
      <c r="AM59" s="40" t="n">
        <v>-1.117344109338414</v>
      </c>
      <c r="AN59" s="40" t="n">
        <v>0.3833930773203505</v>
      </c>
      <c r="AO59" s="40" t="n">
        <v>-0.3150003989693627</v>
      </c>
      <c r="AP59" s="40" t="n">
        <v>0.0755281551948281</v>
      </c>
      <c r="AQ59" s="40" t="n">
        <v>-0.1808049369408434</v>
      </c>
      <c r="AR59" s="40" t="n">
        <v>-0.1972702734373303</v>
      </c>
      <c r="AS59" s="40" t="n">
        <v>-0.4231489106549068</v>
      </c>
      <c r="AT59" s="40" t="n">
        <v>-0.4025961236626844</v>
      </c>
      <c r="AU59" s="141" t="n">
        <v>-0.4890964518914248</v>
      </c>
      <c r="AV59" s="141" t="n">
        <v>-0.5031145073882061</v>
      </c>
      <c r="AW59" s="141" t="n">
        <v>-0.1434504245204201</v>
      </c>
      <c r="AX59" s="141" t="n">
        <v>0.04277621719985734</v>
      </c>
      <c r="AY59" s="141" t="n">
        <v>0.02829393523760321</v>
      </c>
      <c r="AZ59" s="141" t="n">
        <v>0.04692442421954513</v>
      </c>
      <c r="BA59" s="141" t="n">
        <v>-0.05886441938292864</v>
      </c>
      <c r="BB59" s="141" t="n">
        <v>-0.03605487540104212</v>
      </c>
      <c r="BC59" s="141" t="n">
        <v>-0.01016659951916572</v>
      </c>
      <c r="BD59" s="141" t="n">
        <v>0.04450990183445951</v>
      </c>
      <c r="BE59" s="141" t="n">
        <v>0.08679114810957227</v>
      </c>
      <c r="BF59" s="141" t="n">
        <v>-0.01508317554690762</v>
      </c>
      <c r="BG59" s="141" t="n">
        <v>0.1329932215831255</v>
      </c>
      <c r="BH59" s="141" t="n">
        <v>0.05257220832068123</v>
      </c>
      <c r="BI59" s="141" t="n">
        <v>-0.01570223513272569</v>
      </c>
      <c r="BJ59" s="141" t="n">
        <v>-0.01219766826713467</v>
      </c>
      <c r="BK59" s="141" t="n">
        <v>-0.1789501636099007</v>
      </c>
      <c r="BL59" s="141" t="n">
        <v>-0.2204937074694868</v>
      </c>
      <c r="BM59" s="141" t="n">
        <v>-0.2542945428327474</v>
      </c>
      <c r="BN59" s="141" t="n">
        <v>-0.1220302018630807</v>
      </c>
      <c r="BO59" s="141" t="n">
        <v>-0.1869227630988101</v>
      </c>
      <c r="BP59" s="141" t="n">
        <v>-0.2757566179402076</v>
      </c>
      <c r="BQ59" s="141" t="n">
        <v>-0.1066049537362857</v>
      </c>
      <c r="BR59" s="141" t="n">
        <v>-0.1301716253704321</v>
      </c>
      <c r="BS59" s="141" t="n">
        <v>-0.3164856691245082</v>
      </c>
      <c r="BT59" s="141" t="n">
        <v>-0.225869905210537</v>
      </c>
      <c r="BU59" s="141" t="n">
        <v>-0.3392954080867286</v>
      </c>
      <c r="BV59" s="40" t="n">
        <v>0.2807064468500802</v>
      </c>
      <c r="BW59" s="40" t="n">
        <v>0.4941155500238149</v>
      </c>
      <c r="BX59" s="40" t="n">
        <v>0.3638782061033308</v>
      </c>
      <c r="BY59" s="40" t="n">
        <v>0.5139835853193202</v>
      </c>
      <c r="BZ59" s="40" t="n">
        <v>0.3542883012679773</v>
      </c>
      <c r="CA59" s="40" t="n">
        <v>0.05379164685892807</v>
      </c>
      <c r="CB59" s="40" t="n">
        <v>0.3876212277793047</v>
      </c>
      <c r="CC59" s="40" t="n">
        <v>0.2729183357418779</v>
      </c>
      <c r="CD59" s="40" t="n">
        <v>0.3912233283546681</v>
      </c>
      <c r="CE59" s="40" t="n">
        <v>0.2084979181604533</v>
      </c>
      <c r="CG59" s="3" t="n">
        <v>-1</v>
      </c>
    </row>
    <row r="60">
      <c r="A60" s="251" t="n">
        <v>43647</v>
      </c>
      <c r="B60" s="3" t="n">
        <v>0</v>
      </c>
      <c r="C60" s="40" t="n">
        <v>1.947887260143306</v>
      </c>
      <c r="D60" s="40" t="n">
        <v>-0.1972063435319753</v>
      </c>
      <c r="E60" s="40" t="n">
        <v>0.08768676638581553</v>
      </c>
      <c r="F60" s="40" t="n">
        <v>-0.08061636888632559</v>
      </c>
      <c r="G60" s="40" t="n">
        <v>-0.0659834894701327</v>
      </c>
      <c r="H60" s="40" t="n">
        <v>-0.2809318570190087</v>
      </c>
      <c r="I60" s="40" t="n">
        <v>-0.1735263726008386</v>
      </c>
      <c r="J60" s="40" t="n">
        <v>-0.1943296914420544</v>
      </c>
      <c r="K60" s="40" t="n">
        <v>-0.2049216760534698</v>
      </c>
      <c r="L60" s="40" t="n">
        <v>-0.2451340748331008</v>
      </c>
      <c r="M60" s="40" t="n">
        <v>-0.1511140324923264</v>
      </c>
      <c r="N60" s="40" t="n">
        <v>-0.1102976766753202</v>
      </c>
      <c r="O60" s="40" t="n">
        <v>-0.2513682764536484</v>
      </c>
      <c r="P60" s="40" t="n">
        <v>-0.1209344873250451</v>
      </c>
      <c r="Q60" s="40" t="n">
        <v>0.1523671041273746</v>
      </c>
      <c r="R60" s="40" t="n">
        <v>0.09546550265790531</v>
      </c>
      <c r="S60" s="40" t="n">
        <v>0.09782763287081143</v>
      </c>
      <c r="T60" s="40" t="n">
        <v>0.03023468524431051</v>
      </c>
      <c r="U60" s="40" t="n">
        <v>-2.704470907874542</v>
      </c>
      <c r="V60" s="40" t="n">
        <v>0.9133997061560181</v>
      </c>
      <c r="W60" s="40" t="n">
        <v>0.9809568853373516</v>
      </c>
      <c r="X60" s="40" t="n">
        <v>0.9948407747466534</v>
      </c>
      <c r="Y60" s="40" t="n">
        <v>0.9525645377777997</v>
      </c>
      <c r="Z60" s="40" t="n">
        <v>0.2324722963173635</v>
      </c>
      <c r="AA60" s="40" t="n">
        <v>0.1879283874175212</v>
      </c>
      <c r="AB60" s="40" t="n">
        <v>0.2481893961432236</v>
      </c>
      <c r="AC60" s="40" t="n">
        <v>0.21515867201094</v>
      </c>
      <c r="AD60" s="40" t="n">
        <v>0.2466830780589824</v>
      </c>
      <c r="AE60" s="40" t="n">
        <v>0.2036894246652607</v>
      </c>
      <c r="AF60" s="40" t="n">
        <v>0.4210641216490641</v>
      </c>
      <c r="AG60" s="40" t="n">
        <v>0.3523164491048004</v>
      </c>
      <c r="AH60" s="40" t="n">
        <v>-0.1711287807496956</v>
      </c>
      <c r="AI60" s="40" t="n">
        <v>-0.4149208925988606</v>
      </c>
      <c r="AJ60" s="40" t="n">
        <v>0.1459083936807203</v>
      </c>
      <c r="AK60" s="40" t="n">
        <v>-0.1750728440210429</v>
      </c>
      <c r="AL60" s="40" t="n">
        <v>-0.04893995688240756</v>
      </c>
      <c r="AM60" s="40" t="n">
        <v>-1.121694573239929</v>
      </c>
      <c r="AN60" s="40" t="n">
        <v>0.1268320371019336</v>
      </c>
      <c r="AO60" s="40" t="n">
        <v>-0.0815657012672569</v>
      </c>
      <c r="AP60" s="40" t="n">
        <v>0.1307898062893247</v>
      </c>
      <c r="AQ60" s="40" t="n">
        <v>-0.1091331378876775</v>
      </c>
      <c r="AR60" s="40" t="n">
        <v>-0.2514328467071962</v>
      </c>
      <c r="AS60" s="40" t="n">
        <v>-0.4271158341123448</v>
      </c>
      <c r="AT60" s="40" t="n">
        <v>-0.5602046220241678</v>
      </c>
      <c r="AU60" s="141" t="n">
        <v>-0.5018094711966216</v>
      </c>
      <c r="AV60" s="141" t="n">
        <v>-0.5179372360392895</v>
      </c>
      <c r="AW60" s="141" t="n">
        <v>-0.1580173192044888</v>
      </c>
      <c r="AX60" s="141" t="n">
        <v>0.06712716607871924</v>
      </c>
      <c r="AY60" s="141" t="n">
        <v>0.009874234632731989</v>
      </c>
      <c r="AZ60" s="141" t="n">
        <v>0.02753422408114299</v>
      </c>
      <c r="BA60" s="141" t="n">
        <v>-0.03189505994713986</v>
      </c>
      <c r="BB60" s="141" t="n">
        <v>-0.02802375768501101</v>
      </c>
      <c r="BC60" s="141" t="n">
        <v>0.01259805172557175</v>
      </c>
      <c r="BD60" s="141" t="n">
        <v>0.09969599137639377</v>
      </c>
      <c r="BE60" s="141" t="n">
        <v>0.09025514563308423</v>
      </c>
      <c r="BF60" s="141" t="n">
        <v>0.01882968127625775</v>
      </c>
      <c r="BG60" s="141" t="n">
        <v>0.07254893551235657</v>
      </c>
      <c r="BH60" s="141" t="n">
        <v>-0.04643124157323261</v>
      </c>
      <c r="BI60" s="141" t="n">
        <v>-0.03671675768454771</v>
      </c>
      <c r="BJ60" s="141" t="n">
        <v>-0.08374742148643831</v>
      </c>
      <c r="BK60" s="141" t="n">
        <v>-0.1859515817723348</v>
      </c>
      <c r="BL60" s="141" t="n">
        <v>-0.2100311582914014</v>
      </c>
      <c r="BM60" s="141" t="n">
        <v>-0.159249062239301</v>
      </c>
      <c r="BN60" s="141" t="n">
        <v>-0.1572088721513388</v>
      </c>
      <c r="BO60" s="141" t="n">
        <v>-0.1487009531973363</v>
      </c>
      <c r="BP60" s="141" t="n">
        <v>-0.2070698969612392</v>
      </c>
      <c r="BQ60" s="141" t="n">
        <v>-0.1348804103123034</v>
      </c>
      <c r="BR60" s="141" t="n">
        <v>-0.05057779760091439</v>
      </c>
      <c r="BS60" s="141" t="n">
        <v>-0.340394169580213</v>
      </c>
      <c r="BT60" s="141" t="n">
        <v>-0.204837657997174</v>
      </c>
      <c r="BU60" s="141" t="n">
        <v>-0.3189279413047045</v>
      </c>
      <c r="BV60" s="40" t="n">
        <v>0.1709931988656743</v>
      </c>
      <c r="BW60" s="40" t="n">
        <v>0.2363604615766009</v>
      </c>
      <c r="BX60" s="40" t="n">
        <v>0.3314630160092818</v>
      </c>
      <c r="BY60" s="40" t="n">
        <v>0.3072771259243744</v>
      </c>
      <c r="BZ60" s="40" t="n">
        <v>0.2150003094887429</v>
      </c>
      <c r="CA60" s="40" t="n">
        <v>0.03713843322274899</v>
      </c>
      <c r="CB60" s="40" t="n">
        <v>0.2177105538509641</v>
      </c>
      <c r="CC60" s="40" t="n">
        <v>0.3494840047255216</v>
      </c>
      <c r="CD60" s="40" t="n">
        <v>0.312705422360014</v>
      </c>
      <c r="CE60" s="40" t="n">
        <v>0.2149703412641826</v>
      </c>
      <c r="CG60" s="3" t="n">
        <v>-1</v>
      </c>
    </row>
    <row r="61">
      <c r="A61" s="251" t="n">
        <v>43739</v>
      </c>
      <c r="B61" s="3" t="n">
        <v>0</v>
      </c>
      <c r="C61" s="40" t="n">
        <v>1.66016906830574</v>
      </c>
      <c r="D61" s="40" t="n">
        <v>-0.4997148950944807</v>
      </c>
      <c r="E61" s="40" t="n">
        <v>-0.08752141352905156</v>
      </c>
      <c r="F61" s="40" t="n">
        <v>-0.4278118737472179</v>
      </c>
      <c r="G61" s="40" t="n">
        <v>-0.3382582183919725</v>
      </c>
      <c r="H61" s="40" t="n">
        <v>-0.2284595656091743</v>
      </c>
      <c r="I61" s="40" t="n">
        <v>-0.09409972399438903</v>
      </c>
      <c r="J61" s="40" t="n">
        <v>-0.1533110495013758</v>
      </c>
      <c r="K61" s="40" t="n">
        <v>-0.0921196497940197</v>
      </c>
      <c r="L61" s="40" t="n">
        <v>-0.1274612428328303</v>
      </c>
      <c r="M61" s="40" t="n">
        <v>-0.01067482193664288</v>
      </c>
      <c r="N61" s="40" t="n">
        <v>-0.01834413003326931</v>
      </c>
      <c r="O61" s="40" t="n">
        <v>-0.09882368838566717</v>
      </c>
      <c r="P61" s="40" t="n">
        <v>-0.04563818080770246</v>
      </c>
      <c r="Q61" s="40" t="n">
        <v>0.1839554062025623</v>
      </c>
      <c r="R61" s="40" t="n">
        <v>0.143198253986858</v>
      </c>
      <c r="S61" s="40" t="n">
        <v>0.1483380427210229</v>
      </c>
      <c r="T61" s="40" t="n">
        <v>0.100281502611565</v>
      </c>
      <c r="U61" s="40" t="n">
        <v>-2.602605195025914</v>
      </c>
      <c r="V61" s="40" t="n">
        <v>0.8112738924077366</v>
      </c>
      <c r="W61" s="40" t="n">
        <v>1.03029000082829</v>
      </c>
      <c r="X61" s="40" t="n">
        <v>0.9252248701333267</v>
      </c>
      <c r="Y61" s="40" t="n">
        <v>0.9575456283984436</v>
      </c>
      <c r="Z61" s="40" t="n">
        <v>0.3138617660154658</v>
      </c>
      <c r="AA61" s="40" t="n">
        <v>0.2088611866314764</v>
      </c>
      <c r="AB61" s="40" t="n">
        <v>0.2551700089959923</v>
      </c>
      <c r="AC61" s="40" t="n">
        <v>0.255996953852797</v>
      </c>
      <c r="AD61" s="40" t="n">
        <v>0.2899682996347064</v>
      </c>
      <c r="AE61" s="40" t="n">
        <v>0.2124767294367356</v>
      </c>
      <c r="AF61" s="40" t="n">
        <v>0.3840467433196785</v>
      </c>
      <c r="AG61" s="40" t="n">
        <v>0.4172940028672514</v>
      </c>
      <c r="AH61" s="40" t="n">
        <v>-0.213198996989031</v>
      </c>
      <c r="AI61" s="40" t="n">
        <v>-0.4552052282518995</v>
      </c>
      <c r="AJ61" s="40" t="n">
        <v>0.120518643954975</v>
      </c>
      <c r="AK61" s="40" t="n">
        <v>-0.2635042147516463</v>
      </c>
      <c r="AL61" s="40" t="n">
        <v>-0.1111482318193315</v>
      </c>
      <c r="AM61" s="40" t="n">
        <v>-0.892767059390298</v>
      </c>
      <c r="AN61" s="40" t="n">
        <v>0.3897393183125207</v>
      </c>
      <c r="AO61" s="40" t="n">
        <v>0.08332925667489732</v>
      </c>
      <c r="AP61" s="40" t="n">
        <v>0.3700483462354507</v>
      </c>
      <c r="AQ61" s="40" t="n">
        <v>0.1524219847223035</v>
      </c>
      <c r="AR61" s="40" t="n">
        <v>-0.2863273035878293</v>
      </c>
      <c r="AS61" s="40" t="n">
        <v>-0.4265114756731888</v>
      </c>
      <c r="AT61" s="40" t="n">
        <v>-0.5659095893546336</v>
      </c>
      <c r="AU61" s="141" t="n">
        <v>-0.4494221574653041</v>
      </c>
      <c r="AV61" s="141" t="n">
        <v>-0.4953734802169484</v>
      </c>
      <c r="AW61" s="141" t="n">
        <v>-0.1525162821489045</v>
      </c>
      <c r="AX61" s="141" t="n">
        <v>0.0228090994506012</v>
      </c>
      <c r="AY61" s="141" t="n">
        <v>0.03142740763633562</v>
      </c>
      <c r="AZ61" s="141" t="n">
        <v>0.03066732929928685</v>
      </c>
      <c r="BA61" s="141" t="n">
        <v>0.003770135125558361</v>
      </c>
      <c r="BB61" s="141" t="n">
        <v>-0.1125573022000616</v>
      </c>
      <c r="BC61" s="141" t="n">
        <v>-0.0666100639981597</v>
      </c>
      <c r="BD61" s="141" t="n">
        <v>0.05497599455794583</v>
      </c>
      <c r="BE61" s="141" t="n">
        <v>-0.06013798383442656</v>
      </c>
      <c r="BF61" s="141" t="n">
        <v>-0.06618768928540279</v>
      </c>
      <c r="BG61" s="141" t="n">
        <v>0.06903726111333172</v>
      </c>
      <c r="BH61" s="141" t="n">
        <v>-0.1203923610311906</v>
      </c>
      <c r="BI61" s="141" t="n">
        <v>-0.06965149912051963</v>
      </c>
      <c r="BJ61" s="141" t="n">
        <v>-0.08125184244248454</v>
      </c>
      <c r="BK61" s="141" t="n">
        <v>-0.136820066528641</v>
      </c>
      <c r="BL61" s="141" t="n">
        <v>-0.03664721765747374</v>
      </c>
      <c r="BM61" s="141" t="n">
        <v>0.2358047679399755</v>
      </c>
      <c r="BN61" s="141" t="n">
        <v>0.01955344317187811</v>
      </c>
      <c r="BO61" s="141" t="n">
        <v>0.1441216605701607</v>
      </c>
      <c r="BP61" s="141" t="n">
        <v>0.08322269870197717</v>
      </c>
      <c r="BQ61" s="141" t="n">
        <v>-0.1632648139819417</v>
      </c>
      <c r="BR61" s="141" t="n">
        <v>-0.06304713647152624</v>
      </c>
      <c r="BS61" s="141" t="n">
        <v>-0.3000363680067059</v>
      </c>
      <c r="BT61" s="141" t="n">
        <v>-0.1790682101822106</v>
      </c>
      <c r="BU61" s="141" t="n">
        <v>-0.288953035810438</v>
      </c>
      <c r="BV61" s="40" t="n">
        <v>0.2989752491854541</v>
      </c>
      <c r="BW61" s="40" t="n">
        <v>0.326107103682685</v>
      </c>
      <c r="BX61" s="40" t="n">
        <v>0.54218528012695</v>
      </c>
      <c r="BY61" s="40" t="n">
        <v>0.4231698497927717</v>
      </c>
      <c r="BZ61" s="40" t="n">
        <v>0.3853795516778804</v>
      </c>
      <c r="CA61" s="40" t="n">
        <v>0.006509609768381384</v>
      </c>
      <c r="CB61" s="40" t="n">
        <v>0.05042267231741338</v>
      </c>
      <c r="CC61" s="40" t="n">
        <v>0.3552393214510318</v>
      </c>
      <c r="CD61" s="40" t="n">
        <v>0.1998083831319169</v>
      </c>
      <c r="CE61" s="40" t="n">
        <v>0.1939720658015693</v>
      </c>
      <c r="CG61" s="3" t="n">
        <v>-1</v>
      </c>
    </row>
    <row r="62">
      <c r="A62" s="251" t="n">
        <v>43831</v>
      </c>
      <c r="B62" s="3" t="n">
        <v>0</v>
      </c>
      <c r="C62" s="40" t="n">
        <v>1.699165753587253</v>
      </c>
      <c r="D62" s="40" t="n">
        <v>-0.6028777606304008</v>
      </c>
      <c r="E62" s="40" t="n">
        <v>-0.1124778455034848</v>
      </c>
      <c r="F62" s="40" t="n">
        <v>-0.3651991529121099</v>
      </c>
      <c r="G62" s="40" t="n">
        <v>-0.266105245273804</v>
      </c>
      <c r="H62" s="40" t="n">
        <v>0.0607059137570416</v>
      </c>
      <c r="I62" s="40" t="n">
        <v>0.3588833472400098</v>
      </c>
      <c r="J62" s="40" t="n">
        <v>0.120432789877717</v>
      </c>
      <c r="K62" s="40" t="n">
        <v>0.3426873510238161</v>
      </c>
      <c r="L62" s="40" t="n">
        <v>0.229160865423559</v>
      </c>
      <c r="M62" s="40" t="n">
        <v>0.3002660873836465</v>
      </c>
      <c r="N62" s="40" t="n">
        <v>0.1598285284089993</v>
      </c>
      <c r="O62" s="40" t="n">
        <v>0.1056273241262472</v>
      </c>
      <c r="P62" s="40" t="n">
        <v>0.2996862594270057</v>
      </c>
      <c r="Q62" s="40" t="n">
        <v>0.3028760728385617</v>
      </c>
      <c r="R62" s="40" t="n">
        <v>0.3291913884755349</v>
      </c>
      <c r="S62" s="40" t="n">
        <v>0.4319510911328403</v>
      </c>
      <c r="T62" s="40" t="n">
        <v>0.4033795273588791</v>
      </c>
      <c r="U62" s="40" t="n">
        <v>-2.438418848876678</v>
      </c>
      <c r="V62" s="40" t="n">
        <v>0.7501838880705236</v>
      </c>
      <c r="W62" s="40" t="n">
        <v>1.052271539558388</v>
      </c>
      <c r="X62" s="40" t="n">
        <v>0.9281265703619422</v>
      </c>
      <c r="Y62" s="40" t="n">
        <v>1.019038938929491</v>
      </c>
      <c r="Z62" s="40" t="n">
        <v>0.3790518743672163</v>
      </c>
      <c r="AA62" s="40" t="n">
        <v>0.2372675041924509</v>
      </c>
      <c r="AB62" s="40" t="n">
        <v>0.2671215526596223</v>
      </c>
      <c r="AC62" s="40" t="n">
        <v>0.2771095314591387</v>
      </c>
      <c r="AD62" s="40" t="n">
        <v>0.3119479861271023</v>
      </c>
      <c r="AE62" s="40" t="n">
        <v>0.262224946094986</v>
      </c>
      <c r="AF62" s="40" t="n">
        <v>0.3495298447616971</v>
      </c>
      <c r="AG62" s="40" t="n">
        <v>0.4530031147424108</v>
      </c>
      <c r="AH62" s="40" t="n">
        <v>-0.2569658218109075</v>
      </c>
      <c r="AI62" s="40" t="n">
        <v>-0.05392522111192734</v>
      </c>
      <c r="AJ62" s="40" t="n">
        <v>-0.42184830646453</v>
      </c>
      <c r="AK62" s="40" t="n">
        <v>-0.3495955638705786</v>
      </c>
      <c r="AL62" s="40" t="n">
        <v>-0.1793649462525341</v>
      </c>
      <c r="AM62" s="40" t="n">
        <v>-0.6995700384239558</v>
      </c>
      <c r="AN62" s="40" t="n">
        <v>0.4323270653474018</v>
      </c>
      <c r="AO62" s="40" t="n">
        <v>0.4419227020778404</v>
      </c>
      <c r="AP62" s="40" t="n">
        <v>0.5432143024983681</v>
      </c>
      <c r="AQ62" s="40" t="n">
        <v>0.3617148705674064</v>
      </c>
      <c r="AR62" s="40" t="n">
        <v>-0.1833349272071241</v>
      </c>
      <c r="AS62" s="40" t="n">
        <v>-0.08216548334008174</v>
      </c>
      <c r="AT62" s="40" t="n">
        <v>-0.2872283176002207</v>
      </c>
      <c r="AU62" s="141" t="n">
        <v>-0.1571333665763046</v>
      </c>
      <c r="AV62" s="141" t="n">
        <v>-0.2753549210980931</v>
      </c>
      <c r="AW62" s="141" t="n">
        <v>0.1213581004533917</v>
      </c>
      <c r="AX62" s="141" t="n">
        <v>0.2361815923538374</v>
      </c>
      <c r="AY62" s="141" t="n">
        <v>0.1949542174176546</v>
      </c>
      <c r="AZ62" s="141" t="n">
        <v>0.2804224427581523</v>
      </c>
      <c r="BA62" s="141" t="n">
        <v>0.2296444904481912</v>
      </c>
      <c r="BB62" s="141" t="n">
        <v>-0.1216687614789576</v>
      </c>
      <c r="BC62" s="141" t="n">
        <v>-0.07073570302502995</v>
      </c>
      <c r="BD62" s="141" t="n">
        <v>0.02969736001316473</v>
      </c>
      <c r="BE62" s="141" t="n">
        <v>-0.08521696390832544</v>
      </c>
      <c r="BF62" s="141" t="n">
        <v>-0.05749386907130832</v>
      </c>
      <c r="BG62" s="141" t="n">
        <v>0.3465093693182242</v>
      </c>
      <c r="BH62" s="141" t="n">
        <v>0.1577082178455499</v>
      </c>
      <c r="BI62" s="141" t="n">
        <v>0.1678960635581851</v>
      </c>
      <c r="BJ62" s="141" t="n">
        <v>0.2735343612071038</v>
      </c>
      <c r="BK62" s="141" t="n">
        <v>0.2369831092596399</v>
      </c>
      <c r="BL62" s="141" t="n">
        <v>0.004689669646787862</v>
      </c>
      <c r="BM62" s="141" t="n">
        <v>0.31597747546701</v>
      </c>
      <c r="BN62" s="141" t="n">
        <v>-0.008645666844339747</v>
      </c>
      <c r="BO62" s="141" t="n">
        <v>0.2035190642763916</v>
      </c>
      <c r="BP62" s="141" t="n">
        <v>0.1581571210210154</v>
      </c>
      <c r="BQ62" s="141" t="n">
        <v>-0.1820503881095539</v>
      </c>
      <c r="BR62" s="141" t="n">
        <v>-0.08940648673915873</v>
      </c>
      <c r="BS62" s="141" t="n">
        <v>-0.2339023523719939</v>
      </c>
      <c r="BT62" s="141" t="n">
        <v>-0.146672514870195</v>
      </c>
      <c r="BU62" s="141" t="n">
        <v>-0.2464295442355835</v>
      </c>
      <c r="BV62" s="40" t="n">
        <v>0.2318040838890717</v>
      </c>
      <c r="BW62" s="40" t="n">
        <v>0.04364677330567323</v>
      </c>
      <c r="BX62" s="40" t="n">
        <v>0.5424552007552519</v>
      </c>
      <c r="BY62" s="40" t="n">
        <v>0.2437005516960959</v>
      </c>
      <c r="BZ62" s="40" t="n">
        <v>0.2916539696796934</v>
      </c>
      <c r="CA62" s="40" t="n">
        <v>0.08906335643137468</v>
      </c>
      <c r="CB62" s="40" t="n">
        <v>0.05850064364118418</v>
      </c>
      <c r="CC62" s="40" t="n">
        <v>0.3932976577938345</v>
      </c>
      <c r="CD62" s="40" t="n">
        <v>0.2359813217913977</v>
      </c>
      <c r="CE62" s="40" t="n">
        <v>0.2943578353998691</v>
      </c>
      <c r="CG62" s="3" t="n">
        <v>-1</v>
      </c>
    </row>
    <row r="63">
      <c r="A63" s="251" t="n">
        <v>43922</v>
      </c>
      <c r="B63" s="3" t="n">
        <v>0</v>
      </c>
      <c r="C63" s="40" t="n">
        <v>1.799383083680371</v>
      </c>
      <c r="D63" s="40" t="n">
        <v>-0.2618635478419466</v>
      </c>
      <c r="E63" s="40" t="n">
        <v>-0.1613992508752684</v>
      </c>
      <c r="F63" s="40" t="n">
        <v>-0.2274149382118744</v>
      </c>
      <c r="G63" s="40" t="n">
        <v>-0.1408711627060735</v>
      </c>
      <c r="H63" s="40" t="n">
        <v>0.2501928342648594</v>
      </c>
      <c r="I63" s="40" t="n">
        <v>0.647828561733552</v>
      </c>
      <c r="J63" s="40" t="n">
        <v>0.3184346083052565</v>
      </c>
      <c r="K63" s="40" t="n">
        <v>0.5826370362813432</v>
      </c>
      <c r="L63" s="40" t="n">
        <v>0.4315650522710153</v>
      </c>
      <c r="M63" s="40" t="n">
        <v>0.5984023441345672</v>
      </c>
      <c r="N63" s="40" t="n">
        <v>0.3018020611886555</v>
      </c>
      <c r="O63" s="40" t="n">
        <v>0.2366298975127099</v>
      </c>
      <c r="P63" s="40" t="n">
        <v>0.6060643342217098</v>
      </c>
      <c r="Q63" s="40" t="n">
        <v>0.4756826665439992</v>
      </c>
      <c r="R63" s="40" t="n">
        <v>0.5497496187541434</v>
      </c>
      <c r="S63" s="40" t="n">
        <v>0.6479266366992608</v>
      </c>
      <c r="T63" s="40" t="n">
        <v>0.6538954908117401</v>
      </c>
      <c r="U63" s="40" t="n">
        <v>-2.333915056688369</v>
      </c>
      <c r="V63" s="40" t="n">
        <v>0.6481422655344533</v>
      </c>
      <c r="W63" s="40" t="n">
        <v>0.9844335231409628</v>
      </c>
      <c r="X63" s="40" t="n">
        <v>0.847113456188601</v>
      </c>
      <c r="Y63" s="40" t="n">
        <v>1.002020149210235</v>
      </c>
      <c r="Z63" s="40" t="n">
        <v>0.4170990198898922</v>
      </c>
      <c r="AA63" s="40" t="n">
        <v>0.2535648448979074</v>
      </c>
      <c r="AB63" s="40" t="n">
        <v>0.2752277488301996</v>
      </c>
      <c r="AC63" s="40" t="n">
        <v>0.2651180751630439</v>
      </c>
      <c r="AD63" s="40" t="n">
        <v>0.3034881193226275</v>
      </c>
      <c r="AE63" s="40" t="n">
        <v>0.2357027814798288</v>
      </c>
      <c r="AF63" s="40" t="n">
        <v>0.2982900722648197</v>
      </c>
      <c r="AG63" s="40" t="n">
        <v>0.449906460189365</v>
      </c>
      <c r="AH63" s="40" t="n">
        <v>-0.1617995210972649</v>
      </c>
      <c r="AI63" s="40" t="n">
        <v>0.0832746715490939</v>
      </c>
      <c r="AJ63" s="40" t="n">
        <v>-0.3375373441231615</v>
      </c>
      <c r="AK63" s="40" t="n">
        <v>-0.1322211009387142</v>
      </c>
      <c r="AL63" s="40" t="n">
        <v>-0.06086069307362661</v>
      </c>
      <c r="AM63" s="40" t="n">
        <v>0.1426179318416143</v>
      </c>
      <c r="AN63" s="40" t="n">
        <v>0.9903373439409447</v>
      </c>
      <c r="AO63" s="40" t="n">
        <v>1.130630926229607</v>
      </c>
      <c r="AP63" s="40" t="n">
        <v>1.283218297374757</v>
      </c>
      <c r="AQ63" s="40" t="n">
        <v>1.162399725272244</v>
      </c>
      <c r="AR63" s="40" t="n">
        <v>-0.1411100204558708</v>
      </c>
      <c r="AS63" s="40" t="n">
        <v>0.09208130922248428</v>
      </c>
      <c r="AT63" s="40" t="n">
        <v>-0.2170293746269266</v>
      </c>
      <c r="AU63" s="141" t="n">
        <v>-0.02618175200704731</v>
      </c>
      <c r="AV63" s="141" t="n">
        <v>-0.1706121123042141</v>
      </c>
      <c r="AW63" s="141" t="n">
        <v>0.3909527749075398</v>
      </c>
      <c r="AX63" s="141" t="n">
        <v>0.466469101277533</v>
      </c>
      <c r="AY63" s="141" t="n">
        <v>0.3347300111576245</v>
      </c>
      <c r="AZ63" s="141" t="n">
        <v>0.492852292791965</v>
      </c>
      <c r="BA63" s="141" t="n">
        <v>0.4212851045508974</v>
      </c>
      <c r="BB63" s="141" t="n">
        <v>-0.01165344114057018</v>
      </c>
      <c r="BC63" s="141" t="n">
        <v>0.03426547991125337</v>
      </c>
      <c r="BD63" s="141" t="n">
        <v>0.01650346765627878</v>
      </c>
      <c r="BE63" s="141" t="n">
        <v>0.07853935922215896</v>
      </c>
      <c r="BF63" s="141" t="n">
        <v>0.09678376685804917</v>
      </c>
      <c r="BG63" s="141" t="n">
        <v>0.4809452310507302</v>
      </c>
      <c r="BH63" s="141" t="n">
        <v>0.3457165944707493</v>
      </c>
      <c r="BI63" s="141" t="n">
        <v>0.3322558793401145</v>
      </c>
      <c r="BJ63" s="141" t="n">
        <v>0.4079640326409587</v>
      </c>
      <c r="BK63" s="141" t="n">
        <v>0.3973967639678183</v>
      </c>
      <c r="BL63" s="141" t="n">
        <v>0.005955887470228991</v>
      </c>
      <c r="BM63" s="141" t="n">
        <v>0.2730450623832534</v>
      </c>
      <c r="BN63" s="141" t="n">
        <v>0.01621480719896286</v>
      </c>
      <c r="BO63" s="141" t="n">
        <v>0.2070266938707406</v>
      </c>
      <c r="BP63" s="141" t="n">
        <v>0.1543898683084567</v>
      </c>
      <c r="BQ63" s="141" t="n">
        <v>-0.08955271922261274</v>
      </c>
      <c r="BR63" s="141" t="n">
        <v>0.02520303885806476</v>
      </c>
      <c r="BS63" s="141" t="n">
        <v>-0.06718876170831707</v>
      </c>
      <c r="BT63" s="141" t="n">
        <v>0.04498980291849708</v>
      </c>
      <c r="BU63" s="141" t="n">
        <v>-0.08244722559360913</v>
      </c>
      <c r="BV63" s="40" t="n">
        <v>0.09620974536546463</v>
      </c>
      <c r="BW63" s="40" t="n">
        <v>-0.1965712791668159</v>
      </c>
      <c r="BX63" s="40" t="n">
        <v>0.2812195659811377</v>
      </c>
      <c r="BY63" s="40" t="n">
        <v>-0.02713128921860316</v>
      </c>
      <c r="BZ63" s="40" t="n">
        <v>0.1061411861825233</v>
      </c>
      <c r="CA63" s="40" t="n">
        <v>0.2452830612754595</v>
      </c>
      <c r="CB63" s="40" t="n">
        <v>0.2307783328940719</v>
      </c>
      <c r="CC63" s="40" t="n">
        <v>0.4119814460677423</v>
      </c>
      <c r="CD63" s="40" t="n">
        <v>0.3620858631968213</v>
      </c>
      <c r="CE63" s="40" t="n">
        <v>0.4514816091781547</v>
      </c>
      <c r="CG63" s="3" t="n">
        <v>-1</v>
      </c>
    </row>
    <row r="64">
      <c r="A64" s="251" t="n">
        <v>44013</v>
      </c>
      <c r="B64" s="3" t="n">
        <v>0</v>
      </c>
      <c r="C64" s="40" t="n">
        <v>1.528625080247345</v>
      </c>
      <c r="D64" s="40" t="n">
        <v>-0.4251584577983684</v>
      </c>
      <c r="E64" s="40" t="n">
        <v>-0.426781677678079</v>
      </c>
      <c r="F64" s="40" t="n">
        <v>-0.5039828130134321</v>
      </c>
      <c r="G64" s="40" t="n">
        <v>-0.3967364197649173</v>
      </c>
      <c r="H64" s="40" t="n">
        <v>0.2754322658791854</v>
      </c>
      <c r="I64" s="40" t="n">
        <v>0.722124234316689</v>
      </c>
      <c r="J64" s="40" t="n">
        <v>0.3621841034669666</v>
      </c>
      <c r="K64" s="40" t="n">
        <v>0.55303065360614</v>
      </c>
      <c r="L64" s="40" t="n">
        <v>0.4274009941524982</v>
      </c>
      <c r="M64" s="40" t="n">
        <v>0.6646956102703299</v>
      </c>
      <c r="N64" s="40" t="n">
        <v>0.2990082142197646</v>
      </c>
      <c r="O64" s="40" t="n">
        <v>0.1882919736630457</v>
      </c>
      <c r="P64" s="40" t="n">
        <v>0.4009468095710174</v>
      </c>
      <c r="Q64" s="40" t="n">
        <v>0.3734852186536863</v>
      </c>
      <c r="R64" s="40" t="n">
        <v>0.4658058146928811</v>
      </c>
      <c r="S64" s="40" t="n">
        <v>0.3675067751170528</v>
      </c>
      <c r="T64" s="40" t="n">
        <v>0.4277926272455889</v>
      </c>
      <c r="U64" s="40" t="n">
        <v>-2.354186051397058</v>
      </c>
      <c r="V64" s="40" t="n">
        <v>0.4609514544124228</v>
      </c>
      <c r="W64" s="40" t="n">
        <v>0.8302524640611368</v>
      </c>
      <c r="X64" s="40" t="n">
        <v>0.614445191297241</v>
      </c>
      <c r="Y64" s="40" t="n">
        <v>0.8404019069253867</v>
      </c>
      <c r="Z64" s="40" t="n">
        <v>0.3896823631621419</v>
      </c>
      <c r="AA64" s="40" t="n">
        <v>0.1690298369134091</v>
      </c>
      <c r="AB64" s="40" t="n">
        <v>0.2277766929445796</v>
      </c>
      <c r="AC64" s="40" t="n">
        <v>0.1775477625819678</v>
      </c>
      <c r="AD64" s="40" t="n">
        <v>0.231534448007885</v>
      </c>
      <c r="AE64" s="40" t="n">
        <v>0.1375810905688298</v>
      </c>
      <c r="AF64" s="40" t="n">
        <v>0.2170003036425861</v>
      </c>
      <c r="AG64" s="40" t="n">
        <v>0.3828834380408889</v>
      </c>
      <c r="AH64" s="40" t="n">
        <v>-0.1299136014544182</v>
      </c>
      <c r="AI64" s="40" t="n">
        <v>0.05019474367425596</v>
      </c>
      <c r="AJ64" s="40" t="n">
        <v>-0.2868223922232803</v>
      </c>
      <c r="AK64" s="40" t="n">
        <v>-0.02233607009226398</v>
      </c>
      <c r="AL64" s="40" t="n">
        <v>-0.03807749521788532</v>
      </c>
      <c r="AM64" s="40" t="n">
        <v>0.3495597411816366</v>
      </c>
      <c r="AN64" s="40" t="n">
        <v>1.156414274704108</v>
      </c>
      <c r="AO64" s="40" t="n">
        <v>1.056159158771386</v>
      </c>
      <c r="AP64" s="40" t="n">
        <v>1.271948853007627</v>
      </c>
      <c r="AQ64" s="40" t="n">
        <v>1.294060965346687</v>
      </c>
      <c r="AR64" s="40" t="n">
        <v>0.06823152105928319</v>
      </c>
      <c r="AS64" s="40" t="n">
        <v>0.524127152800267</v>
      </c>
      <c r="AT64" s="40" t="n">
        <v>0.06359518640748313</v>
      </c>
      <c r="AU64" s="141" t="n">
        <v>0.3799984408686605</v>
      </c>
      <c r="AV64" s="141" t="n">
        <v>0.1609402591734475</v>
      </c>
      <c r="AW64" s="141" t="n">
        <v>0.4512546859307884</v>
      </c>
      <c r="AX64" s="141" t="n">
        <v>0.5318204774470584</v>
      </c>
      <c r="AY64" s="141" t="n">
        <v>0.3936918890087306</v>
      </c>
      <c r="AZ64" s="141" t="n">
        <v>0.4810446456193673</v>
      </c>
      <c r="BA64" s="141" t="n">
        <v>0.4302520828144247</v>
      </c>
      <c r="BB64" s="141" t="n">
        <v>0.1464337181934932</v>
      </c>
      <c r="BC64" s="141" t="n">
        <v>0.2449802364595613</v>
      </c>
      <c r="BD64" s="141" t="n">
        <v>0.1763955370067192</v>
      </c>
      <c r="BE64" s="141" t="n">
        <v>0.3190975157151285</v>
      </c>
      <c r="BF64" s="141" t="n">
        <v>0.2938424580329587</v>
      </c>
      <c r="BG64" s="141" t="n">
        <v>0.4018161832366028</v>
      </c>
      <c r="BH64" s="141" t="n">
        <v>0.3271518728348691</v>
      </c>
      <c r="BI64" s="141" t="n">
        <v>0.2341795188191363</v>
      </c>
      <c r="BJ64" s="141" t="n">
        <v>0.2487442666336676</v>
      </c>
      <c r="BK64" s="141" t="n">
        <v>0.2705984078687242</v>
      </c>
      <c r="BL64" s="141" t="n">
        <v>-0.02709634332493602</v>
      </c>
      <c r="BM64" s="141" t="n">
        <v>0.2205764509222669</v>
      </c>
      <c r="BN64" s="141" t="n">
        <v>0.05303382558715893</v>
      </c>
      <c r="BO64" s="141" t="n">
        <v>0.1537174871151778</v>
      </c>
      <c r="BP64" s="141" t="n">
        <v>0.09503215623513452</v>
      </c>
      <c r="BQ64" s="141" t="n">
        <v>0.04985177281350807</v>
      </c>
      <c r="BR64" s="141" t="n">
        <v>0.2730323926709903</v>
      </c>
      <c r="BS64" s="141" t="n">
        <v>0.142389730829828</v>
      </c>
      <c r="BT64" s="141" t="n">
        <v>0.2752926339463088</v>
      </c>
      <c r="BU64" s="141" t="n">
        <v>0.1230821375030484</v>
      </c>
      <c r="BV64" s="40" t="n">
        <v>-0.02714219204615129</v>
      </c>
      <c r="BW64" s="40" t="n">
        <v>-0.2111025667469853</v>
      </c>
      <c r="BX64" s="40" t="n">
        <v>0.02387212565418693</v>
      </c>
      <c r="BY64" s="40" t="n">
        <v>-0.2383461559827874</v>
      </c>
      <c r="BZ64" s="40" t="n">
        <v>-0.06845940620103469</v>
      </c>
      <c r="CA64" s="40" t="n">
        <v>0.4094642365013009</v>
      </c>
      <c r="CB64" s="40" t="n">
        <v>0.448713214824176</v>
      </c>
      <c r="CC64" s="40" t="n">
        <v>0.4439754575726672</v>
      </c>
      <c r="CD64" s="40" t="n">
        <v>0.4948981954712425</v>
      </c>
      <c r="CE64" s="40" t="n">
        <v>0.5901591235524257</v>
      </c>
      <c r="CG64" s="3" t="n">
        <v>-1</v>
      </c>
    </row>
    <row r="65">
      <c r="A65" s="251" t="n">
        <v>44105</v>
      </c>
      <c r="B65" s="3" t="n">
        <v>0</v>
      </c>
      <c r="C65" s="40" t="n">
        <v>1.354387954799958</v>
      </c>
      <c r="D65" s="40" t="n">
        <v>-0.3100814546979809</v>
      </c>
      <c r="E65" s="40" t="n">
        <v>-0.5553113608019866</v>
      </c>
      <c r="F65" s="40" t="n">
        <v>-0.6155506425772918</v>
      </c>
      <c r="G65" s="40" t="n">
        <v>-0.5419942068448514</v>
      </c>
      <c r="H65" s="40" t="n">
        <v>0.3528260489682511</v>
      </c>
      <c r="I65" s="40" t="n">
        <v>0.7544707001584265</v>
      </c>
      <c r="J65" s="40" t="n">
        <v>0.4359766718913317</v>
      </c>
      <c r="K65" s="40" t="n">
        <v>0.587309496457465</v>
      </c>
      <c r="L65" s="40" t="n">
        <v>0.4833545995153002</v>
      </c>
      <c r="M65" s="40" t="n">
        <v>0.6084857376342703</v>
      </c>
      <c r="N65" s="40" t="n">
        <v>0.3480467019809947</v>
      </c>
      <c r="O65" s="40" t="n">
        <v>0.2285976912063768</v>
      </c>
      <c r="P65" s="40" t="n">
        <v>0.06860449114964415</v>
      </c>
      <c r="Q65" s="40" t="n">
        <v>0.08175795831224945</v>
      </c>
      <c r="R65" s="40" t="n">
        <v>0.2353718427600072</v>
      </c>
      <c r="S65" s="40" t="n">
        <v>-0.01190187818309613</v>
      </c>
      <c r="T65" s="40" t="n">
        <v>0.09070405573293185</v>
      </c>
      <c r="U65" s="40" t="n">
        <v>-2.436222473429145</v>
      </c>
      <c r="V65" s="40" t="n">
        <v>0.2189485388559971</v>
      </c>
      <c r="W65" s="40" t="n">
        <v>0.6223625639709096</v>
      </c>
      <c r="X65" s="40" t="n">
        <v>0.3319083604002736</v>
      </c>
      <c r="Y65" s="40" t="n">
        <v>0.6120426886196816</v>
      </c>
      <c r="Z65" s="40" t="n">
        <v>0.3235049897953972</v>
      </c>
      <c r="AA65" s="40" t="n">
        <v>0.01036824533921661</v>
      </c>
      <c r="AB65" s="40" t="n">
        <v>0.1398913139037493</v>
      </c>
      <c r="AC65" s="40" t="n">
        <v>0.05597590589432721</v>
      </c>
      <c r="AD65" s="40" t="n">
        <v>0.1301408390100505</v>
      </c>
      <c r="AE65" s="40" t="n">
        <v>-0.01253822812948354</v>
      </c>
      <c r="AF65" s="40" t="n">
        <v>0.1271329152586085</v>
      </c>
      <c r="AG65" s="40" t="n">
        <v>0.2831453790621307</v>
      </c>
      <c r="AH65" s="40" t="n">
        <v>0.008646932971809967</v>
      </c>
      <c r="AI65" s="40" t="n">
        <v>0.2701795741268878</v>
      </c>
      <c r="AJ65" s="40" t="n">
        <v>-0.145505061524348</v>
      </c>
      <c r="AK65" s="40" t="n">
        <v>0.2323293862381238</v>
      </c>
      <c r="AL65" s="40" t="n">
        <v>0.1196120783538812</v>
      </c>
      <c r="AM65" s="40" t="n">
        <v>0.383258627641754</v>
      </c>
      <c r="AN65" s="40" t="n">
        <v>1.002963461115239</v>
      </c>
      <c r="AO65" s="40" t="n">
        <v>1.146245878446224</v>
      </c>
      <c r="AP65" s="40" t="n">
        <v>1.105351256864071</v>
      </c>
      <c r="AQ65" s="40" t="n">
        <v>1.221636898011996</v>
      </c>
      <c r="AR65" s="40" t="n">
        <v>0.08999295021023082</v>
      </c>
      <c r="AS65" s="40" t="n">
        <v>0.6170211104302319</v>
      </c>
      <c r="AT65" s="40" t="n">
        <v>0.1248874450802002</v>
      </c>
      <c r="AU65" s="141" t="n">
        <v>0.4048725545974423</v>
      </c>
      <c r="AV65" s="141" t="n">
        <v>0.2151354117886278</v>
      </c>
      <c r="AW65" s="141" t="n">
        <v>0.481266519595482</v>
      </c>
      <c r="AX65" s="141" t="n">
        <v>0.5532154265755186</v>
      </c>
      <c r="AY65" s="141" t="n">
        <v>0.3786243859841178</v>
      </c>
      <c r="AZ65" s="141" t="n">
        <v>0.428891344054372</v>
      </c>
      <c r="BA65" s="141" t="n">
        <v>0.4131815266449066</v>
      </c>
      <c r="BB65" s="141" t="n">
        <v>0.2478157458441756</v>
      </c>
      <c r="BC65" s="141" t="n">
        <v>0.5060503946819285</v>
      </c>
      <c r="BD65" s="141" t="n">
        <v>0.3009388472123858</v>
      </c>
      <c r="BE65" s="141" t="n">
        <v>0.4401207941771199</v>
      </c>
      <c r="BF65" s="141" t="n">
        <v>0.3950989847295343</v>
      </c>
      <c r="BG65" s="141" t="n">
        <v>0.3680072132717073</v>
      </c>
      <c r="BH65" s="141" t="n">
        <v>0.2970492220103112</v>
      </c>
      <c r="BI65" s="141" t="n">
        <v>0.1473686437447218</v>
      </c>
      <c r="BJ65" s="141" t="n">
        <v>0.1635812660675025</v>
      </c>
      <c r="BK65" s="141" t="n">
        <v>0.2021018888572833</v>
      </c>
      <c r="BL65" s="141" t="n">
        <v>-0.1995091332868612</v>
      </c>
      <c r="BM65" s="141" t="n">
        <v>-0.1963732455548019</v>
      </c>
      <c r="BN65" s="141" t="n">
        <v>0.03409903023300082</v>
      </c>
      <c r="BO65" s="141" t="n">
        <v>-0.1186020639596047</v>
      </c>
      <c r="BP65" s="141" t="n">
        <v>-0.1514238100018915</v>
      </c>
      <c r="BQ65" s="141" t="n">
        <v>0.1778818664833971</v>
      </c>
      <c r="BR65" s="141" t="n">
        <v>0.5042115176854791</v>
      </c>
      <c r="BS65" s="141" t="n">
        <v>0.2823824676355828</v>
      </c>
      <c r="BT65" s="141" t="n">
        <v>0.4449205453182248</v>
      </c>
      <c r="BU65" s="141" t="n">
        <v>0.2998112655771426</v>
      </c>
      <c r="BV65" s="40" t="n">
        <v>-0.4059066602085852</v>
      </c>
      <c r="BW65" s="40" t="n">
        <v>-0.7510136358870777</v>
      </c>
      <c r="BX65" s="40" t="n">
        <v>-0.4015941232035957</v>
      </c>
      <c r="BY65" s="40" t="n">
        <v>-0.7478014799128423</v>
      </c>
      <c r="BZ65" s="40" t="n">
        <v>-0.561174283267508</v>
      </c>
      <c r="CA65" s="40" t="n">
        <v>0.5253453572236431</v>
      </c>
      <c r="CB65" s="40" t="n">
        <v>0.625281552222104</v>
      </c>
      <c r="CC65" s="40" t="n">
        <v>0.4501581521771246</v>
      </c>
      <c r="CD65" s="40" t="n">
        <v>0.5569752501580886</v>
      </c>
      <c r="CE65" s="40" t="n">
        <v>0.6463490528225162</v>
      </c>
      <c r="CG65" s="3" t="n">
        <v>-1</v>
      </c>
    </row>
    <row r="66">
      <c r="A66" s="251" t="n">
        <v>44197</v>
      </c>
      <c r="B66" s="3" t="n">
        <v>0</v>
      </c>
      <c r="C66" s="40" t="n">
        <v>1.219650046525559</v>
      </c>
      <c r="D66" s="40" t="n">
        <v>-0.4862593581778198</v>
      </c>
      <c r="E66" s="40" t="n">
        <v>-0.7468670557731603</v>
      </c>
      <c r="F66" s="40" t="n">
        <v>-0.6554975043491379</v>
      </c>
      <c r="G66" s="40" t="n">
        <v>-0.6377628504477538</v>
      </c>
      <c r="H66" s="40" t="n">
        <v>0.2795499898266275</v>
      </c>
      <c r="I66" s="40" t="n">
        <v>0.2840452940122641</v>
      </c>
      <c r="J66" s="40" t="n">
        <v>0.4244612488952796</v>
      </c>
      <c r="K66" s="40" t="n">
        <v>0.3962718738927511</v>
      </c>
      <c r="L66" s="40" t="n">
        <v>0.3636592256751554</v>
      </c>
      <c r="M66" s="40" t="n">
        <v>0.2597321685603374</v>
      </c>
      <c r="N66" s="40" t="n">
        <v>0.32603209640119</v>
      </c>
      <c r="O66" s="40" t="n">
        <v>0.2116716158151114</v>
      </c>
      <c r="P66" s="40" t="n">
        <v>-0.1209344873250455</v>
      </c>
      <c r="Q66" s="40" t="n">
        <v>-0.3010179374223746</v>
      </c>
      <c r="R66" s="40" t="n">
        <v>0.001645956942377347</v>
      </c>
      <c r="S66" s="40" t="n">
        <v>-0.2229424986492081</v>
      </c>
      <c r="T66" s="40" t="n">
        <v>-0.09840357185104862</v>
      </c>
      <c r="U66" s="40" t="n">
        <v>-2.593673278298136</v>
      </c>
      <c r="V66" s="40" t="n">
        <v>-0.2043044502849998</v>
      </c>
      <c r="W66" s="40" t="n">
        <v>0.3297685200878975</v>
      </c>
      <c r="X66" s="40" t="n">
        <v>-0.007413099820379178</v>
      </c>
      <c r="Y66" s="40" t="n">
        <v>0.3140625816406046</v>
      </c>
      <c r="Z66" s="40" t="n">
        <v>0.2168032042164267</v>
      </c>
      <c r="AA66" s="40" t="n">
        <v>-0.1744472654037064</v>
      </c>
      <c r="AB66" s="40" t="n">
        <v>0.04008588475054543</v>
      </c>
      <c r="AC66" s="40" t="n">
        <v>-0.09327123312541291</v>
      </c>
      <c r="AD66" s="40" t="n">
        <v>0.001805932121122404</v>
      </c>
      <c r="AE66" s="40" t="n">
        <v>-0.2250015899478618</v>
      </c>
      <c r="AF66" s="40" t="n">
        <v>0.02366884692919172</v>
      </c>
      <c r="AG66" s="40" t="n">
        <v>0.1554434885153017</v>
      </c>
      <c r="AH66" s="40" t="n">
        <v>0.04757269203155593</v>
      </c>
      <c r="AI66" s="40" t="n">
        <v>0.3708884178750348</v>
      </c>
      <c r="AJ66" s="40" t="n">
        <v>0.2492613776401481</v>
      </c>
      <c r="AK66" s="40" t="n">
        <v>0.3161345526584598</v>
      </c>
      <c r="AL66" s="40" t="n">
        <v>0.1324304681053469</v>
      </c>
      <c r="AM66" s="40" t="n">
        <v>0.7472589016187479</v>
      </c>
      <c r="AN66" s="40" t="n">
        <v>1.137215791260535</v>
      </c>
      <c r="AO66" s="40" t="n">
        <v>1.291791800093037</v>
      </c>
      <c r="AP66" s="40" t="n">
        <v>1.244704930329794</v>
      </c>
      <c r="AQ66" s="40" t="n">
        <v>1.449749653782455</v>
      </c>
      <c r="AR66" s="40" t="n">
        <v>0.196738546821083</v>
      </c>
      <c r="AS66" s="40" t="n">
        <v>0.6231749543722516</v>
      </c>
      <c r="AT66" s="40" t="n">
        <v>0.3546555043662976</v>
      </c>
      <c r="AU66" s="141" t="n">
        <v>0.5645554355112403</v>
      </c>
      <c r="AV66" s="141" t="n">
        <v>0.3827718784658145</v>
      </c>
      <c r="AW66" s="141" t="n">
        <v>0.3724200309505044</v>
      </c>
      <c r="AX66" s="141" t="n">
        <v>0.219146579229599</v>
      </c>
      <c r="AY66" s="141" t="n">
        <v>0.2992899461701606</v>
      </c>
      <c r="AZ66" s="141" t="n">
        <v>0.2499319421841381</v>
      </c>
      <c r="BA66" s="141" t="n">
        <v>0.2853340005129123</v>
      </c>
      <c r="BB66" s="141" t="n">
        <v>0.2457929755751629</v>
      </c>
      <c r="BC66" s="141" t="n">
        <v>0.5160046182030741</v>
      </c>
      <c r="BD66" s="141" t="n">
        <v>0.3049303959531624</v>
      </c>
      <c r="BE66" s="141" t="n">
        <v>0.3766576321080946</v>
      </c>
      <c r="BF66" s="141" t="n">
        <v>0.347428557780325</v>
      </c>
      <c r="BG66" s="141" t="n">
        <v>0.173372395665097</v>
      </c>
      <c r="BH66" s="141" t="n">
        <v>-0.1720246565033957</v>
      </c>
      <c r="BI66" s="141" t="n">
        <v>-0.01194289390498447</v>
      </c>
      <c r="BJ66" s="141" t="n">
        <v>-0.1035893914915751</v>
      </c>
      <c r="BK66" s="141" t="n">
        <v>-0.05084443149681973</v>
      </c>
      <c r="BL66" s="141" t="n">
        <v>-0.2841644633043502</v>
      </c>
      <c r="BM66" s="141" t="n">
        <v>-0.3482902884957707</v>
      </c>
      <c r="BN66" s="141" t="n">
        <v>-0.02794301416055158</v>
      </c>
      <c r="BO66" s="141" t="n">
        <v>-0.2537837090776713</v>
      </c>
      <c r="BP66" s="141" t="n">
        <v>-0.2536784852306449</v>
      </c>
      <c r="BQ66" s="141" t="n">
        <v>0.2467209419265545</v>
      </c>
      <c r="BR66" s="141" t="n">
        <v>0.6337199082888135</v>
      </c>
      <c r="BS66" s="141" t="n">
        <v>0.3484065660999412</v>
      </c>
      <c r="BT66" s="141" t="n">
        <v>0.4938877814611091</v>
      </c>
      <c r="BU66" s="141" t="n">
        <v>0.3826360508033067</v>
      </c>
      <c r="BV66" s="40" t="n">
        <v>-0.2398279863649863</v>
      </c>
      <c r="BW66" s="40" t="n">
        <v>-0.5024985194852626</v>
      </c>
      <c r="BX66" s="40" t="n">
        <v>-0.4336769400353452</v>
      </c>
      <c r="BY66" s="40" t="n">
        <v>-0.4596212133671781</v>
      </c>
      <c r="BZ66" s="40" t="n">
        <v>-0.3336453679245237</v>
      </c>
      <c r="CA66" s="40" t="n">
        <v>0.4916177326904728</v>
      </c>
      <c r="CB66" s="40" t="n">
        <v>0.4851435670646312</v>
      </c>
      <c r="CC66" s="40" t="n">
        <v>0.3621789896310006</v>
      </c>
      <c r="CD66" s="40" t="n">
        <v>0.4191560033204531</v>
      </c>
      <c r="CE66" s="40" t="n">
        <v>0.5146828428209839</v>
      </c>
      <c r="CG66" s="3" t="n">
        <v>-1</v>
      </c>
    </row>
    <row r="67">
      <c r="A67" s="251" t="n">
        <v>44287</v>
      </c>
      <c r="B67" s="3" t="n">
        <v>0</v>
      </c>
      <c r="C67" s="40" t="n">
        <v>0.944452877701474</v>
      </c>
      <c r="D67" s="40" t="n">
        <v>-0.8669534847846896</v>
      </c>
      <c r="E67" s="40" t="n">
        <v>-0.7740772388576569</v>
      </c>
      <c r="F67" s="40" t="n">
        <v>-0.8167428638736433</v>
      </c>
      <c r="G67" s="40" t="n">
        <v>-0.8527874554262699</v>
      </c>
      <c r="H67" s="40" t="n">
        <v>0.1221088610554131</v>
      </c>
      <c r="I67" s="40" t="n">
        <v>-0.1662446180035865</v>
      </c>
      <c r="J67" s="40" t="n">
        <v>0.3179415398346314</v>
      </c>
      <c r="K67" s="40" t="n">
        <v>0.09010829088837828</v>
      </c>
      <c r="L67" s="40" t="n">
        <v>0.1536566203240833</v>
      </c>
      <c r="M67" s="40" t="n">
        <v>-0.1454024890895127</v>
      </c>
      <c r="N67" s="40" t="n">
        <v>0.2637374149689278</v>
      </c>
      <c r="O67" s="40" t="n">
        <v>0.1477732972378908</v>
      </c>
      <c r="P67" s="40" t="n">
        <v>-0.3416305581517389</v>
      </c>
      <c r="Q67" s="40" t="n">
        <v>-0.6782194269084367</v>
      </c>
      <c r="R67" s="40" t="n">
        <v>-0.1794093067191669</v>
      </c>
      <c r="S67" s="40" t="n">
        <v>-0.4206297923733103</v>
      </c>
      <c r="T67" s="40" t="n">
        <v>-0.2970886463136623</v>
      </c>
      <c r="U67" s="40" t="n">
        <v>-2.667423337390766</v>
      </c>
      <c r="V67" s="40" t="n">
        <v>-0.4388746022146081</v>
      </c>
      <c r="W67" s="40" t="n">
        <v>0.1264196503081176</v>
      </c>
      <c r="X67" s="40" t="n">
        <v>-0.174345713403547</v>
      </c>
      <c r="Y67" s="40" t="n">
        <v>0.1315111842800591</v>
      </c>
      <c r="Z67" s="40" t="n">
        <v>0.06708813665316625</v>
      </c>
      <c r="AA67" s="40" t="n">
        <v>-0.3763262983014696</v>
      </c>
      <c r="AB67" s="40" t="n">
        <v>-0.0783346508677447</v>
      </c>
      <c r="AC67" s="40" t="n">
        <v>-0.2705516770277337</v>
      </c>
      <c r="AD67" s="40" t="n">
        <v>-0.1544576389386282</v>
      </c>
      <c r="AE67" s="40" t="n">
        <v>-0.3354615961046569</v>
      </c>
      <c r="AF67" s="40" t="n">
        <v>-0.06343264975517497</v>
      </c>
      <c r="AG67" s="40" t="n">
        <v>0.06398382575338191</v>
      </c>
      <c r="AH67" s="40" t="n">
        <v>-0.03280159086534631</v>
      </c>
      <c r="AI67" s="40" t="n">
        <v>0.1571027508120692</v>
      </c>
      <c r="AJ67" s="40" t="n">
        <v>0.1890339574537798</v>
      </c>
      <c r="AK67" s="40" t="n">
        <v>0.1527582930858165</v>
      </c>
      <c r="AL67" s="40" t="n">
        <v>0.04349800898285466</v>
      </c>
      <c r="AM67" s="40" t="n">
        <v>0.1169794132476386</v>
      </c>
      <c r="AN67" s="40" t="n">
        <v>-0.02015202170944652</v>
      </c>
      <c r="AO67" s="40" t="n">
        <v>0.7984983898673701</v>
      </c>
      <c r="AP67" s="40" t="n">
        <v>0.384342484809616</v>
      </c>
      <c r="AQ67" s="40" t="n">
        <v>0.7035319285053889</v>
      </c>
      <c r="AR67" s="40" t="n">
        <v>0.07591135630518571</v>
      </c>
      <c r="AS67" s="40" t="n">
        <v>0.3558319530366321</v>
      </c>
      <c r="AT67" s="40" t="n">
        <v>0.2936268447126958</v>
      </c>
      <c r="AU67" s="141" t="n">
        <v>0.2839253390077254</v>
      </c>
      <c r="AV67" s="141" t="n">
        <v>0.199715819407578</v>
      </c>
      <c r="AW67" s="141" t="n">
        <v>0.14355917085381</v>
      </c>
      <c r="AX67" s="141" t="n">
        <v>-0.2159445756842065</v>
      </c>
      <c r="AY67" s="141" t="n">
        <v>0.1646712776817327</v>
      </c>
      <c r="AZ67" s="141" t="n">
        <v>-0.02511262553169186</v>
      </c>
      <c r="BA67" s="141" t="n">
        <v>0.07144365259674811</v>
      </c>
      <c r="BB67" s="141" t="n">
        <v>0.2728167232440784</v>
      </c>
      <c r="BC67" s="141" t="n">
        <v>0.3994644986447857</v>
      </c>
      <c r="BD67" s="141" t="n">
        <v>0.2970282667160034</v>
      </c>
      <c r="BE67" s="141" t="n">
        <v>0.3572016483895158</v>
      </c>
      <c r="BF67" s="141" t="n">
        <v>0.3394378981385656</v>
      </c>
      <c r="BG67" s="141" t="n">
        <v>-0.01328212088591332</v>
      </c>
      <c r="BH67" s="141" t="n">
        <v>-0.4910521921320896</v>
      </c>
      <c r="BI67" s="141" t="n">
        <v>-0.1212401816519976</v>
      </c>
      <c r="BJ67" s="141" t="n">
        <v>-0.3313283390427207</v>
      </c>
      <c r="BK67" s="141" t="n">
        <v>-0.2758962114887658</v>
      </c>
      <c r="BL67" s="141" t="n">
        <v>-0.4250219988079106</v>
      </c>
      <c r="BM67" s="141" t="n">
        <v>-0.5196581776882596</v>
      </c>
      <c r="BN67" s="141" t="n">
        <v>-0.213262576892082</v>
      </c>
      <c r="BO67" s="141" t="n">
        <v>-0.4632479954445918</v>
      </c>
      <c r="BP67" s="141" t="n">
        <v>-0.4170909290004395</v>
      </c>
      <c r="BQ67" s="141" t="n">
        <v>0.189234698053899</v>
      </c>
      <c r="BR67" s="141" t="n">
        <v>0.4120451255303565</v>
      </c>
      <c r="BS67" s="141" t="n">
        <v>0.2798757580776929</v>
      </c>
      <c r="BT67" s="141" t="n">
        <v>0.3331049729819424</v>
      </c>
      <c r="BU67" s="141" t="n">
        <v>0.2926561533980014</v>
      </c>
      <c r="BV67" s="40" t="n">
        <v>-0.1424732050768737</v>
      </c>
      <c r="BW67" s="40" t="n">
        <v>-0.2543038032995539</v>
      </c>
      <c r="BX67" s="40" t="n">
        <v>-0.4261379143268409</v>
      </c>
      <c r="BY67" s="40" t="n">
        <v>-0.2578450380186723</v>
      </c>
      <c r="BZ67" s="40" t="n">
        <v>-0.2176157733085358</v>
      </c>
      <c r="CA67" s="40" t="n">
        <v>0.3299902491997213</v>
      </c>
      <c r="CB67" s="40" t="n">
        <v>0.1020859534244391</v>
      </c>
      <c r="CC67" s="40" t="n">
        <v>0.2217561569294806</v>
      </c>
      <c r="CD67" s="40" t="n">
        <v>0.1297231205187972</v>
      </c>
      <c r="CE67" s="40" t="n">
        <v>0.2417214927240445</v>
      </c>
      <c r="CG67" s="3" t="n">
        <v>-1</v>
      </c>
    </row>
    <row r="68">
      <c r="A68" s="251" t="n">
        <v>44378</v>
      </c>
      <c r="B68" s="3" t="n">
        <v>0</v>
      </c>
      <c r="C68" s="40" t="n">
        <v>1.01636814857552</v>
      </c>
      <c r="D68" s="40" t="n">
        <v>-0.519461037769162</v>
      </c>
      <c r="E68" s="40" t="n">
        <v>-0.647765253150533</v>
      </c>
      <c r="F68" s="40" t="n">
        <v>-0.5752799576737732</v>
      </c>
      <c r="G68" s="40" t="n">
        <v>-0.6952207749876251</v>
      </c>
      <c r="H68" s="40" t="n">
        <v>0.03772291615719359</v>
      </c>
      <c r="I68" s="40" t="n">
        <v>-0.3085311850514877</v>
      </c>
      <c r="J68" s="40" t="n">
        <v>0.2730539766957278</v>
      </c>
      <c r="K68" s="40" t="n">
        <v>-0.09240355866745115</v>
      </c>
      <c r="L68" s="40" t="n">
        <v>0.03634476409668588</v>
      </c>
      <c r="M68" s="40" t="n">
        <v>-0.2770227585393562</v>
      </c>
      <c r="N68" s="40" t="n">
        <v>0.2257039039427296</v>
      </c>
      <c r="O68" s="40" t="n">
        <v>0.09372427058064255</v>
      </c>
      <c r="P68" s="40" t="n">
        <v>-0.5830980238797682</v>
      </c>
      <c r="Q68" s="40" t="n">
        <v>-0.704233322735061</v>
      </c>
      <c r="R68" s="40" t="n">
        <v>-0.2929803357432262</v>
      </c>
      <c r="S68" s="40" t="n">
        <v>-0.6049637593554031</v>
      </c>
      <c r="T68" s="40" t="n">
        <v>-0.5008441338296699</v>
      </c>
      <c r="U68" s="40" t="n">
        <v>-2.746732554775805</v>
      </c>
      <c r="V68" s="40" t="n">
        <v>-0.5165649565229646</v>
      </c>
      <c r="W68" s="40" t="n">
        <v>-0.03359639696687783</v>
      </c>
      <c r="X68" s="40" t="n">
        <v>-0.306170843626255</v>
      </c>
      <c r="Y68" s="40" t="n">
        <v>-0.03353746932627127</v>
      </c>
      <c r="Z68" s="40" t="n">
        <v>-0.01594493855845627</v>
      </c>
      <c r="AA68" s="40" t="n">
        <v>-0.4361242128670729</v>
      </c>
      <c r="AB68" s="40" t="n">
        <v>-0.1704341559095721</v>
      </c>
      <c r="AC68" s="40" t="n">
        <v>-0.3481856512044285</v>
      </c>
      <c r="AD68" s="40" t="n">
        <v>-0.235346667738959</v>
      </c>
      <c r="AE68" s="40" t="n">
        <v>-0.362582713509973</v>
      </c>
      <c r="AF68" s="40" t="n">
        <v>-0.1430695542649254</v>
      </c>
      <c r="AG68" s="40" t="n">
        <v>-0.01020295044720484</v>
      </c>
      <c r="AH68" s="40" t="n">
        <v>-0.10146391202655</v>
      </c>
      <c r="AI68" s="40" t="n">
        <v>0.03464803242061034</v>
      </c>
      <c r="AJ68" s="40" t="n">
        <v>0.06672076590654358</v>
      </c>
      <c r="AK68" s="40" t="n">
        <v>0.01770358462137929</v>
      </c>
      <c r="AL68" s="40" t="n">
        <v>-0.02095689121535233</v>
      </c>
      <c r="AM68" s="40" t="n">
        <v>-0.06112131537131092</v>
      </c>
      <c r="AN68" s="40" t="n">
        <v>-0.3227976506122334</v>
      </c>
      <c r="AO68" s="40" t="n">
        <v>0.6860973020834922</v>
      </c>
      <c r="AP68" s="40" t="n">
        <v>0.05932699114613199</v>
      </c>
      <c r="AQ68" s="40" t="n">
        <v>0.406431885020065</v>
      </c>
      <c r="AR68" s="40" t="n">
        <v>0.004415616050935548</v>
      </c>
      <c r="AS68" s="40" t="n">
        <v>-0.1046336469375644</v>
      </c>
      <c r="AT68" s="40" t="n">
        <v>0.2749964443622034</v>
      </c>
      <c r="AU68" s="141" t="n">
        <v>0.1010024703453958</v>
      </c>
      <c r="AV68" s="141" t="n">
        <v>0.09745031821395575</v>
      </c>
      <c r="AW68" s="141" t="n">
        <v>0.02831554959660859</v>
      </c>
      <c r="AX68" s="141" t="n">
        <v>-0.369174509119862</v>
      </c>
      <c r="AY68" s="141" t="n">
        <v>0.1069081733646261</v>
      </c>
      <c r="AZ68" s="141" t="n">
        <v>-0.1664574586798723</v>
      </c>
      <c r="BA68" s="141" t="n">
        <v>-0.03872845510572117</v>
      </c>
      <c r="BB68" s="141" t="n">
        <v>0.3273521837055157</v>
      </c>
      <c r="BC68" s="141" t="n">
        <v>0.2540530191546656</v>
      </c>
      <c r="BD68" s="141" t="n">
        <v>0.3417494530634266</v>
      </c>
      <c r="BE68" s="141" t="n">
        <v>0.3817700952974488</v>
      </c>
      <c r="BF68" s="141" t="n">
        <v>0.3775032857133682</v>
      </c>
      <c r="BG68" s="141" t="n">
        <v>-0.07710884239304239</v>
      </c>
      <c r="BH68" s="141" t="n">
        <v>-0.4758481755022383</v>
      </c>
      <c r="BI68" s="141" t="n">
        <v>-0.1240437101196699</v>
      </c>
      <c r="BJ68" s="141" t="n">
        <v>-0.3874363514034112</v>
      </c>
      <c r="BK68" s="141" t="n">
        <v>-0.342595818556706</v>
      </c>
      <c r="BL68" s="141" t="n">
        <v>-0.454314705316218</v>
      </c>
      <c r="BM68" s="141" t="n">
        <v>-0.5151250737818046</v>
      </c>
      <c r="BN68" s="141" t="n">
        <v>-0.2547155622820351</v>
      </c>
      <c r="BO68" s="141" t="n">
        <v>-0.4689247991897385</v>
      </c>
      <c r="BP68" s="141" t="n">
        <v>-0.4095938935993902</v>
      </c>
      <c r="BQ68" s="141" t="n">
        <v>0.1568147155564658</v>
      </c>
      <c r="BR68" s="141" t="n">
        <v>0.1580902022055915</v>
      </c>
      <c r="BS68" s="141" t="n">
        <v>0.2759548761840397</v>
      </c>
      <c r="BT68" s="141" t="n">
        <v>0.2253171922557581</v>
      </c>
      <c r="BU68" s="141" t="n">
        <v>0.2310278876089627</v>
      </c>
      <c r="BV68" s="40" t="n">
        <v>-0.02230270017876113</v>
      </c>
      <c r="BW68" s="40" t="n">
        <v>0.005156217424134342</v>
      </c>
      <c r="BX68" s="40" t="n">
        <v>-0.1946471454656463</v>
      </c>
      <c r="BY68" s="40" t="n">
        <v>-0.02686788217249453</v>
      </c>
      <c r="BZ68" s="40" t="n">
        <v>-0.0699486533362603</v>
      </c>
      <c r="CA68" s="40" t="n">
        <v>0.1257655044417703</v>
      </c>
      <c r="CB68" s="40" t="n">
        <v>-0.3419031637964042</v>
      </c>
      <c r="CC68" s="40" t="n">
        <v>0.07115748793397421</v>
      </c>
      <c r="CD68" s="40" t="n">
        <v>-0.1872373514434675</v>
      </c>
      <c r="CE68" s="40" t="n">
        <v>-0.05211633094619213</v>
      </c>
      <c r="CG68" s="3" t="n">
        <v>-1</v>
      </c>
    </row>
    <row r="69">
      <c r="A69" s="251" t="n">
        <v>44470</v>
      </c>
      <c r="B69" s="3" t="n">
        <v>0</v>
      </c>
      <c r="C69" s="40" t="n">
        <v>1.156792597462145</v>
      </c>
      <c r="D69" s="40" t="n">
        <v>-0.2003742322160054</v>
      </c>
      <c r="E69" s="40" t="n">
        <v>-0.3500408988037122</v>
      </c>
      <c r="F69" s="40" t="n">
        <v>-0.2814154069596481</v>
      </c>
      <c r="G69" s="40" t="n">
        <v>-0.4680771637382417</v>
      </c>
      <c r="H69" s="40" t="n">
        <v>-0.07516056509348375</v>
      </c>
      <c r="I69" s="40" t="n">
        <v>-0.5554986262722689</v>
      </c>
      <c r="J69" s="40" t="n">
        <v>0.1313612888865894</v>
      </c>
      <c r="K69" s="40" t="n">
        <v>-0.3055507349345979</v>
      </c>
      <c r="L69" s="40" t="n">
        <v>-0.107433657294001</v>
      </c>
      <c r="M69" s="40" t="n">
        <v>-0.5821613348178866</v>
      </c>
      <c r="N69" s="40" t="n">
        <v>0.01532611958276078</v>
      </c>
      <c r="O69" s="40" t="n">
        <v>0.006200341875086828</v>
      </c>
      <c r="P69" s="40" t="n">
        <v>-0.6895514227491143</v>
      </c>
      <c r="Q69" s="40" t="n">
        <v>-0.5425755415267489</v>
      </c>
      <c r="R69" s="40" t="n">
        <v>-0.4081973217096634</v>
      </c>
      <c r="S69" s="40" t="n">
        <v>-0.6485072161228259</v>
      </c>
      <c r="T69" s="40" t="n">
        <v>-0.5752101919461116</v>
      </c>
      <c r="U69" s="40" t="n">
        <v>-2.836503614471896</v>
      </c>
      <c r="V69" s="40" t="n">
        <v>-0.5267432226245279</v>
      </c>
      <c r="W69" s="40" t="n">
        <v>-0.1859403200256658</v>
      </c>
      <c r="X69" s="40" t="n">
        <v>-0.4184601046086772</v>
      </c>
      <c r="Y69" s="40" t="n">
        <v>-0.187256227164314</v>
      </c>
      <c r="Z69" s="40" t="n">
        <v>-0.09627700164260061</v>
      </c>
      <c r="AA69" s="40" t="n">
        <v>-0.4513431167357053</v>
      </c>
      <c r="AB69" s="40" t="n">
        <v>-0.2813881037945595</v>
      </c>
      <c r="AC69" s="40" t="n">
        <v>-0.4038247288039425</v>
      </c>
      <c r="AD69" s="40" t="n">
        <v>-0.3040977670333786</v>
      </c>
      <c r="AE69" s="40" t="n">
        <v>-0.3585255910593863</v>
      </c>
      <c r="AF69" s="40" t="n">
        <v>-0.2359446768483062</v>
      </c>
      <c r="AG69" s="40" t="n">
        <v>-0.07592160120518809</v>
      </c>
      <c r="AH69" s="40" t="n">
        <v>-0.08680790609255129</v>
      </c>
      <c r="AI69" s="40" t="n">
        <v>-0.1162516155753321</v>
      </c>
      <c r="AJ69" s="40" t="n">
        <v>0.1210496846249697</v>
      </c>
      <c r="AK69" s="40" t="n">
        <v>0.02631019761407486</v>
      </c>
      <c r="AL69" s="40" t="n">
        <v>0.02701025644634214</v>
      </c>
      <c r="AM69" s="40" t="n">
        <v>-0.1708140103969926</v>
      </c>
      <c r="AN69" s="40" t="n">
        <v>-0.4355042507405522</v>
      </c>
      <c r="AO69" s="40" t="n">
        <v>0.4670399102280764</v>
      </c>
      <c r="AP69" s="40" t="n">
        <v>-0.1775615769141643</v>
      </c>
      <c r="AQ69" s="40" t="n">
        <v>0.2110305207296264</v>
      </c>
      <c r="AR69" s="40" t="n">
        <v>-0.06862244106144758</v>
      </c>
      <c r="AS69" s="40" t="n">
        <v>-0.2600685024683654</v>
      </c>
      <c r="AT69" s="40" t="n">
        <v>0.2339981349495698</v>
      </c>
      <c r="AU69" s="141" t="n">
        <v>-0.08083936526742821</v>
      </c>
      <c r="AV69" s="141" t="n">
        <v>-0.004669374356934743</v>
      </c>
      <c r="AW69" s="141" t="n">
        <v>-0.1034867644133067</v>
      </c>
      <c r="AX69" s="141" t="n">
        <v>-0.5104186111771889</v>
      </c>
      <c r="AY69" s="141" t="n">
        <v>0.0281306042019701</v>
      </c>
      <c r="AZ69" s="141" t="n">
        <v>-0.3115193341844909</v>
      </c>
      <c r="BA69" s="141" t="n">
        <v>-0.1569714772354756</v>
      </c>
      <c r="BB69" s="141" t="n">
        <v>0.2188912749611331</v>
      </c>
      <c r="BC69" s="141" t="n">
        <v>-0.0406169106867638</v>
      </c>
      <c r="BD69" s="141" t="n">
        <v>0.3187395565391213</v>
      </c>
      <c r="BE69" s="141" t="n">
        <v>0.1459309002787656</v>
      </c>
      <c r="BF69" s="141" t="n">
        <v>0.1977600686901108</v>
      </c>
      <c r="BG69" s="141" t="n">
        <v>0.01686602988145523</v>
      </c>
      <c r="BH69" s="141" t="n">
        <v>-0.3488852795701672</v>
      </c>
      <c r="BI69" s="141" t="n">
        <v>-0.04324207651675745</v>
      </c>
      <c r="BJ69" s="141" t="n">
        <v>-0.2486122727269994</v>
      </c>
      <c r="BK69" s="141" t="n">
        <v>-0.2112819372425168</v>
      </c>
      <c r="BL69" s="141" t="n">
        <v>-0.5589896807404238</v>
      </c>
      <c r="BM69" s="141" t="n">
        <v>-0.4334491679314074</v>
      </c>
      <c r="BN69" s="141" t="n">
        <v>-0.544648855022727</v>
      </c>
      <c r="BO69" s="141" t="n">
        <v>-0.581860895733047</v>
      </c>
      <c r="BP69" s="141" t="n">
        <v>-0.5127855971003693</v>
      </c>
      <c r="BQ69" s="141" t="n">
        <v>0.04298387035934152</v>
      </c>
      <c r="BR69" s="141" t="n">
        <v>-0.1993779428416587</v>
      </c>
      <c r="BS69" s="141" t="n">
        <v>0.1951192361579794</v>
      </c>
      <c r="BT69" s="141" t="n">
        <v>-0.00810837994770118</v>
      </c>
      <c r="BU69" s="141" t="n">
        <v>0.06338535787425496</v>
      </c>
      <c r="BV69" s="40" t="n">
        <v>0.01991524141937344</v>
      </c>
      <c r="BW69" s="40" t="n">
        <v>0.4536902569352096</v>
      </c>
      <c r="BX69" s="40" t="n">
        <v>-0.2810107932646921</v>
      </c>
      <c r="BY69" s="40" t="n">
        <v>0.06172302210417056</v>
      </c>
      <c r="BZ69" s="40" t="n">
        <v>-0.01957615086495543</v>
      </c>
      <c r="CA69" s="40" t="n">
        <v>-0.09132425989255601</v>
      </c>
      <c r="CB69" s="40" t="n">
        <v>-0.7431872944180209</v>
      </c>
      <c r="CC69" s="40" t="n">
        <v>-0.07854950303760061</v>
      </c>
      <c r="CD69" s="40" t="n">
        <v>-0.4901500810309989</v>
      </c>
      <c r="CE69" s="40" t="n">
        <v>-0.3291658052704078</v>
      </c>
      <c r="CG69" s="3" t="n">
        <v>-1</v>
      </c>
    </row>
    <row r="70">
      <c r="A70" s="251" t="n">
        <v>44562</v>
      </c>
      <c r="B70" s="3" t="n">
        <v>1</v>
      </c>
      <c r="C70" s="40" t="n">
        <v>1.087165940688886</v>
      </c>
      <c r="D70" s="40" t="n">
        <v>-0.1343472910776096</v>
      </c>
      <c r="E70" s="40" t="n">
        <v>-0.425576038974635</v>
      </c>
      <c r="F70" s="40" t="n">
        <v>-0.2890857736265856</v>
      </c>
      <c r="G70" s="40" t="n">
        <v>-0.4550968936422666</v>
      </c>
      <c r="H70" s="40" t="n">
        <v>0.03763043688108422</v>
      </c>
      <c r="I70" s="40" t="n">
        <v>-0.31399575340519</v>
      </c>
      <c r="J70" s="40" t="n">
        <v>-0.01977328210817784</v>
      </c>
      <c r="K70" s="40" t="n">
        <v>-0.1748717931519661</v>
      </c>
      <c r="L70" s="40" t="n">
        <v>0.01142202872515909</v>
      </c>
      <c r="M70" s="40" t="n">
        <v>-0.3021735507528874</v>
      </c>
      <c r="N70" s="40" t="n">
        <v>-0.02470945697335411</v>
      </c>
      <c r="O70" s="40" t="n">
        <v>0.1021497846052696</v>
      </c>
      <c r="P70" s="40" t="n">
        <v>-0.4818374737357557</v>
      </c>
      <c r="Q70" s="40" t="n">
        <v>-0.2582808228500619</v>
      </c>
      <c r="R70" s="40" t="n">
        <v>-0.4954330396556799</v>
      </c>
      <c r="S70" s="40" t="n">
        <v>-0.3907299520596793</v>
      </c>
      <c r="T70" s="40" t="n">
        <v>-0.3669476706048651</v>
      </c>
      <c r="U70" s="40" t="n">
        <v>-2.867735082904922</v>
      </c>
      <c r="V70" s="40" t="n">
        <v>-0.3606470136984397</v>
      </c>
      <c r="W70" s="40" t="n">
        <v>-0.3412900272541655</v>
      </c>
      <c r="X70" s="40" t="n">
        <v>-0.4211104512720006</v>
      </c>
      <c r="Y70" s="40" t="n">
        <v>-0.254588124086701</v>
      </c>
      <c r="Z70" s="40" t="n">
        <v>-0.1796770761960416</v>
      </c>
      <c r="AA70" s="40" t="n">
        <v>-0.4262894767653241</v>
      </c>
      <c r="AB70" s="40" t="n">
        <v>-0.3833328920156939</v>
      </c>
      <c r="AC70" s="40" t="n">
        <v>-0.4401039230255873</v>
      </c>
      <c r="AD70" s="40" t="n">
        <v>-0.3647073169456942</v>
      </c>
      <c r="AE70" s="40" t="n">
        <v>-0.3750426338788323</v>
      </c>
      <c r="AF70" s="40" t="n">
        <v>-0.3815441796372496</v>
      </c>
      <c r="AG70" s="40" t="n">
        <v>-0.1617267869878813</v>
      </c>
      <c r="AH70" s="40" t="n">
        <v>-0.2237756292568522</v>
      </c>
      <c r="AI70" s="40" t="n">
        <v>-0.3304670673863108</v>
      </c>
      <c r="AJ70" s="40" t="n">
        <v>0.03178754382776135</v>
      </c>
      <c r="AK70" s="40" t="n">
        <v>-0.1947432285707413</v>
      </c>
      <c r="AL70" s="40" t="n">
        <v>-0.1228512913061489</v>
      </c>
      <c r="AM70" s="40" t="n">
        <v>-0.06194748994860597</v>
      </c>
      <c r="AN70" s="40" t="n">
        <v>-0.6360408348288837</v>
      </c>
      <c r="AO70" s="40" t="n">
        <v>0.4124855185729482</v>
      </c>
      <c r="AP70" s="40" t="n">
        <v>-0.1593524136603161</v>
      </c>
      <c r="AQ70" s="40" t="n">
        <v>0.2178509809226341</v>
      </c>
      <c r="AR70" s="40" t="n">
        <v>-0.03516848537279025</v>
      </c>
      <c r="AS70" s="40" t="n">
        <v>-0.3802387277237237</v>
      </c>
      <c r="AT70" s="40" t="n">
        <v>0.1592553820296348</v>
      </c>
      <c r="AU70" s="141" t="n">
        <v>-0.07003326360256296</v>
      </c>
      <c r="AV70" s="141" t="n">
        <v>0.04732373754366499</v>
      </c>
      <c r="AW70" s="141" t="n">
        <v>0.04359975614314551</v>
      </c>
      <c r="AX70" s="141" t="n">
        <v>-0.2870201717269042</v>
      </c>
      <c r="AY70" s="141" t="n">
        <v>-0.04461372063637289</v>
      </c>
      <c r="AZ70" s="141" t="n">
        <v>-0.1796791758821454</v>
      </c>
      <c r="BA70" s="141" t="n">
        <v>-0.04866198759752297</v>
      </c>
      <c r="BB70" s="141" t="n">
        <v>0.2721630026178332</v>
      </c>
      <c r="BC70" s="141" t="n">
        <v>0.03702985743561573</v>
      </c>
      <c r="BD70" s="141" t="n">
        <v>0.3787307307648557</v>
      </c>
      <c r="BE70" s="141" t="n">
        <v>0.1641964527927059</v>
      </c>
      <c r="BF70" s="141" t="n">
        <v>0.2360901537578091</v>
      </c>
      <c r="BG70" s="141" t="n">
        <v>0.2091024843372617</v>
      </c>
      <c r="BH70" s="141" t="n">
        <v>0.0355005409935094</v>
      </c>
      <c r="BI70" s="141" t="n">
        <v>-0.1138895689056629</v>
      </c>
      <c r="BJ70" s="141" t="n">
        <v>-0.003743052946995368</v>
      </c>
      <c r="BK70" s="141" t="n">
        <v>0.03468514957240001</v>
      </c>
      <c r="BL70" s="141" t="n">
        <v>-0.500314726704393</v>
      </c>
      <c r="BM70" s="141" t="n">
        <v>-0.2606264858629267</v>
      </c>
      <c r="BN70" s="141" t="n">
        <v>-0.5265703742152683</v>
      </c>
      <c r="BO70" s="141" t="n">
        <v>-0.3930218952399379</v>
      </c>
      <c r="BP70" s="141" t="n">
        <v>-0.3918662041416787</v>
      </c>
      <c r="BQ70" s="141" t="n">
        <v>-0.01577342193394143</v>
      </c>
      <c r="BR70" s="141" t="n">
        <v>-0.387964149044189</v>
      </c>
      <c r="BS70" s="141" t="n">
        <v>0.1573044440718289</v>
      </c>
      <c r="BT70" s="141" t="n">
        <v>-0.1394082667805794</v>
      </c>
      <c r="BU70" s="141" t="n">
        <v>-0.02631743778979661</v>
      </c>
      <c r="BV70" s="40" t="n">
        <v>-0.1790031800492059</v>
      </c>
      <c r="BW70" s="40" t="n">
        <v>0.06480554875157896</v>
      </c>
      <c r="BX70" s="40" t="n">
        <v>-0.4136790364277517</v>
      </c>
      <c r="BY70" s="40" t="n">
        <v>-0.1571999378077394</v>
      </c>
      <c r="BZ70" s="40" t="n">
        <v>-0.2739347642697541</v>
      </c>
      <c r="CA70" s="40" t="n">
        <v>-0.1540629153303173</v>
      </c>
      <c r="CB70" s="40" t="n">
        <v>-0.7781503102174486</v>
      </c>
      <c r="CC70" s="40" t="n">
        <v>-0.1952028258562348</v>
      </c>
      <c r="CD70" s="40" t="n">
        <v>-0.5572056579132435</v>
      </c>
      <c r="CE70" s="40" t="n">
        <v>-0.3963347270964683</v>
      </c>
      <c r="CG70" s="3" t="n">
        <v>-1</v>
      </c>
    </row>
    <row r="71">
      <c r="A71" s="251" t="n">
        <v>44652</v>
      </c>
      <c r="B71" s="3" t="n">
        <v>0</v>
      </c>
      <c r="C71" s="40" t="n">
        <v>1.192985688402153</v>
      </c>
      <c r="D71" s="40" t="n">
        <v>0.2520280425389555</v>
      </c>
      <c r="E71" s="40" t="n">
        <v>-0.4216801967713943</v>
      </c>
      <c r="F71" s="40" t="n">
        <v>-0.08050367022003339</v>
      </c>
      <c r="G71" s="40" t="n">
        <v>-0.2550004485909986</v>
      </c>
      <c r="H71" s="40" t="n">
        <v>0.04605532583131704</v>
      </c>
      <c r="I71" s="40" t="n">
        <v>-0.09871251331715937</v>
      </c>
      <c r="J71" s="40" t="n">
        <v>-0.1749245991671189</v>
      </c>
      <c r="K71" s="40" t="n">
        <v>-0.1590871930372855</v>
      </c>
      <c r="L71" s="40" t="n">
        <v>-0.002803873195137735</v>
      </c>
      <c r="M71" s="40" t="n">
        <v>-0.1442696223477982</v>
      </c>
      <c r="N71" s="40" t="n">
        <v>-0.168647678378328</v>
      </c>
      <c r="O71" s="40" t="n">
        <v>0.1223184828148445</v>
      </c>
      <c r="P71" s="40" t="n">
        <v>0.0114831551709701</v>
      </c>
      <c r="Q71" s="40" t="n">
        <v>0.2527064166014992</v>
      </c>
      <c r="R71" s="40" t="n">
        <v>-0.376924139804488</v>
      </c>
      <c r="S71" s="40" t="n">
        <v>0.1378876130968402</v>
      </c>
      <c r="T71" s="40" t="n">
        <v>0.0871359872879508</v>
      </c>
      <c r="U71" s="40" t="n">
        <v>-2.853702202582925</v>
      </c>
      <c r="V71" s="40" t="n">
        <v>-0.2451305337607161</v>
      </c>
      <c r="W71" s="40" t="n">
        <v>-0.4132109506416831</v>
      </c>
      <c r="X71" s="40" t="n">
        <v>-0.3311371976014785</v>
      </c>
      <c r="Y71" s="40" t="n">
        <v>-0.2521314948498833</v>
      </c>
      <c r="Z71" s="40" t="n">
        <v>-0.235090231282569</v>
      </c>
      <c r="AA71" s="40" t="n">
        <v>-0.3248975162727242</v>
      </c>
      <c r="AB71" s="40" t="n">
        <v>-0.4474541574075538</v>
      </c>
      <c r="AC71" s="40" t="n">
        <v>-0.4238141486618111</v>
      </c>
      <c r="AD71" s="40" t="n">
        <v>-0.3899501542841075</v>
      </c>
      <c r="AE71" s="40" t="n">
        <v>-0.5457881496301635</v>
      </c>
      <c r="AF71" s="40" t="n">
        <v>-0.5603515506701039</v>
      </c>
      <c r="AG71" s="40" t="n">
        <v>-0.3090475981114831</v>
      </c>
      <c r="AH71" s="40" t="n">
        <v>-0.2183404672399656</v>
      </c>
      <c r="AI71" s="40" t="n">
        <v>-0.2259622910896962</v>
      </c>
      <c r="AJ71" s="40" t="n">
        <v>-0.05415147262695188</v>
      </c>
      <c r="AK71" s="40" t="n">
        <v>-0.1928818240131095</v>
      </c>
      <c r="AL71" s="40" t="n">
        <v>-0.1146607187223503</v>
      </c>
      <c r="AM71" s="40" t="n">
        <v>0.3796046474429357</v>
      </c>
      <c r="AN71" s="40" t="n">
        <v>0.2064249305806483</v>
      </c>
      <c r="AO71" s="40" t="n">
        <v>0.1533094908789757</v>
      </c>
      <c r="AP71" s="40" t="n">
        <v>0.1944675610588874</v>
      </c>
      <c r="AQ71" s="40" t="n">
        <v>0.5343250041171456</v>
      </c>
      <c r="AR71" s="40" t="n">
        <v>-0.04822234737318726</v>
      </c>
      <c r="AS71" s="40" t="n">
        <v>-0.2035317390239331</v>
      </c>
      <c r="AT71" s="40" t="n">
        <v>0.09983948915481552</v>
      </c>
      <c r="AU71" s="141" t="n">
        <v>-0.124705172142769</v>
      </c>
      <c r="AV71" s="141" t="n">
        <v>0.01748929129318666</v>
      </c>
      <c r="AW71" s="141" t="n">
        <v>-0.03883775369176532</v>
      </c>
      <c r="AX71" s="141" t="n">
        <v>-0.159210366928258</v>
      </c>
      <c r="AY71" s="141" t="n">
        <v>-0.2465916004922165</v>
      </c>
      <c r="AZ71" s="141" t="n">
        <v>-0.2476932424770192</v>
      </c>
      <c r="BA71" s="141" t="n">
        <v>-0.124424479625732</v>
      </c>
      <c r="BB71" s="141" t="n">
        <v>0.2746218105946133</v>
      </c>
      <c r="BC71" s="141" t="n">
        <v>0.002534776590899222</v>
      </c>
      <c r="BD71" s="141" t="n">
        <v>0.2752983511581679</v>
      </c>
      <c r="BE71" s="141" t="n">
        <v>0.09204817865019549</v>
      </c>
      <c r="BF71" s="141" t="n">
        <v>0.2022155617268104</v>
      </c>
      <c r="BG71" s="141" t="n">
        <v>-0.1073996904778942</v>
      </c>
      <c r="BH71" s="141" t="n">
        <v>-0.09351291199320626</v>
      </c>
      <c r="BI71" s="141" t="n">
        <v>-0.4876491413804682</v>
      </c>
      <c r="BJ71" s="141" t="n">
        <v>-0.3725123766900127</v>
      </c>
      <c r="BK71" s="141" t="n">
        <v>-0.3440913446948207</v>
      </c>
      <c r="BL71" s="141" t="n">
        <v>-0.5695236289867335</v>
      </c>
      <c r="BM71" s="141" t="n">
        <v>-0.1742350505734493</v>
      </c>
      <c r="BN71" s="141" t="n">
        <v>-0.6000551015465547</v>
      </c>
      <c r="BO71" s="141" t="n">
        <v>-0.4022886129169331</v>
      </c>
      <c r="BP71" s="141" t="n">
        <v>-0.460785307058847</v>
      </c>
      <c r="BQ71" s="141" t="n">
        <v>0.07498739251007724</v>
      </c>
      <c r="BR71" s="141" t="n">
        <v>-0.1688564204733037</v>
      </c>
      <c r="BS71" s="141" t="n">
        <v>0.1556613125614244</v>
      </c>
      <c r="BT71" s="141" t="n">
        <v>-0.03072548216448357</v>
      </c>
      <c r="BU71" s="141" t="n">
        <v>0.07522615495752241</v>
      </c>
      <c r="BV71" s="40" t="n">
        <v>-0.2794915375671392</v>
      </c>
      <c r="BW71" s="40" t="n">
        <v>-0.1459856391479253</v>
      </c>
      <c r="BX71" s="40" t="n">
        <v>-0.3783276449843423</v>
      </c>
      <c r="BY71" s="40" t="n">
        <v>-0.2227789637919906</v>
      </c>
      <c r="BZ71" s="40" t="n">
        <v>-0.3620231392385064</v>
      </c>
      <c r="CA71" s="40" t="n">
        <v>-0.2560095905818989</v>
      </c>
      <c r="CB71" s="40" t="n">
        <v>-0.7062252190943167</v>
      </c>
      <c r="CC71" s="40" t="n">
        <v>-0.4024811531656956</v>
      </c>
      <c r="CD71" s="40" t="n">
        <v>-0.6522022230062048</v>
      </c>
      <c r="CE71" s="40" t="n">
        <v>-0.4954950489120033</v>
      </c>
      <c r="CG71" s="3" t="n">
        <v>-1</v>
      </c>
    </row>
    <row r="72">
      <c r="A72" s="251" t="n">
        <v>44743</v>
      </c>
      <c r="B72" s="3" t="n">
        <v>0</v>
      </c>
      <c r="C72" s="40" t="n">
        <v>1.255908797825652</v>
      </c>
      <c r="D72" s="40" t="n">
        <v>0.2429094201639602</v>
      </c>
      <c r="E72" s="40" t="n">
        <v>-0.1896430567311071</v>
      </c>
      <c r="F72" s="40" t="n">
        <v>0.07820153926508321</v>
      </c>
      <c r="G72" s="40" t="n">
        <v>-0.12412352560538</v>
      </c>
      <c r="H72" s="40" t="n">
        <v>-0.138922256803683</v>
      </c>
      <c r="I72" s="40" t="n">
        <v>-0.2292738784191042</v>
      </c>
      <c r="J72" s="40" t="n">
        <v>-0.3550587020953085</v>
      </c>
      <c r="K72" s="40" t="n">
        <v>-0.3816485638745228</v>
      </c>
      <c r="L72" s="40" t="n">
        <v>-0.2376510857537386</v>
      </c>
      <c r="M72" s="40" t="n">
        <v>-0.4097664724219696</v>
      </c>
      <c r="N72" s="40" t="n">
        <v>-0.3998500537803107</v>
      </c>
      <c r="O72" s="40" t="n">
        <v>-0.008753461360745131</v>
      </c>
      <c r="P72" s="40" t="n">
        <v>0.1646721925683222</v>
      </c>
      <c r="Q72" s="40" t="n">
        <v>0.5351429998619989</v>
      </c>
      <c r="R72" s="40" t="n">
        <v>-0.1497820817563683</v>
      </c>
      <c r="S72" s="40" t="n">
        <v>0.3413807010565994</v>
      </c>
      <c r="T72" s="40" t="n">
        <v>0.2150230720791045</v>
      </c>
      <c r="U72" s="40" t="n">
        <v>-2.919299305243142</v>
      </c>
      <c r="V72" s="40" t="n">
        <v>-0.2270863074443459</v>
      </c>
      <c r="W72" s="40" t="n">
        <v>-0.4492434772315905</v>
      </c>
      <c r="X72" s="40" t="n">
        <v>-0.3319661387163573</v>
      </c>
      <c r="Y72" s="40" t="n">
        <v>-0.3196885234405212</v>
      </c>
      <c r="Z72" s="40" t="n">
        <v>-0.3027612025095114</v>
      </c>
      <c r="AA72" s="40" t="n">
        <v>-0.3083804192235822</v>
      </c>
      <c r="AB72" s="40" t="n">
        <v>-0.4750718471254907</v>
      </c>
      <c r="AC72" s="40" t="n">
        <v>-0.4081738878524785</v>
      </c>
      <c r="AD72" s="40" t="n">
        <v>-0.4205048876362809</v>
      </c>
      <c r="AE72" s="40" t="n">
        <v>-0.6075189111852087</v>
      </c>
      <c r="AF72" s="40" t="n">
        <v>-0.616848915232604</v>
      </c>
      <c r="AG72" s="40" t="n">
        <v>-0.3985588744068649</v>
      </c>
      <c r="AH72" s="40" t="n">
        <v>-0.3242698872343012</v>
      </c>
      <c r="AI72" s="40" t="n">
        <v>-0.2713487847407519</v>
      </c>
      <c r="AJ72" s="40" t="n">
        <v>-0.186142606505429</v>
      </c>
      <c r="AK72" s="40" t="n">
        <v>-0.3359349431351603</v>
      </c>
      <c r="AL72" s="40" t="n">
        <v>-0.2523675890512208</v>
      </c>
      <c r="AM72" s="40" t="n">
        <v>0.01640309459034172</v>
      </c>
      <c r="AN72" s="40" t="n">
        <v>0.0609346279830045</v>
      </c>
      <c r="AO72" s="40" t="n">
        <v>-0.2155229492178905</v>
      </c>
      <c r="AP72" s="40" t="n">
        <v>-0.1896406470544434</v>
      </c>
      <c r="AQ72" s="40" t="n">
        <v>0.08356265863031617</v>
      </c>
      <c r="AR72" s="40" t="n">
        <v>0.03977806604384874</v>
      </c>
      <c r="AS72" s="40" t="n">
        <v>0.05798087650597062</v>
      </c>
      <c r="AT72" s="40" t="n">
        <v>-0.03058294302304026</v>
      </c>
      <c r="AU72" s="141" t="n">
        <v>0.007564068497034311</v>
      </c>
      <c r="AV72" s="141" t="n">
        <v>0.1237262043700296</v>
      </c>
      <c r="AW72" s="141" t="n">
        <v>-0.2530146824944526</v>
      </c>
      <c r="AX72" s="141" t="n">
        <v>-0.2455671310841539</v>
      </c>
      <c r="AY72" s="141" t="n">
        <v>-0.404073378032797</v>
      </c>
      <c r="AZ72" s="141" t="n">
        <v>-0.3977676559107802</v>
      </c>
      <c r="BA72" s="141" t="n">
        <v>-0.2958565592737328</v>
      </c>
      <c r="BB72" s="141" t="n">
        <v>0.2012111719111352</v>
      </c>
      <c r="BC72" s="141" t="n">
        <v>-0.1771323054000647</v>
      </c>
      <c r="BD72" s="141" t="n">
        <v>0.05267707424133002</v>
      </c>
      <c r="BE72" s="141" t="n">
        <v>-0.07639754882752751</v>
      </c>
      <c r="BF72" s="141" t="n">
        <v>0.07364506428706236</v>
      </c>
      <c r="BG72" s="141" t="n">
        <v>-0.5468644566602363</v>
      </c>
      <c r="BH72" s="141" t="n">
        <v>-0.4667376729522504</v>
      </c>
      <c r="BI72" s="141" t="n">
        <v>-0.7863130666412305</v>
      </c>
      <c r="BJ72" s="141" t="n">
        <v>-0.8233270006665029</v>
      </c>
      <c r="BK72" s="141" t="n">
        <v>-0.8432478258735685</v>
      </c>
      <c r="BL72" s="141" t="n">
        <v>-0.6977818404637252</v>
      </c>
      <c r="BM72" s="141" t="n">
        <v>-0.2935642217523964</v>
      </c>
      <c r="BN72" s="141" t="n">
        <v>-0.6993268093522405</v>
      </c>
      <c r="BO72" s="141" t="n">
        <v>-0.4880853572398142</v>
      </c>
      <c r="BP72" s="141" t="n">
        <v>-0.6003774246880109</v>
      </c>
      <c r="BQ72" s="141" t="n">
        <v>0.09938014706686409</v>
      </c>
      <c r="BR72" s="141" t="n">
        <v>-0.08488774068166552</v>
      </c>
      <c r="BS72" s="141" t="n">
        <v>0.04685575853890186</v>
      </c>
      <c r="BT72" s="141" t="n">
        <v>-0.02478435022584393</v>
      </c>
      <c r="BU72" s="141" t="n">
        <v>0.08670086527508684</v>
      </c>
      <c r="BV72" s="40" t="n">
        <v>-0.02466505168444914</v>
      </c>
      <c r="BW72" s="40" t="n">
        <v>-0.002516958046285006</v>
      </c>
      <c r="BX72" s="40" t="n">
        <v>0.002494456957993817</v>
      </c>
      <c r="BY72" s="40" t="n">
        <v>0.1799899722170941</v>
      </c>
      <c r="BZ72" s="40" t="n">
        <v>0.01920508162471494</v>
      </c>
      <c r="CA72" s="40" t="n">
        <v>-0.3944414964311131</v>
      </c>
      <c r="CB72" s="40" t="n">
        <v>-0.6269341358570324</v>
      </c>
      <c r="CC72" s="40" t="n">
        <v>-0.6454451411332857</v>
      </c>
      <c r="CD72" s="40" t="n">
        <v>-0.7527938084361905</v>
      </c>
      <c r="CE72" s="40" t="n">
        <v>-0.6257503227151795</v>
      </c>
      <c r="CG72" s="3" t="n">
        <v>-1</v>
      </c>
    </row>
    <row r="73">
      <c r="A73" s="251" t="n">
        <v>44835</v>
      </c>
      <c r="B73" s="3" t="n">
        <v>0</v>
      </c>
      <c r="C73" s="40" t="n">
        <v>1.200842251425121</v>
      </c>
      <c r="D73" s="40" t="n">
        <v>0.04466914461518583</v>
      </c>
      <c r="E73" s="40" t="n">
        <v>-0.1067735167015303</v>
      </c>
      <c r="F73" s="40" t="n">
        <v>0.05420287914121975</v>
      </c>
      <c r="G73" s="40" t="n">
        <v>-0.1216041001499444</v>
      </c>
      <c r="H73" s="40" t="n">
        <v>-0.1830596087201816</v>
      </c>
      <c r="I73" s="40" t="n">
        <v>-0.1400458998983471</v>
      </c>
      <c r="J73" s="40" t="n">
        <v>-0.4591982364724229</v>
      </c>
      <c r="K73" s="40" t="n">
        <v>-0.3709616200426358</v>
      </c>
      <c r="L73" s="40" t="n">
        <v>-0.3003766414503405</v>
      </c>
      <c r="M73" s="40" t="n">
        <v>-0.2504388836174058</v>
      </c>
      <c r="N73" s="40" t="n">
        <v>-0.4847415001729942</v>
      </c>
      <c r="O73" s="40" t="n">
        <v>-0.08879384124100149</v>
      </c>
      <c r="P73" s="40" t="n">
        <v>0.104954432226982</v>
      </c>
      <c r="Q73" s="40" t="n">
        <v>0.568589437353374</v>
      </c>
      <c r="R73" s="40" t="n">
        <v>0.02304339719328754</v>
      </c>
      <c r="S73" s="40" t="n">
        <v>0.314383757860797</v>
      </c>
      <c r="T73" s="40" t="n">
        <v>0.1425349447231798</v>
      </c>
      <c r="U73" s="40" t="n">
        <v>-2.955451736587765</v>
      </c>
      <c r="V73" s="40" t="n">
        <v>-0.1565277769650337</v>
      </c>
      <c r="W73" s="40" t="n">
        <v>-0.4127674551503385</v>
      </c>
      <c r="X73" s="40" t="n">
        <v>-0.286131550496688</v>
      </c>
      <c r="Y73" s="40" t="n">
        <v>-0.3391579272323667</v>
      </c>
      <c r="Z73" s="40" t="n">
        <v>-0.2806805713242965</v>
      </c>
      <c r="AA73" s="40" t="n">
        <v>-0.1982678713591731</v>
      </c>
      <c r="AB73" s="40" t="n">
        <v>-0.4145197742566506</v>
      </c>
      <c r="AC73" s="40" t="n">
        <v>-0.2855192143994011</v>
      </c>
      <c r="AD73" s="40" t="n">
        <v>-0.3587152340508363</v>
      </c>
      <c r="AE73" s="40" t="n">
        <v>-0.4970171021441881</v>
      </c>
      <c r="AF73" s="40" t="n">
        <v>-0.5440054616995701</v>
      </c>
      <c r="AG73" s="40" t="n">
        <v>-0.415582968489361</v>
      </c>
      <c r="AH73" s="40" t="n">
        <v>-0.4534684720228837</v>
      </c>
      <c r="AI73" s="40" t="n">
        <v>-0.4465450214464928</v>
      </c>
      <c r="AJ73" s="40" t="n">
        <v>-0.4425859737278829</v>
      </c>
      <c r="AK73" s="40" t="n">
        <v>-0.4877311997819334</v>
      </c>
      <c r="AL73" s="40" t="n">
        <v>-0.402337505530714</v>
      </c>
      <c r="AM73" s="40" t="n">
        <v>0.2309909118930626</v>
      </c>
      <c r="AN73" s="40" t="n">
        <v>0.315820958503205</v>
      </c>
      <c r="AO73" s="40" t="n">
        <v>-0.09850377443944076</v>
      </c>
      <c r="AP73" s="40" t="n">
        <v>0.0609060194972964</v>
      </c>
      <c r="AQ73" s="40" t="n">
        <v>0.1941835089860477</v>
      </c>
      <c r="AR73" s="40" t="n">
        <v>0.08039718505358298</v>
      </c>
      <c r="AS73" s="40" t="n">
        <v>0.2443351221556498</v>
      </c>
      <c r="AT73" s="40" t="n">
        <v>-0.01031392282199283</v>
      </c>
      <c r="AU73" s="141" t="n">
        <v>0.08405498851835812</v>
      </c>
      <c r="AV73" s="141" t="n">
        <v>0.1467103685122178</v>
      </c>
      <c r="AW73" s="141" t="n">
        <v>-0.3617060645667776</v>
      </c>
      <c r="AX73" s="141" t="n">
        <v>-0.2253940938303467</v>
      </c>
      <c r="AY73" s="141" t="n">
        <v>-0.4836541172209706</v>
      </c>
      <c r="AZ73" s="141" t="n">
        <v>-0.4170891499683369</v>
      </c>
      <c r="BA73" s="141" t="n">
        <v>-0.3733642814180911</v>
      </c>
      <c r="BB73" s="141" t="n">
        <v>-0.03253491710767765</v>
      </c>
      <c r="BC73" s="141" t="n">
        <v>-0.3530628176005479</v>
      </c>
      <c r="BD73" s="141" t="n">
        <v>-0.2696009340274348</v>
      </c>
      <c r="BE73" s="141" t="n">
        <v>-0.4475399249229015</v>
      </c>
      <c r="BF73" s="141" t="n">
        <v>-0.253734623560715</v>
      </c>
      <c r="BG73" s="141" t="n">
        <v>-0.6178461488184809</v>
      </c>
      <c r="BH73" s="141" t="n">
        <v>-0.6306344752111027</v>
      </c>
      <c r="BI73" s="141" t="n">
        <v>-0.8171236428815479</v>
      </c>
      <c r="BJ73" s="141" t="n">
        <v>-0.764679737445155</v>
      </c>
      <c r="BK73" s="141" t="n">
        <v>-0.8662923727243319</v>
      </c>
      <c r="BL73" s="141" t="n">
        <v>-0.6048966759714215</v>
      </c>
      <c r="BM73" s="141" t="n">
        <v>-0.05535306159418121</v>
      </c>
      <c r="BN73" s="141" t="n">
        <v>-0.4226994291455099</v>
      </c>
      <c r="BO73" s="141" t="n">
        <v>-0.21888803955219</v>
      </c>
      <c r="BP73" s="141" t="n">
        <v>-0.4124230586563727</v>
      </c>
      <c r="BQ73" s="141" t="n">
        <v>-0.003771077525641439</v>
      </c>
      <c r="BR73" s="141" t="n">
        <v>-0.06910336398477118</v>
      </c>
      <c r="BS73" s="141" t="n">
        <v>-0.1718507140740933</v>
      </c>
      <c r="BT73" s="141" t="n">
        <v>-0.1946081417982326</v>
      </c>
      <c r="BU73" s="141" t="n">
        <v>-0.06531073837517909</v>
      </c>
      <c r="BV73" s="40" t="n">
        <v>0.05512976642473504</v>
      </c>
      <c r="BW73" s="40" t="n">
        <v>0.0375191760603534</v>
      </c>
      <c r="BX73" s="40" t="n">
        <v>0.4642593290570953</v>
      </c>
      <c r="BY73" s="40" t="n">
        <v>0.2860711881530497</v>
      </c>
      <c r="BZ73" s="40" t="n">
        <v>0.1407133217515456</v>
      </c>
      <c r="CA73" s="40" t="n">
        <v>-0.5459572812801161</v>
      </c>
      <c r="CB73" s="40" t="n">
        <v>-0.5479068138595271</v>
      </c>
      <c r="CC73" s="40" t="n">
        <v>-0.8601345336638532</v>
      </c>
      <c r="CD73" s="40" t="n">
        <v>-0.8205372691118263</v>
      </c>
      <c r="CE73" s="40" t="n">
        <v>-0.7594010947917511</v>
      </c>
      <c r="CG73" s="3" t="n">
        <v>-1</v>
      </c>
    </row>
    <row r="74">
      <c r="A74" s="251" t="n">
        <v>44927</v>
      </c>
      <c r="B74" s="3" t="n">
        <v>0</v>
      </c>
      <c r="C74" s="40" t="n">
        <v>1.316908617304423</v>
      </c>
      <c r="D74" s="40" t="n">
        <v>0.2329736541096291</v>
      </c>
      <c r="E74" s="40" t="n">
        <v>0.06763223850082532</v>
      </c>
      <c r="F74" s="40" t="n">
        <v>0.2089460236725849</v>
      </c>
      <c r="G74" s="40" t="n">
        <v>0.02805274706912224</v>
      </c>
      <c r="H74" s="40" t="n">
        <v>-0.08587667834472563</v>
      </c>
      <c r="I74" s="40" t="n">
        <v>-0.1603041557577589</v>
      </c>
      <c r="J74" s="40" t="n">
        <v>-0.3131326229332312</v>
      </c>
      <c r="K74" s="40" t="n">
        <v>-0.1418288799641214</v>
      </c>
      <c r="L74" s="40" t="n">
        <v>-0.1957065255221231</v>
      </c>
      <c r="M74" s="40" t="n">
        <v>-0.2927518349380071</v>
      </c>
      <c r="N74" s="40" t="n">
        <v>-0.3463667406822978</v>
      </c>
      <c r="O74" s="40" t="n">
        <v>-0.1328030799284947</v>
      </c>
      <c r="P74" s="40" t="n">
        <v>0.3490183223176785</v>
      </c>
      <c r="Q74" s="40" t="n">
        <v>0.5946033331799991</v>
      </c>
      <c r="R74" s="40" t="n">
        <v>0.2979182065703592</v>
      </c>
      <c r="S74" s="40" t="n">
        <v>0.5286175651565208</v>
      </c>
      <c r="T74" s="40" t="n">
        <v>0.3434735360984127</v>
      </c>
      <c r="U74" s="40" t="n">
        <v>-2.990138692996556</v>
      </c>
      <c r="V74" s="40" t="n">
        <v>-0.1610749681400987</v>
      </c>
      <c r="W74" s="40" t="n">
        <v>-0.3151748791750922</v>
      </c>
      <c r="X74" s="40" t="n">
        <v>-0.2459720382651832</v>
      </c>
      <c r="Y74" s="40" t="n">
        <v>-0.3447939826853244</v>
      </c>
      <c r="Z74" s="40" t="n">
        <v>-0.2569525320396187</v>
      </c>
      <c r="AA74" s="40" t="n">
        <v>-0.0830853771695538</v>
      </c>
      <c r="AB74" s="40" t="n">
        <v>-0.3250344488234876</v>
      </c>
      <c r="AC74" s="40" t="n">
        <v>-0.1734604205235131</v>
      </c>
      <c r="AD74" s="40" t="n">
        <v>-0.2908193828355863</v>
      </c>
      <c r="AE74" s="40" t="n">
        <v>-0.3327878836815185</v>
      </c>
      <c r="AF74" s="40" t="n">
        <v>-0.450081183054227</v>
      </c>
      <c r="AG74" s="40" t="n">
        <v>-0.4465817953297838</v>
      </c>
      <c r="AH74" s="40" t="n">
        <v>-0.4160510526901619</v>
      </c>
      <c r="AI74" s="40" t="n">
        <v>-0.2341665318243539</v>
      </c>
      <c r="AJ74" s="40" t="n">
        <v>-0.4440305696006501</v>
      </c>
      <c r="AK74" s="40" t="n">
        <v>-0.3500029815306858</v>
      </c>
      <c r="AL74" s="40" t="n">
        <v>-0.3283552986432229</v>
      </c>
      <c r="AM74" s="40" t="n">
        <v>0.2959220508064574</v>
      </c>
      <c r="AN74" s="40" t="n">
        <v>0.281287498262097</v>
      </c>
      <c r="AO74" s="40" t="n">
        <v>-0.2919751119271879</v>
      </c>
      <c r="AP74" s="40" t="n">
        <v>0.1430074697412955</v>
      </c>
      <c r="AQ74" s="40" t="n">
        <v>0.1676564580152024</v>
      </c>
      <c r="AR74" s="40" t="n">
        <v>0.09230138623987945</v>
      </c>
      <c r="AS74" s="40" t="n">
        <v>0.2090017769042385</v>
      </c>
      <c r="AT74" s="40" t="n">
        <v>-0.1122533530571414</v>
      </c>
      <c r="AU74" s="141" t="n">
        <v>0.1067441507719811</v>
      </c>
      <c r="AV74" s="141" t="n">
        <v>0.1204867551914622</v>
      </c>
      <c r="AW74" s="141" t="n">
        <v>-0.2171728623778222</v>
      </c>
      <c r="AX74" s="141" t="n">
        <v>-0.227622830719341</v>
      </c>
      <c r="AY74" s="141" t="n">
        <v>-0.3382779412996673</v>
      </c>
      <c r="AZ74" s="141" t="n">
        <v>-0.1833491375981657</v>
      </c>
      <c r="BA74" s="141" t="n">
        <v>-0.2487937101700018</v>
      </c>
      <c r="BB74" s="141" t="n">
        <v>-0.07244007255653073</v>
      </c>
      <c r="BC74" s="141" t="n">
        <v>-0.4839055616034484</v>
      </c>
      <c r="BD74" s="141" t="n">
        <v>-0.3060307620154856</v>
      </c>
      <c r="BE74" s="141" t="n">
        <v>-0.4550390657249639</v>
      </c>
      <c r="BF74" s="141" t="n">
        <v>-0.3140365401183159</v>
      </c>
      <c r="BG74" s="141" t="n">
        <v>-0.5874804298347398</v>
      </c>
      <c r="BH74" s="141" t="n">
        <v>-0.7914652733935978</v>
      </c>
      <c r="BI74" s="141" t="n">
        <v>-0.6306321572520739</v>
      </c>
      <c r="BJ74" s="141" t="n">
        <v>-0.5754481107057057</v>
      </c>
      <c r="BK74" s="141" t="n">
        <v>-0.7620344672505234</v>
      </c>
      <c r="BL74" s="141" t="n">
        <v>-0.5036972754683996</v>
      </c>
      <c r="BM74" s="141" t="n">
        <v>-0.004078559904372855</v>
      </c>
      <c r="BN74" s="141" t="n">
        <v>-0.2289078588008286</v>
      </c>
      <c r="BO74" s="141" t="n">
        <v>0.01245852582575208</v>
      </c>
      <c r="BP74" s="141" t="n">
        <v>-0.2033235115654829</v>
      </c>
      <c r="BQ74" s="141" t="n">
        <v>-0.103891276255987</v>
      </c>
      <c r="BR74" s="141" t="n">
        <v>-0.1302373424894595</v>
      </c>
      <c r="BS74" s="141" t="n">
        <v>-0.3316927253035521</v>
      </c>
      <c r="BT74" s="141" t="n">
        <v>-0.314842225409336</v>
      </c>
      <c r="BU74" s="141" t="n">
        <v>-0.2058457293020823</v>
      </c>
      <c r="BV74" s="40" t="n">
        <v>-0.06149162711664848</v>
      </c>
      <c r="BW74" s="40" t="n">
        <v>0.125202218202031</v>
      </c>
      <c r="BX74" s="40" t="n">
        <v>0.1795830301213224</v>
      </c>
      <c r="BY74" s="40" t="n">
        <v>0.0535152154088935</v>
      </c>
      <c r="BZ74" s="40" t="n">
        <v>0.01895060340337808</v>
      </c>
      <c r="CA74" s="40" t="n">
        <v>-0.6636445010674125</v>
      </c>
      <c r="CB74" s="40" t="n">
        <v>-0.6141287805944157</v>
      </c>
      <c r="CC74" s="40" t="n">
        <v>-0.9275445676868957</v>
      </c>
      <c r="CD74" s="40" t="n">
        <v>-0.7989963841982985</v>
      </c>
      <c r="CE74" s="40" t="n">
        <v>-0.8422724640360998</v>
      </c>
      <c r="CG74" s="3" t="n">
        <v>-1</v>
      </c>
    </row>
    <row r="75">
      <c r="A75" s="251" t="n">
        <v>45017</v>
      </c>
      <c r="B75" s="3" t="n">
        <v>0</v>
      </c>
      <c r="C75" s="40" t="n">
        <v>1.495518229434497</v>
      </c>
      <c r="D75" s="40" t="n">
        <v>0.306787196047711</v>
      </c>
      <c r="E75" s="40" t="n">
        <v>0.383203074027165</v>
      </c>
      <c r="F75" s="40" t="n">
        <v>0.3993750573754957</v>
      </c>
      <c r="G75" s="40" t="n">
        <v>0.2321262199024849</v>
      </c>
      <c r="H75" s="40" t="n">
        <v>-0.08776994240509897</v>
      </c>
      <c r="I75" s="40" t="n">
        <v>-0.1736964433544734</v>
      </c>
      <c r="J75" s="40" t="n">
        <v>-0.1798442914813797</v>
      </c>
      <c r="K75" s="40" t="n">
        <v>-0.08071737238490487</v>
      </c>
      <c r="L75" s="40" t="n">
        <v>-0.1841390252365553</v>
      </c>
      <c r="M75" s="40" t="n">
        <v>-0.2313837565511605</v>
      </c>
      <c r="N75" s="40" t="n">
        <v>-0.2187061429971116</v>
      </c>
      <c r="O75" s="40" t="n">
        <v>-0.2064416000898125</v>
      </c>
      <c r="P75" s="40" t="n">
        <v>0.4398931750110228</v>
      </c>
      <c r="Q75" s="40" t="n">
        <v>0.3065923436709376</v>
      </c>
      <c r="R75" s="40" t="n">
        <v>0.4954330396556801</v>
      </c>
      <c r="S75" s="40" t="n">
        <v>0.5573562466230202</v>
      </c>
      <c r="T75" s="40" t="n">
        <v>0.4187785595951123</v>
      </c>
      <c r="U75" s="40" t="n">
        <v>-3.025299119538315</v>
      </c>
      <c r="V75" s="40" t="n">
        <v>-0.2258100713764628</v>
      </c>
      <c r="W75" s="40" t="n">
        <v>-0.2844975935261448</v>
      </c>
      <c r="X75" s="40" t="n">
        <v>-0.2268367057945878</v>
      </c>
      <c r="Y75" s="40" t="n">
        <v>-0.3332550925619535</v>
      </c>
      <c r="Z75" s="40" t="n">
        <v>-0.2516590718120419</v>
      </c>
      <c r="AA75" s="40" t="n">
        <v>-0.01781456155289536</v>
      </c>
      <c r="AB75" s="40" t="n">
        <v>-0.2186861610083401</v>
      </c>
      <c r="AC75" s="40" t="n">
        <v>-0.1006226280263249</v>
      </c>
      <c r="AD75" s="40" t="n">
        <v>-0.2368036281818975</v>
      </c>
      <c r="AE75" s="40" t="n">
        <v>-0.009941503358438946</v>
      </c>
      <c r="AF75" s="40" t="n">
        <v>-0.3533663122317968</v>
      </c>
      <c r="AG75" s="40" t="n">
        <v>-0.4266467511129879</v>
      </c>
      <c r="AH75" s="40" t="n">
        <v>-0.3848269866020735</v>
      </c>
      <c r="AI75" s="40" t="n">
        <v>-0.2027589909224931</v>
      </c>
      <c r="AJ75" s="40" t="n">
        <v>-0.3371484717131898</v>
      </c>
      <c r="AK75" s="40" t="n">
        <v>-0.2209637300657722</v>
      </c>
      <c r="AL75" s="40" t="n">
        <v>-0.2710638266656904</v>
      </c>
      <c r="AM75" s="40" t="n">
        <v>-0.2690041198598719</v>
      </c>
      <c r="AN75" s="40" t="n">
        <v>-0.5098101870322082</v>
      </c>
      <c r="AO75" s="40" t="n">
        <v>-0.249697282812804</v>
      </c>
      <c r="AP75" s="40" t="n">
        <v>-0.3542179081067104</v>
      </c>
      <c r="AQ75" s="40" t="n">
        <v>-0.4308541842088164</v>
      </c>
      <c r="AR75" s="40" t="n">
        <v>0.03909944623421294</v>
      </c>
      <c r="AS75" s="40" t="n">
        <v>0.1431743030374076</v>
      </c>
      <c r="AT75" s="40" t="n">
        <v>-0.03956695408902531</v>
      </c>
      <c r="AU75" s="141" t="n">
        <v>0.0372286363012324</v>
      </c>
      <c r="AV75" s="141" t="n">
        <v>0.01341787999419217</v>
      </c>
      <c r="AW75" s="141" t="n">
        <v>-0.15818737682078</v>
      </c>
      <c r="AX75" s="141" t="n">
        <v>-0.1041777285360521</v>
      </c>
      <c r="AY75" s="141" t="n">
        <v>-0.1731265795376542</v>
      </c>
      <c r="AZ75" s="141" t="n">
        <v>-0.0592470696393293</v>
      </c>
      <c r="BA75" s="141" t="n">
        <v>-0.1817294717594094</v>
      </c>
      <c r="BB75" s="141" t="n">
        <v>-0.05611227911796288</v>
      </c>
      <c r="BC75" s="141" t="n">
        <v>-0.4644301718514543</v>
      </c>
      <c r="BD75" s="141" t="n">
        <v>-0.3163165919844757</v>
      </c>
      <c r="BE75" s="141" t="n">
        <v>-0.3684877785914698</v>
      </c>
      <c r="BF75" s="141" t="n">
        <v>-0.2982075333949901</v>
      </c>
      <c r="BG75" s="141" t="n">
        <v>-0.5565493632695332</v>
      </c>
      <c r="BH75" s="141" t="n">
        <v>-0.4462641141885218</v>
      </c>
      <c r="BI75" s="141" t="n">
        <v>-0.4502865489179169</v>
      </c>
      <c r="BJ75" s="141" t="n">
        <v>-0.4201699943589181</v>
      </c>
      <c r="BK75" s="141" t="n">
        <v>-0.6325974482117037</v>
      </c>
      <c r="BL75" s="141" t="n">
        <v>-0.3207996808248299</v>
      </c>
      <c r="BM75" s="141" t="n">
        <v>0.2999027044413809</v>
      </c>
      <c r="BN75" s="141" t="n">
        <v>0.10867308359781</v>
      </c>
      <c r="BO75" s="141" t="n">
        <v>0.3328663718053568</v>
      </c>
      <c r="BP75" s="141" t="n">
        <v>0.1137502736363626</v>
      </c>
      <c r="BQ75" s="141" t="n">
        <v>-0.1572686837730675</v>
      </c>
      <c r="BR75" s="141" t="n">
        <v>-0.3432722503840898</v>
      </c>
      <c r="BS75" s="141" t="n">
        <v>-0.3278056071201881</v>
      </c>
      <c r="BT75" s="141" t="n">
        <v>-0.3296760739799784</v>
      </c>
      <c r="BU75" s="141" t="n">
        <v>-0.2800599486719054</v>
      </c>
      <c r="BV75" s="40" t="n">
        <v>0.07026135244567494</v>
      </c>
      <c r="BW75" s="40" t="n">
        <v>0.3726428300824796</v>
      </c>
      <c r="BX75" s="40" t="n">
        <v>0.2142216910361993</v>
      </c>
      <c r="BY75" s="40" t="n">
        <v>0.1996021928035539</v>
      </c>
      <c r="BZ75" s="40" t="n">
        <v>0.2164423605862043</v>
      </c>
      <c r="CA75" s="40" t="n">
        <v>-0.5927598413728871</v>
      </c>
      <c r="CB75" s="40" t="n">
        <v>-0.405838881685631</v>
      </c>
      <c r="CC75" s="40" t="n">
        <v>-0.7408636834419257</v>
      </c>
      <c r="CD75" s="40" t="n">
        <v>-0.5131772598592558</v>
      </c>
      <c r="CE75" s="40" t="n">
        <v>-0.6877333078905273</v>
      </c>
      <c r="CG75" s="3" t="n">
        <v>-1</v>
      </c>
    </row>
    <row r="76">
      <c r="A76" s="251" t="n">
        <v>45108</v>
      </c>
      <c r="B76" s="3" t="n">
        <v>0</v>
      </c>
      <c r="C76" s="40" t="n">
        <v>1.404685750773463</v>
      </c>
      <c r="D76" s="40" t="n">
        <v>0.150869272031472</v>
      </c>
      <c r="E76" s="40" t="n">
        <v>0.2700305842004769</v>
      </c>
      <c r="F76" s="40" t="n">
        <v>0.2166530515565877</v>
      </c>
      <c r="G76" s="40" t="n">
        <v>0.1686050826267252</v>
      </c>
      <c r="H76" s="40" t="n">
        <v>-0.0205331115187539</v>
      </c>
      <c r="I76" s="40" t="n">
        <v>0.1536613655908404</v>
      </c>
      <c r="J76" s="40" t="n">
        <v>-0.0499193527366933</v>
      </c>
      <c r="K76" s="40" t="n">
        <v>0.04974251797668199</v>
      </c>
      <c r="L76" s="40" t="n">
        <v>-0.07722667871561419</v>
      </c>
      <c r="M76" s="40" t="n">
        <v>0.2622661829583373</v>
      </c>
      <c r="N76" s="40" t="n">
        <v>-0.08587496136491678</v>
      </c>
      <c r="O76" s="40" t="n">
        <v>-0.168195432944784</v>
      </c>
      <c r="P76" s="40" t="n">
        <v>0.2217935285469962</v>
      </c>
      <c r="Q76" s="40" t="n">
        <v>0.04087897915612525</v>
      </c>
      <c r="R76" s="40" t="n">
        <v>0.5102466521370791</v>
      </c>
      <c r="S76" s="40" t="n">
        <v>0.274904357058333</v>
      </c>
      <c r="T76" s="40" t="n">
        <v>0.2415018958023831</v>
      </c>
      <c r="U76" s="40" t="n">
        <v>-3.038857438984952</v>
      </c>
      <c r="V76" s="40" t="n">
        <v>-0.1573305114852004</v>
      </c>
      <c r="W76" s="40" t="n">
        <v>-0.2322281381206763</v>
      </c>
      <c r="X76" s="40" t="n">
        <v>-0.1854020339381325</v>
      </c>
      <c r="Y76" s="40" t="n">
        <v>-0.2862544983161929</v>
      </c>
      <c r="Z76" s="40" t="n">
        <v>-0.1880156550656286</v>
      </c>
      <c r="AA76" s="40" t="n">
        <v>0.1233726412070637</v>
      </c>
      <c r="AB76" s="40" t="n">
        <v>-0.1180543183298663</v>
      </c>
      <c r="AC76" s="40" t="n">
        <v>0.01621831659727498</v>
      </c>
      <c r="AD76" s="40" t="n">
        <v>-0.1261909460887868</v>
      </c>
      <c r="AE76" s="40" t="n">
        <v>0.2069750119123613</v>
      </c>
      <c r="AF76" s="40" t="n">
        <v>-0.2546898834924923</v>
      </c>
      <c r="AG76" s="40" t="n">
        <v>-0.3653373957193989</v>
      </c>
      <c r="AH76" s="40" t="n">
        <v>-0.3372732344416018</v>
      </c>
      <c r="AI76" s="40" t="n">
        <v>-0.01583639064873839</v>
      </c>
      <c r="AJ76" s="40" t="n">
        <v>-0.2258437988588076</v>
      </c>
      <c r="AK76" s="40" t="n">
        <v>-0.08848077201149793</v>
      </c>
      <c r="AL76" s="40" t="n">
        <v>-0.1858767188952449</v>
      </c>
      <c r="AM76" s="40" t="n">
        <v>-0.3395196988930208</v>
      </c>
      <c r="AN76" s="40" t="n">
        <v>-0.2797573438134955</v>
      </c>
      <c r="AO76" s="40" t="n">
        <v>-0.1800991854372329</v>
      </c>
      <c r="AP76" s="40" t="n">
        <v>-0.3759914323059033</v>
      </c>
      <c r="AQ76" s="40" t="n">
        <v>-0.464308189571782</v>
      </c>
      <c r="AR76" s="40" t="n">
        <v>0.08900093743585256</v>
      </c>
      <c r="AS76" s="40" t="n">
        <v>0.08070665997466239</v>
      </c>
      <c r="AT76" s="40" t="n">
        <v>0.09091578028387871</v>
      </c>
      <c r="AU76" s="141" t="n">
        <v>0.1316011886354638</v>
      </c>
      <c r="AV76" s="141" t="n">
        <v>0.06245180931684289</v>
      </c>
      <c r="AW76" s="141" t="n">
        <v>-0.0679653451110281</v>
      </c>
      <c r="AX76" s="141" t="n">
        <v>0.1615256012569687</v>
      </c>
      <c r="AY76" s="141" t="n">
        <v>-0.05524100310017184</v>
      </c>
      <c r="AZ76" s="141" t="n">
        <v>0.06041762666799756</v>
      </c>
      <c r="BA76" s="141" t="n">
        <v>-0.07714207930732124</v>
      </c>
      <c r="BB76" s="141" t="n">
        <v>-0.08089023146238475</v>
      </c>
      <c r="BC76" s="141" t="n">
        <v>-0.396138188724845</v>
      </c>
      <c r="BD76" s="141" t="n">
        <v>-0.3925888217278218</v>
      </c>
      <c r="BE76" s="141" t="n">
        <v>-0.3432842959190652</v>
      </c>
      <c r="BF76" s="141" t="n">
        <v>-0.3254921509627224</v>
      </c>
      <c r="BG76" s="141" t="n">
        <v>-0.5133077495298145</v>
      </c>
      <c r="BH76" s="141" t="n">
        <v>0.03334112232469181</v>
      </c>
      <c r="BI76" s="141" t="n">
        <v>-0.3615430587616563</v>
      </c>
      <c r="BJ76" s="141" t="n">
        <v>-0.2832334291086595</v>
      </c>
      <c r="BK76" s="141" t="n">
        <v>-0.4782450366063303</v>
      </c>
      <c r="BL76" s="141" t="n">
        <v>-0.1868828745164806</v>
      </c>
      <c r="BM76" s="141" t="n">
        <v>0.616024241799777</v>
      </c>
      <c r="BN76" s="141" t="n">
        <v>0.2788523827490889</v>
      </c>
      <c r="BO76" s="141" t="n">
        <v>0.5170155465911951</v>
      </c>
      <c r="BP76" s="141" t="n">
        <v>0.3405752356544842</v>
      </c>
      <c r="BQ76" s="141" t="n">
        <v>-0.09397940220753452</v>
      </c>
      <c r="BR76" s="141" t="n">
        <v>-0.285783556989734</v>
      </c>
      <c r="BS76" s="141" t="n">
        <v>-0.237260939856726</v>
      </c>
      <c r="BT76" s="141" t="n">
        <v>-0.1641079885941018</v>
      </c>
      <c r="BU76" s="141" t="n">
        <v>-0.1946417104621323</v>
      </c>
      <c r="BV76" s="40" t="n">
        <v>-0.1830953546749575</v>
      </c>
      <c r="BW76" s="40" t="n">
        <v>-0.1687989382304882</v>
      </c>
      <c r="BX76" s="40" t="n">
        <v>-0.1619166850629029</v>
      </c>
      <c r="BY76" s="40" t="n">
        <v>-0.1740181698977168</v>
      </c>
      <c r="BZ76" s="40" t="n">
        <v>-0.1011672792042421</v>
      </c>
      <c r="CA76" s="40" t="n">
        <v>-0.3509552481494446</v>
      </c>
      <c r="CB76" s="40" t="n">
        <v>0.05240800958538835</v>
      </c>
      <c r="CC76" s="40" t="n">
        <v>-0.3827527044931169</v>
      </c>
      <c r="CD76" s="40" t="n">
        <v>-0.03903227608748502</v>
      </c>
      <c r="CE76" s="40" t="n">
        <v>-0.327275996717572</v>
      </c>
      <c r="CG76" s="3" t="n">
        <v>-1</v>
      </c>
    </row>
    <row r="77">
      <c r="A77" s="251" t="n">
        <v>45200</v>
      </c>
      <c r="B77" s="3" t="n">
        <v>0</v>
      </c>
      <c r="C77" s="40" t="n">
        <v>1.281870180550147</v>
      </c>
      <c r="D77" s="40" t="n">
        <v>0.08216746235956741</v>
      </c>
      <c r="E77" s="40" t="n">
        <v>0.08697718733445524</v>
      </c>
      <c r="F77" s="40" t="n">
        <v>0.02061478481117971</v>
      </c>
      <c r="G77" s="40" t="n">
        <v>0.05953354664993472</v>
      </c>
      <c r="H77" s="40" t="n">
        <v>0.02536725373431307</v>
      </c>
      <c r="I77" s="40" t="n">
        <v>0.2705244322314485</v>
      </c>
      <c r="J77" s="40" t="n">
        <v>0.08614187832767586</v>
      </c>
      <c r="K77" s="40" t="n">
        <v>0.123969983381294</v>
      </c>
      <c r="L77" s="40" t="n">
        <v>0.00185243260366064</v>
      </c>
      <c r="M77" s="40" t="n">
        <v>0.3710418022559556</v>
      </c>
      <c r="N77" s="40" t="n">
        <v>0.07021525866995151</v>
      </c>
      <c r="O77" s="40" t="n">
        <v>-0.1828687935879652</v>
      </c>
      <c r="P77" s="40" t="n">
        <v>0.03744739879763992</v>
      </c>
      <c r="Q77" s="40" t="n">
        <v>-0.04831152082087535</v>
      </c>
      <c r="R77" s="40" t="n">
        <v>0.4608679438657484</v>
      </c>
      <c r="S77" s="40" t="n">
        <v>0.02002999011301438</v>
      </c>
      <c r="T77" s="40" t="n">
        <v>0.09445991725396403</v>
      </c>
      <c r="U77" s="40" t="n">
        <v>-3.056218891833122</v>
      </c>
      <c r="V77" s="40" t="n">
        <v>-0.1326028399698621</v>
      </c>
      <c r="W77" s="40" t="n">
        <v>-0.1746652631678406</v>
      </c>
      <c r="X77" s="40" t="n">
        <v>-0.1599451974297466</v>
      </c>
      <c r="Y77" s="40" t="n">
        <v>-0.243907899683434</v>
      </c>
      <c r="Z77" s="40" t="n">
        <v>-0.1288868793320746</v>
      </c>
      <c r="AA77" s="40" t="n">
        <v>0.1632062342881812</v>
      </c>
      <c r="AB77" s="40" t="n">
        <v>-0.02237299268345115</v>
      </c>
      <c r="AC77" s="40" t="n">
        <v>0.1072615561457483</v>
      </c>
      <c r="AD77" s="40" t="n">
        <v>-0.02679302981972292</v>
      </c>
      <c r="AE77" s="40" t="n">
        <v>0.2453134238525852</v>
      </c>
      <c r="AF77" s="40" t="n">
        <v>-0.1600483258267063</v>
      </c>
      <c r="AG77" s="40" t="n">
        <v>-0.2921396899571746</v>
      </c>
      <c r="AH77" s="40" t="n">
        <v>-0.03891554923557684</v>
      </c>
      <c r="AI77" s="40" t="n">
        <v>0.5048717015069938</v>
      </c>
      <c r="AJ77" s="40" t="n">
        <v>0.04586838085155521</v>
      </c>
      <c r="AK77" s="40" t="n">
        <v>0.3858951148319459</v>
      </c>
      <c r="AL77" s="40" t="n">
        <v>0.2206626412209317</v>
      </c>
      <c r="AM77" s="40" t="n">
        <v>-0.5741437567345268</v>
      </c>
      <c r="AN77" s="40" t="n">
        <v>-0.6328404373965508</v>
      </c>
      <c r="AO77" s="40" t="n">
        <v>-0.2609187519665723</v>
      </c>
      <c r="AP77" s="40" t="n">
        <v>-0.5713816428353871</v>
      </c>
      <c r="AQ77" s="40" t="n">
        <v>-0.6280050438938053</v>
      </c>
      <c r="AR77" s="40" t="n">
        <v>0.05813898520909391</v>
      </c>
      <c r="AS77" s="40" t="n">
        <v>-0.03649492432473338</v>
      </c>
      <c r="AT77" s="40" t="n">
        <v>0.1362483914536343</v>
      </c>
      <c r="AU77" s="141" t="n">
        <v>0.05985579438128313</v>
      </c>
      <c r="AV77" s="141" t="n">
        <v>0.01663859048212687</v>
      </c>
      <c r="AW77" s="141" t="n">
        <v>0.03043130834364885</v>
      </c>
      <c r="AX77" s="141" t="n">
        <v>0.3422883098654013</v>
      </c>
      <c r="AY77" s="141" t="n">
        <v>0.07683527136717866</v>
      </c>
      <c r="AZ77" s="141" t="n">
        <v>0.1637062579639157</v>
      </c>
      <c r="BA77" s="141" t="n">
        <v>0.03181488126745216</v>
      </c>
      <c r="BB77" s="141" t="n">
        <v>-0.0967726286899276</v>
      </c>
      <c r="BC77" s="141" t="n">
        <v>-0.09020519008311369</v>
      </c>
      <c r="BD77" s="141" t="n">
        <v>-0.3035601284727034</v>
      </c>
      <c r="BE77" s="141" t="n">
        <v>-0.2890646711820589</v>
      </c>
      <c r="BF77" s="141" t="n">
        <v>-0.3215285360753884</v>
      </c>
      <c r="BG77" s="141" t="n">
        <v>-0.4541112386678628</v>
      </c>
      <c r="BH77" s="141" t="n">
        <v>0.1626829964852264</v>
      </c>
      <c r="BI77" s="141" t="n">
        <v>-0.3903690712942086</v>
      </c>
      <c r="BJ77" s="141" t="n">
        <v>-0.1431289602051445</v>
      </c>
      <c r="BK77" s="141" t="n">
        <v>-0.3170409436582021</v>
      </c>
      <c r="BL77" s="141" t="n">
        <v>-0.1252121535848169</v>
      </c>
      <c r="BM77" s="141" t="n">
        <v>0.578386949087717</v>
      </c>
      <c r="BN77" s="141" t="n">
        <v>0.4523017946989554</v>
      </c>
      <c r="BO77" s="141" t="n">
        <v>0.5600359437027697</v>
      </c>
      <c r="BP77" s="141" t="n">
        <v>0.446123686318485</v>
      </c>
      <c r="BQ77" s="141" t="n">
        <v>0.008097558017166268</v>
      </c>
      <c r="BR77" s="141" t="n">
        <v>0.01754172935738975</v>
      </c>
      <c r="BS77" s="141" t="n">
        <v>-0.03300380139788082</v>
      </c>
      <c r="BT77" s="141" t="n">
        <v>0.04312154057713969</v>
      </c>
      <c r="BU77" s="141" t="n">
        <v>-0.05329934616925354</v>
      </c>
      <c r="BV77" s="40" t="n">
        <v>-0.07650671730493147</v>
      </c>
      <c r="BW77" s="40" t="n">
        <v>-0.1402515697220744</v>
      </c>
      <c r="BX77" s="40" t="n">
        <v>-0.09709600213286372</v>
      </c>
      <c r="BY77" s="40" t="n">
        <v>-0.004940260719939841</v>
      </c>
      <c r="BZ77" s="40" t="n">
        <v>0.05003542788523702</v>
      </c>
      <c r="CA77" s="40" t="n">
        <v>-0.07682598593461913</v>
      </c>
      <c r="CB77" s="40" t="n">
        <v>0.5653795945794827</v>
      </c>
      <c r="CC77" s="40" t="n">
        <v>0.01164046989294992</v>
      </c>
      <c r="CD77" s="40" t="n">
        <v>0.4040087088651681</v>
      </c>
      <c r="CE77" s="40" t="n">
        <v>0.06308748069044272</v>
      </c>
      <c r="CG77" s="3" t="n">
        <v>-1</v>
      </c>
    </row>
    <row r="78">
      <c r="A78" s="251" t="n">
        <v>45292</v>
      </c>
      <c r="B78" s="3" t="n">
        <v>0</v>
      </c>
      <c r="C78" s="40" t="n">
        <v>1.33364380395558</v>
      </c>
      <c r="D78" s="40" t="n">
        <v>0.01697054131937135</v>
      </c>
      <c r="E78" s="40" t="n">
        <v>0.1713972300860672</v>
      </c>
      <c r="F78" s="40" t="n">
        <v>0.06195936849558628</v>
      </c>
      <c r="G78" s="40" t="n">
        <v>0.1155946704566484</v>
      </c>
      <c r="H78" s="40" t="n">
        <v>0.02783975994651378</v>
      </c>
      <c r="I78" s="40" t="n">
        <v>0.1475964976003826</v>
      </c>
      <c r="J78" s="40" t="n">
        <v>-0.008389591170659575</v>
      </c>
      <c r="K78" s="40" t="n">
        <v>0.1098823675400232</v>
      </c>
      <c r="L78" s="40" t="n">
        <v>0.03520439551998712</v>
      </c>
      <c r="M78" s="40" t="n">
        <v>0.2151282796454211</v>
      </c>
      <c r="N78" s="40" t="n">
        <v>-0.04519258800100086</v>
      </c>
      <c r="O78" s="40" t="n">
        <v>-0.1504750778149618</v>
      </c>
      <c r="P78" s="40" t="n">
        <v>0.08158661296297906</v>
      </c>
      <c r="Q78" s="40" t="n">
        <v>-0.1913879478673124</v>
      </c>
      <c r="R78" s="40" t="n">
        <v>0.3571726564959552</v>
      </c>
      <c r="S78" s="40" t="n">
        <v>-0.02177172838371172</v>
      </c>
      <c r="T78" s="40" t="n">
        <v>0.1350232216811148</v>
      </c>
      <c r="U78" s="40" t="n">
        <v>-3.066467963502554</v>
      </c>
      <c r="V78" s="40" t="n">
        <v>-0.1004442173372714</v>
      </c>
      <c r="W78" s="40" t="n">
        <v>-0.1579850582379855</v>
      </c>
      <c r="X78" s="40" t="n">
        <v>-0.1370651495420269</v>
      </c>
      <c r="Y78" s="40" t="n">
        <v>-0.1997233954273072</v>
      </c>
      <c r="Z78" s="40" t="n">
        <v>-0.09319979988059003</v>
      </c>
      <c r="AA78" s="40" t="n">
        <v>0.1760644096557428</v>
      </c>
      <c r="AB78" s="40" t="n">
        <v>0.05933035041449711</v>
      </c>
      <c r="AC78" s="40" t="n">
        <v>0.152156000546437</v>
      </c>
      <c r="AD78" s="40" t="n">
        <v>0.04120768404122521</v>
      </c>
      <c r="AE78" s="40" t="n">
        <v>0.2986536925050223</v>
      </c>
      <c r="AF78" s="40" t="n">
        <v>-0.02170457018477826</v>
      </c>
      <c r="AG78" s="40" t="n">
        <v>-0.195888327245362</v>
      </c>
      <c r="AH78" s="40" t="n">
        <v>-0.1775893846528809</v>
      </c>
      <c r="AI78" s="40" t="n">
        <v>0.2904153884061442</v>
      </c>
      <c r="AJ78" s="40" t="n">
        <v>0.04423437050560461</v>
      </c>
      <c r="AK78" s="40" t="n">
        <v>0.1765714102819742</v>
      </c>
      <c r="AL78" s="40" t="n">
        <v>0.04715660851745052</v>
      </c>
      <c r="AM78" s="40" t="n">
        <v>-0.6750139549126615</v>
      </c>
      <c r="AN78" s="40" t="n">
        <v>-0.76316123312727</v>
      </c>
      <c r="AO78" s="40" t="n">
        <v>-0.396599899619389</v>
      </c>
      <c r="AP78" s="40" t="n">
        <v>-0.62071606177348</v>
      </c>
      <c r="AQ78" s="40" t="n">
        <v>-0.6474847611298076</v>
      </c>
      <c r="AR78" s="40" t="n">
        <v>0.08201892897229128</v>
      </c>
      <c r="AS78" s="40" t="n">
        <v>-0.01685929241694025</v>
      </c>
      <c r="AT78" s="40" t="n">
        <v>0.1259578498986836</v>
      </c>
      <c r="AU78" s="141" t="n">
        <v>0.07376808553023406</v>
      </c>
      <c r="AV78" s="141" t="n">
        <v>0.05393610704134724</v>
      </c>
      <c r="AW78" s="141" t="n">
        <v>0.02628133278445316</v>
      </c>
      <c r="AX78" s="141" t="n">
        <v>0.212505950078805</v>
      </c>
      <c r="AY78" s="141" t="n">
        <v>-0.009936416579349993</v>
      </c>
      <c r="AZ78" s="141" t="n">
        <v>0.1441677484164118</v>
      </c>
      <c r="BA78" s="141" t="n">
        <v>0.05751848538907318</v>
      </c>
      <c r="BB78" s="141" t="n">
        <v>-0.1028107884036662</v>
      </c>
      <c r="BC78" s="141" t="n">
        <v>-0.04264778629984838</v>
      </c>
      <c r="BD78" s="141" t="n">
        <v>-0.3605958453273424</v>
      </c>
      <c r="BE78" s="141" t="n">
        <v>-0.2375108000997193</v>
      </c>
      <c r="BF78" s="141" t="n">
        <v>-0.2921664845321764</v>
      </c>
      <c r="BG78" s="141" t="n">
        <v>-0.4809464006993836</v>
      </c>
      <c r="BH78" s="141" t="n">
        <v>0.1058496020881636</v>
      </c>
      <c r="BI78" s="141" t="n">
        <v>-0.5719463770068386</v>
      </c>
      <c r="BJ78" s="141" t="n">
        <v>-0.1036594548940925</v>
      </c>
      <c r="BK78" s="141" t="n">
        <v>-0.2674448233948292</v>
      </c>
      <c r="BL78" s="141" t="n">
        <v>-0.14898111521807</v>
      </c>
      <c r="BM78" s="141" t="n">
        <v>0.4277044351953164</v>
      </c>
      <c r="BN78" s="141" t="n">
        <v>0.3663371499564218</v>
      </c>
      <c r="BO78" s="141" t="n">
        <v>0.4412327075842114</v>
      </c>
      <c r="BP78" s="141" t="n">
        <v>0.4039523456870381</v>
      </c>
      <c r="BQ78" s="141" t="n">
        <v>0.04106442295707729</v>
      </c>
      <c r="BR78" s="141" t="n">
        <v>0.2142431314227748</v>
      </c>
      <c r="BS78" s="141" t="n">
        <v>0.05377080060132752</v>
      </c>
      <c r="BT78" s="141" t="n">
        <v>0.1010965913070496</v>
      </c>
      <c r="BU78" s="141" t="n">
        <v>0.005084447010696803</v>
      </c>
      <c r="BV78" s="40" t="n">
        <v>0.06803429528855362</v>
      </c>
      <c r="BW78" s="40" t="n">
        <v>0.1380028805261617</v>
      </c>
      <c r="BX78" s="40" t="n">
        <v>0.2487644054283889</v>
      </c>
      <c r="BY78" s="40" t="n">
        <v>0.2040503602193303</v>
      </c>
      <c r="BZ78" s="40" t="n">
        <v>0.1980850841360503</v>
      </c>
      <c r="CA78" s="40" t="n">
        <v>0.01552748033332874</v>
      </c>
      <c r="CB78" s="40" t="n">
        <v>0.8185128199799617</v>
      </c>
      <c r="CC78" s="40" t="n">
        <v>0.1361618562722383</v>
      </c>
      <c r="CD78" s="40" t="n">
        <v>0.5242098710286034</v>
      </c>
      <c r="CE78" s="40" t="n">
        <v>0.2279486125907094</v>
      </c>
      <c r="CG78" s="3" t="n">
        <v>-1</v>
      </c>
    </row>
    <row r="79">
      <c r="A79" s="251" t="n">
        <v>45383</v>
      </c>
      <c r="B79" s="3" t="n">
        <v>0</v>
      </c>
      <c r="C79" s="40" t="n">
        <v>1.251669709281239</v>
      </c>
      <c r="D79" s="40" t="n">
        <v>-0.2472778746475529</v>
      </c>
      <c r="E79" s="40" t="n">
        <v>0.04080804050993046</v>
      </c>
      <c r="F79" s="40" t="n">
        <v>-0.06707048866583365</v>
      </c>
      <c r="G79" s="40" t="n">
        <v>0.02689875625849327</v>
      </c>
      <c r="H79" s="40" t="n">
        <v>-0.01820604070887401</v>
      </c>
      <c r="I79" s="40" t="n">
        <v>0.09028939354822464</v>
      </c>
      <c r="J79" s="40" t="n">
        <v>-0.0550653031392011</v>
      </c>
      <c r="K79" s="40" t="n">
        <v>0.04732364715890942</v>
      </c>
      <c r="L79" s="40" t="n">
        <v>0.007109260605572914</v>
      </c>
      <c r="M79" s="40" t="n">
        <v>0.1508823033395936</v>
      </c>
      <c r="N79" s="40" t="n">
        <v>-0.04686810588305622</v>
      </c>
      <c r="O79" s="40" t="n">
        <v>-0.08905398315830906</v>
      </c>
      <c r="P79" s="40" t="n">
        <v>0.03485097443497382</v>
      </c>
      <c r="Q79" s="40" t="n">
        <v>-0.2898691249252495</v>
      </c>
      <c r="R79" s="40" t="n">
        <v>0.01481361248139963</v>
      </c>
      <c r="S79" s="40" t="n">
        <v>-0.1265663143373105</v>
      </c>
      <c r="T79" s="40" t="n">
        <v>0.0798120573219382</v>
      </c>
      <c r="U79" s="40" t="n">
        <v>-3.089959763290082</v>
      </c>
      <c r="V79" s="40" t="n">
        <v>-0.08508908458204088</v>
      </c>
      <c r="W79" s="40" t="n">
        <v>-0.187815747324951</v>
      </c>
      <c r="X79" s="40" t="n">
        <v>-0.1352711839510728</v>
      </c>
      <c r="Y79" s="40" t="n">
        <v>-0.1827527954710724</v>
      </c>
      <c r="Z79" s="40" t="n">
        <v>-0.06615499480229717</v>
      </c>
      <c r="AA79" s="40" t="n">
        <v>0.1994511198490155</v>
      </c>
      <c r="AB79" s="40" t="n">
        <v>0.1159031274431983</v>
      </c>
      <c r="AC79" s="40" t="n">
        <v>0.170486158735711</v>
      </c>
      <c r="AD79" s="40" t="n">
        <v>0.09020542873190456</v>
      </c>
      <c r="AE79" s="40" t="n">
        <v>0.3501180028275477</v>
      </c>
      <c r="AF79" s="40" t="n">
        <v>0.2163046626698289</v>
      </c>
      <c r="AG79" s="40" t="n">
        <v>-0.09843402594162413</v>
      </c>
      <c r="AH79" s="40" t="n">
        <v>-0.09312789130172372</v>
      </c>
      <c r="AI79" s="40" t="n">
        <v>0.3552516710825314</v>
      </c>
      <c r="AJ79" s="40" t="n">
        <v>0.1199209748163223</v>
      </c>
      <c r="AK79" s="40" t="n">
        <v>0.2904333274139255</v>
      </c>
      <c r="AL79" s="40" t="n">
        <v>0.1801097740490449</v>
      </c>
      <c r="AM79" s="40" t="n">
        <v>-0.3392318994132911</v>
      </c>
      <c r="AN79" s="40" t="n">
        <v>-0.0551994349041393</v>
      </c>
      <c r="AO79" s="40" t="n">
        <v>-0.4650238083771925</v>
      </c>
      <c r="AP79" s="40" t="n">
        <v>-0.2174520899059666</v>
      </c>
      <c r="AQ79" s="40" t="n">
        <v>-0.2278011157592906</v>
      </c>
      <c r="AR79" s="40" t="n">
        <v>0.03219644117103278</v>
      </c>
      <c r="AS79" s="40" t="n">
        <v>-0.01131828490866863</v>
      </c>
      <c r="AT79" s="40" t="n">
        <v>0.08643741952236345</v>
      </c>
      <c r="AU79" s="141" t="n">
        <v>-0.03786406313399397</v>
      </c>
      <c r="AV79" s="141" t="n">
        <v>-0.002657962603353029</v>
      </c>
      <c r="AW79" s="141" t="n">
        <v>0.01677594181137432</v>
      </c>
      <c r="AX79" s="141" t="n">
        <v>0.1527217316180715</v>
      </c>
      <c r="AY79" s="141" t="n">
        <v>0.03190826523818412</v>
      </c>
      <c r="AZ79" s="141" t="n">
        <v>0.1373019766802274</v>
      </c>
      <c r="BA79" s="141" t="n">
        <v>0.07239282524717271</v>
      </c>
      <c r="BB79" s="141" t="n">
        <v>-0.0839919778486347</v>
      </c>
      <c r="BC79" s="141" t="n">
        <v>-0.03914979941712471</v>
      </c>
      <c r="BD79" s="141" t="n">
        <v>-0.3448631485348782</v>
      </c>
      <c r="BE79" s="141" t="n">
        <v>-0.1361757088812366</v>
      </c>
      <c r="BF79" s="141" t="n">
        <v>-0.2301872836813992</v>
      </c>
      <c r="BG79" s="141" t="n">
        <v>-0.5264123459373745</v>
      </c>
      <c r="BH79" s="141" t="n">
        <v>0.02994340229712007</v>
      </c>
      <c r="BI79" s="141" t="n">
        <v>-0.3472982500324417</v>
      </c>
      <c r="BJ79" s="141" t="n">
        <v>-0.05340606588818331</v>
      </c>
      <c r="BK79" s="141" t="n">
        <v>-0.2566619849254342</v>
      </c>
      <c r="BL79" s="141" t="n">
        <v>-0.1643361770377222</v>
      </c>
      <c r="BM79" s="141" t="n">
        <v>0.188658262619663</v>
      </c>
      <c r="BN79" s="141" t="n">
        <v>0.4224907936281633</v>
      </c>
      <c r="BO79" s="141" t="n">
        <v>0.3509445523643192</v>
      </c>
      <c r="BP79" s="141" t="n">
        <v>0.3664823407065821</v>
      </c>
      <c r="BQ79" s="141" t="n">
        <v>0.03640784680082244</v>
      </c>
      <c r="BR79" s="141" t="n">
        <v>0.2862520523064008</v>
      </c>
      <c r="BS79" s="141" t="n">
        <v>-0.03649774307241438</v>
      </c>
      <c r="BT79" s="141" t="n">
        <v>0.08282964217545334</v>
      </c>
      <c r="BU79" s="141" t="n">
        <v>0.02055100274743637</v>
      </c>
      <c r="BV79" s="40" t="n">
        <v>-0.04772649728316802</v>
      </c>
      <c r="BW79" s="40" t="n">
        <v>-0.1257096867353734</v>
      </c>
      <c r="BX79" s="40" t="n">
        <v>0.2333852075135589</v>
      </c>
      <c r="BY79" s="40" t="n">
        <v>0.008343425007294427</v>
      </c>
      <c r="BZ79" s="40" t="n">
        <v>0.01927898865511301</v>
      </c>
      <c r="CA79" s="40" t="n">
        <v>0.09181804013273034</v>
      </c>
      <c r="CB79" s="40" t="n">
        <v>0.8250278097918887</v>
      </c>
      <c r="CC79" s="40" t="n">
        <v>0.2792661440262856</v>
      </c>
      <c r="CD79" s="40" t="n">
        <v>0.5973488942962032</v>
      </c>
      <c r="CE79" s="40" t="n">
        <v>0.3620781840206577</v>
      </c>
      <c r="CG79" s="3" t="n">
        <v>-1</v>
      </c>
    </row>
    <row r="80">
      <c r="A80" s="251" t="n">
        <v>45474</v>
      </c>
      <c r="B80" s="3" t="n">
        <v>0</v>
      </c>
      <c r="C80" s="40" t="n">
        <v>1.369837579792245</v>
      </c>
      <c r="D80" s="40" t="n">
        <v>-0.03533825692349627</v>
      </c>
      <c r="E80" s="40" t="n">
        <v>0.07922446826401108</v>
      </c>
      <c r="F80" s="40" t="n">
        <v>0.05972680936574834</v>
      </c>
      <c r="G80" s="40" t="n">
        <v>0.116654377388486</v>
      </c>
      <c r="H80" s="40" t="n">
        <v>-0.09181504327578574</v>
      </c>
      <c r="I80" s="40" t="n">
        <v>-0.09251928417404461</v>
      </c>
      <c r="J80" s="40" t="n">
        <v>0.04036597932187427</v>
      </c>
      <c r="K80" s="40" t="n">
        <v>-0.04420226667537584</v>
      </c>
      <c r="L80" s="40" t="n">
        <v>-0.0622782389321272</v>
      </c>
      <c r="M80" s="40" t="n">
        <v>-0.04047766441537932</v>
      </c>
      <c r="N80" s="40" t="n">
        <v>0.1291257158227792</v>
      </c>
      <c r="O80" s="40" t="n">
        <v>-0.07447660023521839</v>
      </c>
      <c r="P80" s="40" t="n">
        <v>-0.1417058822263812</v>
      </c>
      <c r="Q80" s="40" t="n">
        <v>-0.2601389582662496</v>
      </c>
      <c r="R80" s="40" t="n">
        <v>-0.1942229192005653</v>
      </c>
      <c r="S80" s="40" t="n">
        <v>-0.2870965249532121</v>
      </c>
      <c r="T80" s="40" t="n">
        <v>-0.1006570887636682</v>
      </c>
      <c r="U80" s="40" t="n">
        <v>-3.083666951821037</v>
      </c>
      <c r="V80" s="40" t="n">
        <v>-0.05896632335469896</v>
      </c>
      <c r="W80" s="40" t="n">
        <v>-0.1306660082567073</v>
      </c>
      <c r="X80" s="40" t="n">
        <v>-0.08765795291385639</v>
      </c>
      <c r="Y80" s="40" t="n">
        <v>-0.1384756024998064</v>
      </c>
      <c r="Z80" s="40" t="n">
        <v>0.001168405652854172</v>
      </c>
      <c r="AA80" s="40" t="n">
        <v>0.203407781522254</v>
      </c>
      <c r="AB80" s="40" t="n">
        <v>0.2085200982491164</v>
      </c>
      <c r="AC80" s="40" t="n">
        <v>0.2226552247352823</v>
      </c>
      <c r="AD80" s="40" t="n">
        <v>0.1628768159639673</v>
      </c>
      <c r="AE80" s="40" t="n">
        <v>0.3785367367989812</v>
      </c>
      <c r="AF80" s="40" t="n">
        <v>0.3723035585699814</v>
      </c>
      <c r="AG80" s="40" t="n">
        <v>-0.01053565593271231</v>
      </c>
      <c r="AH80" s="40" t="n">
        <v>-0.264464790488929</v>
      </c>
      <c r="AI80" s="40" t="n">
        <v>0.08867124307147217</v>
      </c>
      <c r="AJ80" s="40" t="n">
        <v>0.05727767715781892</v>
      </c>
      <c r="AK80" s="40" t="n">
        <v>0.01986083556220613</v>
      </c>
      <c r="AL80" s="40" t="n">
        <v>-0.03409610751085662</v>
      </c>
      <c r="AM80" s="40" t="n">
        <v>-0.4957478524615969</v>
      </c>
      <c r="AN80" s="40" t="n">
        <v>-0.1227962189313248</v>
      </c>
      <c r="AO80" s="40" t="n">
        <v>-0.3313164653406426</v>
      </c>
      <c r="AP80" s="40" t="n">
        <v>-0.2826342754696692</v>
      </c>
      <c r="AQ80" s="40" t="n">
        <v>-0.3372690710710458</v>
      </c>
      <c r="AR80" s="40" t="n">
        <v>0.01322494093338268</v>
      </c>
      <c r="AS80" s="40" t="n">
        <v>-0.1242436170629314</v>
      </c>
      <c r="AT80" s="40" t="n">
        <v>-0.02854039032857478</v>
      </c>
      <c r="AU80" s="141" t="n">
        <v>-0.0881191995015682</v>
      </c>
      <c r="AV80" s="141" t="n">
        <v>-0.02420423774992915</v>
      </c>
      <c r="AW80" s="141" t="n">
        <v>-0.04258612901030253</v>
      </c>
      <c r="AX80" s="141" t="n">
        <v>0.02215297389369326</v>
      </c>
      <c r="AY80" s="141" t="n">
        <v>0.1207330323495697</v>
      </c>
      <c r="AZ80" s="141" t="n">
        <v>0.07527761404227128</v>
      </c>
      <c r="BA80" s="141" t="n">
        <v>0.03486237240729141</v>
      </c>
      <c r="BB80" s="141" t="n">
        <v>-0.09481662408383541</v>
      </c>
      <c r="BC80" s="141" t="n">
        <v>-0.01955600320508848</v>
      </c>
      <c r="BD80" s="141" t="n">
        <v>-0.2846769451443504</v>
      </c>
      <c r="BE80" s="141" t="n">
        <v>-0.08372365263575142</v>
      </c>
      <c r="BF80" s="141" t="n">
        <v>-0.2057040645888712</v>
      </c>
      <c r="BG80" s="141" t="n">
        <v>-0.5692786973411909</v>
      </c>
      <c r="BH80" s="141" t="n">
        <v>-0.05561136288954412</v>
      </c>
      <c r="BI80" s="141" t="n">
        <v>-0.01857802255582289</v>
      </c>
      <c r="BJ80" s="141" t="n">
        <v>-0.041689483969418</v>
      </c>
      <c r="BK80" s="141" t="n">
        <v>-0.2567875372545039</v>
      </c>
      <c r="BL80" s="141" t="n">
        <v>-0.0491069288357743</v>
      </c>
      <c r="BM80" s="141" t="n">
        <v>0.1661254536282783</v>
      </c>
      <c r="BN80" s="141" t="n">
        <v>0.6763762720244832</v>
      </c>
      <c r="BO80" s="141" t="n">
        <v>0.4493199419753736</v>
      </c>
      <c r="BP80" s="141" t="n">
        <v>0.4980978200176665</v>
      </c>
      <c r="BQ80" s="141" t="n">
        <v>-0.01216353124601924</v>
      </c>
      <c r="BR80" s="141" t="n">
        <v>0.12092307160074</v>
      </c>
      <c r="BS80" s="141" t="n">
        <v>-0.1055246358548759</v>
      </c>
      <c r="BT80" s="141" t="n">
        <v>0.01488144705153536</v>
      </c>
      <c r="BU80" s="141" t="n">
        <v>-0.02385535621451665</v>
      </c>
      <c r="BV80" s="40" t="inlineStr"/>
      <c r="BW80" s="40" t="inlineStr"/>
      <c r="BX80" s="40" t="inlineStr"/>
      <c r="BY80" s="40" t="inlineStr"/>
      <c r="BZ80" s="40" t="inlineStr"/>
      <c r="CA80" s="40" t="n">
        <v>0.08471596926882763</v>
      </c>
      <c r="CB80" s="40" t="n">
        <v>0.5250547527264997</v>
      </c>
      <c r="CC80" s="40" t="n">
        <v>0.3847091087976687</v>
      </c>
      <c r="CD80" s="40" t="n">
        <v>0.5301989221365013</v>
      </c>
      <c r="CE80" s="40" t="n">
        <v>0.3768202817391421</v>
      </c>
      <c r="CG80" s="3" t="n">
        <v>-1</v>
      </c>
    </row>
    <row r="81">
      <c r="A81" s="251" t="n">
        <v>45566</v>
      </c>
      <c r="B81" s="3" t="n">
        <v>0</v>
      </c>
      <c r="C81" s="40" t="n">
        <v>1.485458543107116</v>
      </c>
      <c r="D81" s="40" t="n">
        <v>0.2064515198387193</v>
      </c>
      <c r="E81" s="40" t="n">
        <v>0.1979181553471939</v>
      </c>
      <c r="F81" s="40" t="n">
        <v>0.1757100123992579</v>
      </c>
      <c r="G81" s="40" t="n">
        <v>0.2002030877660961</v>
      </c>
      <c r="H81" s="40" t="n">
        <v>-0.08196767259561737</v>
      </c>
      <c r="I81" s="40" t="n">
        <v>-0.139313712551559</v>
      </c>
      <c r="J81" s="40" t="n">
        <v>0.08662526814063816</v>
      </c>
      <c r="K81" s="40" t="n">
        <v>-0.03867667161828796</v>
      </c>
      <c r="L81" s="40" t="n">
        <v>-0.03914514715680655</v>
      </c>
      <c r="M81" s="40" t="n">
        <v>-0.1098066741823509</v>
      </c>
      <c r="N81" s="40" t="n">
        <v>0.1520916102067116</v>
      </c>
      <c r="O81" s="40" t="n">
        <v>0.004277456828387093</v>
      </c>
      <c r="P81" s="40" t="n">
        <v>-0.1546880040397161</v>
      </c>
      <c r="Q81" s="40" t="n">
        <v>-0.1375020207978744</v>
      </c>
      <c r="R81" s="40" t="n">
        <v>-0.1645956942377675</v>
      </c>
      <c r="S81" s="40" t="n">
        <v>-0.2644539274341514</v>
      </c>
      <c r="T81" s="40" t="n">
        <v>-0.1438494962555406</v>
      </c>
      <c r="U81" s="40" t="n">
        <v>-3.060510057998104</v>
      </c>
      <c r="V81" s="40" t="n">
        <v>-0.005646887806585237</v>
      </c>
      <c r="W81" s="40" t="n">
        <v>-0.08351735745229924</v>
      </c>
      <c r="X81" s="40" t="n">
        <v>-0.02957467318566196</v>
      </c>
      <c r="Y81" s="40" t="n">
        <v>-0.08381770177598973</v>
      </c>
      <c r="Z81" s="40" t="n">
        <v>0.09206227941359447</v>
      </c>
      <c r="AA81" s="40" t="n">
        <v>0.237561124541789</v>
      </c>
      <c r="AB81" s="40" t="n">
        <v>0.2557315041711855</v>
      </c>
      <c r="AC81" s="40" t="n">
        <v>0.2823845543952211</v>
      </c>
      <c r="AD81" s="40" t="n">
        <v>0.2457787093709234</v>
      </c>
      <c r="AE81" s="40" t="n">
        <v>0.4182239479329291</v>
      </c>
      <c r="AF81" s="40" t="n">
        <v>0.4219169389916191</v>
      </c>
      <c r="AG81" s="40" t="n">
        <v>0.0797195126289844</v>
      </c>
      <c r="AH81" s="40" t="n">
        <v>-0.5159697542215489</v>
      </c>
      <c r="AI81" s="40" t="n">
        <v>-0.5809901581755499</v>
      </c>
      <c r="AJ81" s="40" t="n">
        <v>-0.05985991928023926</v>
      </c>
      <c r="AK81" s="40" t="n">
        <v>-0.3548843349003538</v>
      </c>
      <c r="AL81" s="40" t="n">
        <v>-0.3405376115686636</v>
      </c>
      <c r="AM81" s="40" t="n">
        <v>-0.4983594118972812</v>
      </c>
      <c r="AN81" s="40" t="n">
        <v>0.05956692687990177</v>
      </c>
      <c r="AO81" s="40" t="n">
        <v>-0.4718252942110913</v>
      </c>
      <c r="AP81" s="40" t="n">
        <v>-0.222589579050439</v>
      </c>
      <c r="AQ81" s="40" t="n">
        <v>-0.3062228611151384</v>
      </c>
      <c r="AR81" s="40" t="n">
        <v>0.05839562786802804</v>
      </c>
      <c r="AS81" s="40" t="n">
        <v>0.0004207956834666535</v>
      </c>
      <c r="AT81" s="40" t="n">
        <v>-0.02364817803177127</v>
      </c>
      <c r="AU81" s="141" t="n">
        <v>-0.004158491414246992</v>
      </c>
      <c r="AV81" s="141" t="n">
        <v>0.03825699738442782</v>
      </c>
      <c r="AW81" s="141" t="n">
        <v>0.007870835718103892</v>
      </c>
      <c r="AX81" s="141" t="n">
        <v>-0.01969255311588567</v>
      </c>
      <c r="AY81" s="141" t="n">
        <v>0.2120441314591328</v>
      </c>
      <c r="AZ81" s="141" t="n">
        <v>0.09786867885185445</v>
      </c>
      <c r="BA81" s="141" t="n">
        <v>0.0782139925014721</v>
      </c>
      <c r="BB81" s="141" t="n">
        <v>-0.08819332678299595</v>
      </c>
      <c r="BC81" s="141" t="n">
        <v>0.01204740237834114</v>
      </c>
      <c r="BD81" s="141" t="n">
        <v>-0.0535242509397042</v>
      </c>
      <c r="BE81" s="141" t="n">
        <v>-0.01642441480613336</v>
      </c>
      <c r="BF81" s="141" t="n">
        <v>-0.1515777254610711</v>
      </c>
      <c r="BG81" s="141" t="n">
        <v>-0.5501507289012784</v>
      </c>
      <c r="BH81" s="141" t="n">
        <v>-0.09542248527032711</v>
      </c>
      <c r="BI81" s="141" t="n">
        <v>0.05610928587986112</v>
      </c>
      <c r="BJ81" s="141" t="n">
        <v>-0.01467208472990925</v>
      </c>
      <c r="BK81" s="141" t="n">
        <v>-0.1852137688867967</v>
      </c>
      <c r="BL81" s="141" t="n">
        <v>-0.01979182432489408</v>
      </c>
      <c r="BM81" s="141" t="n">
        <v>0.1271121742871811</v>
      </c>
      <c r="BN81" s="141" t="n">
        <v>0.61009148219856</v>
      </c>
      <c r="BO81" s="141" t="n">
        <v>0.3704602847718338</v>
      </c>
      <c r="BP81" s="141" t="n">
        <v>0.4918310205316387</v>
      </c>
      <c r="BQ81" s="141" t="n">
        <v>-0.06905478331494022</v>
      </c>
      <c r="BR81" s="141" t="n">
        <v>-0.1140304195924954</v>
      </c>
      <c r="BS81" s="141" t="n">
        <v>-0.06176091182279869</v>
      </c>
      <c r="BT81" s="141" t="n">
        <v>-0.05182323856412521</v>
      </c>
      <c r="BU81" s="141" t="n">
        <v>-0.07690353504743479</v>
      </c>
      <c r="BV81" s="40" t="inlineStr"/>
      <c r="BW81" s="40" t="inlineStr"/>
      <c r="BX81" s="40" t="inlineStr"/>
      <c r="BY81" s="40" t="inlineStr"/>
      <c r="BZ81" s="40" t="inlineStr"/>
      <c r="CA81" s="40" t="n">
        <v>0.1317495054078915</v>
      </c>
      <c r="CB81" s="40" t="n">
        <v>0.2513674272094731</v>
      </c>
      <c r="CC81" s="40" t="n">
        <v>0.5441216981812488</v>
      </c>
      <c r="CD81" s="40" t="n">
        <v>0.5131246495189342</v>
      </c>
      <c r="CE81" s="40" t="n">
        <v>0.435177824911962</v>
      </c>
      <c r="CG81" s="3" t="n">
        <v>-1</v>
      </c>
    </row>
    <row r="82">
      <c r="A82" s="251" t="n">
        <v>45658</v>
      </c>
      <c r="B82" s="3" t="n">
        <v>0</v>
      </c>
      <c r="C82" s="40" t="n">
        <v>1.243716196745618</v>
      </c>
      <c r="D82" s="40" t="n">
        <v>-0.09119230073261686</v>
      </c>
      <c r="E82" s="40" t="n">
        <v>-0.0508969770380542</v>
      </c>
      <c r="F82" s="40" t="n">
        <v>-0.1415560453371865</v>
      </c>
      <c r="G82" s="40" t="n">
        <v>-0.06075572751336501</v>
      </c>
      <c r="H82" s="40" t="n">
        <v>-0.03649641920557729</v>
      </c>
      <c r="I82" s="40" t="n">
        <v>-0.08350415168227213</v>
      </c>
      <c r="J82" s="40" t="n">
        <v>0.04231374284405975</v>
      </c>
      <c r="K82" s="40" t="n">
        <v>0.007151319368064896</v>
      </c>
      <c r="L82" s="40" t="n">
        <v>0.01244882532207382</v>
      </c>
      <c r="M82" s="40" t="n">
        <v>0.03854218331610637</v>
      </c>
      <c r="N82" s="40" t="n">
        <v>0.1476874471599785</v>
      </c>
      <c r="O82" s="40" t="n">
        <v>-0.01548398446346279</v>
      </c>
      <c r="P82" s="40" t="n">
        <v>0.2347756503603311</v>
      </c>
      <c r="Q82" s="40" t="n">
        <v>0.1096299895550624</v>
      </c>
      <c r="R82" s="40" t="n">
        <v>-0.07242210546461778</v>
      </c>
      <c r="S82" s="40" t="n">
        <v>0.1129226978835184</v>
      </c>
      <c r="T82" s="40" t="n">
        <v>0.1554926669707413</v>
      </c>
      <c r="U82" s="40" t="n">
        <v>-3.004204343322249</v>
      </c>
      <c r="V82" s="40" t="n">
        <v>0.08193476180418058</v>
      </c>
      <c r="W82" s="40" t="n">
        <v>-0.01118165539178693</v>
      </c>
      <c r="X82" s="40" t="n">
        <v>0.06271191893227009</v>
      </c>
      <c r="Y82" s="40" t="n">
        <v>-0.003835628938774544</v>
      </c>
      <c r="Z82" s="40" t="n">
        <v>0.1656473196701729</v>
      </c>
      <c r="AA82" s="40" t="n">
        <v>0.278308426942981</v>
      </c>
      <c r="AB82" s="40" t="n">
        <v>0.2899374073206843</v>
      </c>
      <c r="AC82" s="40" t="n">
        <v>0.3128598587181496</v>
      </c>
      <c r="AD82" s="40" t="n">
        <v>0.2994203655383254</v>
      </c>
      <c r="AE82" s="40" t="n">
        <v>0.4287619669532016</v>
      </c>
      <c r="AF82" s="40" t="n">
        <v>0.4625345933226365</v>
      </c>
      <c r="AG82" s="40" t="n">
        <v>0.1889231504521395</v>
      </c>
      <c r="AH82" s="40" t="n">
        <v>-0.4132361136433108</v>
      </c>
      <c r="AI82" s="40" t="n">
        <v>-0.2869871576831121</v>
      </c>
      <c r="AJ82" s="40" t="n">
        <v>0.002695977077521468</v>
      </c>
      <c r="AK82" s="40" t="n">
        <v>-0.194923734665836</v>
      </c>
      <c r="AL82" s="40" t="n">
        <v>-0.1621541616251997</v>
      </c>
      <c r="AM82" s="40" t="n">
        <v>-0.4796290675562248</v>
      </c>
      <c r="AN82" s="40" t="n">
        <v>0.1535736348132783</v>
      </c>
      <c r="AO82" s="40" t="n">
        <v>-0.5017131310719767</v>
      </c>
      <c r="AP82" s="40" t="n">
        <v>-0.1151290780127335</v>
      </c>
      <c r="AQ82" s="40" t="n">
        <v>-0.2637045485700987</v>
      </c>
      <c r="AR82" s="40" t="n">
        <v>-0.03129770239510996</v>
      </c>
      <c r="AS82" s="40" t="n">
        <v>-0.1857958826580904</v>
      </c>
      <c r="AT82" s="40" t="n">
        <v>-0.1328493809758121</v>
      </c>
      <c r="AU82" s="141" t="n">
        <v>-0.1547015556993234</v>
      </c>
      <c r="AV82" s="141" t="n">
        <v>-0.1026966674441559</v>
      </c>
      <c r="AW82" s="141" t="n">
        <v>0.08507657455886065</v>
      </c>
      <c r="AX82" s="141" t="n">
        <v>0.05132110664618186</v>
      </c>
      <c r="AY82" s="141" t="n">
        <v>0.1734151114148317</v>
      </c>
      <c r="AZ82" s="141" t="n">
        <v>0.1268715528068584</v>
      </c>
      <c r="BA82" s="141" t="n">
        <v>0.1304569910838642</v>
      </c>
      <c r="BB82" s="141" t="n">
        <v>-0.07621826708607875</v>
      </c>
      <c r="BC82" s="141" t="n">
        <v>0.03734229288617839</v>
      </c>
      <c r="BD82" s="141" t="n">
        <v>-0.003633323935739801</v>
      </c>
      <c r="BE82" s="141" t="n">
        <v>0.01278089667431127</v>
      </c>
      <c r="BF82" s="141" t="n">
        <v>-0.102939356040912</v>
      </c>
      <c r="BG82" s="141" t="n">
        <v>-0.5221959209152581</v>
      </c>
      <c r="BH82" s="141" t="n">
        <v>-0.04098451299190491</v>
      </c>
      <c r="BI82" s="141" t="n">
        <v>0.05411100454018593</v>
      </c>
      <c r="BJ82" s="141" t="n">
        <v>0.00934309875919043</v>
      </c>
      <c r="BK82" s="141" t="n">
        <v>-0.09571258079818085</v>
      </c>
      <c r="BL82" s="141" t="n">
        <v>-0.008330400307822554</v>
      </c>
      <c r="BM82" s="141" t="n">
        <v>0.1695917505930687</v>
      </c>
      <c r="BN82" s="141" t="n">
        <v>0.5165212871647178</v>
      </c>
      <c r="BO82" s="141" t="n">
        <v>0.2765087373296204</v>
      </c>
      <c r="BP82" s="141" t="n">
        <v>0.4447172016815934</v>
      </c>
      <c r="BQ82" s="141" t="n">
        <v>-0.05258911660313057</v>
      </c>
      <c r="BR82" s="141" t="n">
        <v>-0.1384190321121042</v>
      </c>
      <c r="BS82" s="141" t="n">
        <v>0.04853382816326851</v>
      </c>
      <c r="BT82" s="141" t="n">
        <v>-0.0135754254828988</v>
      </c>
      <c r="BU82" s="141" t="n">
        <v>-0.04493041128175029</v>
      </c>
      <c r="BV82" s="40" t="inlineStr"/>
      <c r="BW82" s="40" t="inlineStr"/>
      <c r="BX82" s="40" t="inlineStr"/>
      <c r="BY82" s="40" t="inlineStr"/>
      <c r="BZ82" s="40" t="inlineStr"/>
      <c r="CA82" s="40" t="n">
        <v>0.2131530774843693</v>
      </c>
      <c r="CB82" s="40" t="n">
        <v>0.2381710218532663</v>
      </c>
      <c r="CC82" s="40" t="n">
        <v>0.7039690272755602</v>
      </c>
      <c r="CD82" s="40" t="n">
        <v>0.5087306384843349</v>
      </c>
      <c r="CE82" s="40" t="n">
        <v>0.5078311732153906</v>
      </c>
      <c r="CG82" s="3" t="n">
        <v>-1</v>
      </c>
    </row>
    <row r="83">
      <c r="A83" s="251" t="n">
        <v>45748</v>
      </c>
      <c r="B83" s="3" t="n">
        <v>0</v>
      </c>
      <c r="C83" s="40" t="n">
        <v>1.234890987811282</v>
      </c>
      <c r="D83" s="40" t="n">
        <v>-0.01701468838845834</v>
      </c>
      <c r="E83" s="40" t="n">
        <v>-0.1812365082492478</v>
      </c>
      <c r="F83" s="40" t="n">
        <v>-0.1411855534064847</v>
      </c>
      <c r="G83" s="40" t="n">
        <v>-0.08196266068990668</v>
      </c>
      <c r="H83" s="40" t="n">
        <v>-0.0358689589889763</v>
      </c>
      <c r="I83" s="40" t="n">
        <v>-0.02292531242376864</v>
      </c>
      <c r="J83" s="40" t="n">
        <v>0.04447374120567443</v>
      </c>
      <c r="K83" s="40" t="n">
        <v>-0.0005880247615524328</v>
      </c>
      <c r="L83" s="40" t="n">
        <v>0.02007464542305804</v>
      </c>
      <c r="M83" s="40" t="n">
        <v>0.02814548891246658</v>
      </c>
      <c r="N83" s="40" t="n">
        <v>0.1042303360813582</v>
      </c>
      <c r="O83" s="40" t="n">
        <v>-0.02074335922149234</v>
      </c>
      <c r="P83" s="40" t="n">
        <v>0.7592533716190611</v>
      </c>
      <c r="Q83" s="40" t="n">
        <v>0.5184197811163113</v>
      </c>
      <c r="R83" s="40" t="n">
        <v>0.2024527039124537</v>
      </c>
      <c r="S83" s="40" t="n">
        <v>0.5948036194430036</v>
      </c>
      <c r="T83" s="40" t="n">
        <v>0.5588721943296201</v>
      </c>
      <c r="U83" s="40" t="n">
        <v>-2.945797956944392</v>
      </c>
      <c r="V83" s="40" t="n">
        <v>0.1897072998645023</v>
      </c>
      <c r="W83" s="40" t="n">
        <v>0.06320039122171395</v>
      </c>
      <c r="X83" s="40" t="n">
        <v>0.142673681015849</v>
      </c>
      <c r="Y83" s="40" t="n">
        <v>0.07060531813452474</v>
      </c>
      <c r="Z83" s="40" t="n">
        <v>0.179502305432909</v>
      </c>
      <c r="AA83" s="40" t="n">
        <v>0.2641269368350532</v>
      </c>
      <c r="AB83" s="40" t="n">
        <v>0.2958113008072315</v>
      </c>
      <c r="AC83" s="40" t="n">
        <v>0.2688611040334714</v>
      </c>
      <c r="AD83" s="40" t="n">
        <v>0.2855934188879263</v>
      </c>
      <c r="AE83" s="40" t="n">
        <v>0.3117461752545316</v>
      </c>
      <c r="AF83" s="40" t="n">
        <v>0.4208530218775104</v>
      </c>
      <c r="AG83" s="40" t="n">
        <v>0.3120998903778779</v>
      </c>
      <c r="AH83" s="40" t="n">
        <v>-0.2772657219118403</v>
      </c>
      <c r="AI83" s="40" t="n">
        <v>-0.2242559990335273</v>
      </c>
      <c r="AJ83" s="40" t="n">
        <v>0.1030156245686638</v>
      </c>
      <c r="AK83" s="40" t="n">
        <v>0.001316396307674258</v>
      </c>
      <c r="AL83" s="40" t="n">
        <v>0.03331019595923174</v>
      </c>
      <c r="AM83" s="40" t="n">
        <v>-0.5513480499721086</v>
      </c>
      <c r="AN83" s="40" t="n">
        <v>-0.1667245030292002</v>
      </c>
      <c r="AO83" s="40" t="n">
        <v>-0.182651605886194</v>
      </c>
      <c r="AP83" s="40" t="n">
        <v>-0.09046390489565366</v>
      </c>
      <c r="AQ83" s="40" t="n">
        <v>-0.2978037706742433</v>
      </c>
      <c r="AR83" s="40" t="n">
        <v>-0.07469149243600332</v>
      </c>
      <c r="AS83" s="40" t="n">
        <v>-0.1752552800976727</v>
      </c>
      <c r="AT83" s="40" t="n">
        <v>-0.1223071782320195</v>
      </c>
      <c r="AU83" s="141" t="n">
        <v>-0.2030867548378273</v>
      </c>
      <c r="AV83" s="141" t="n">
        <v>-0.1641455404287498</v>
      </c>
      <c r="AW83" s="141" t="n">
        <v>0.07207240246012481</v>
      </c>
      <c r="AX83" s="141" t="n">
        <v>0.04826709557551642</v>
      </c>
      <c r="AY83" s="141" t="n">
        <v>0.1321111651457519</v>
      </c>
      <c r="AZ83" s="141" t="n">
        <v>0.07937118500339971</v>
      </c>
      <c r="BA83" s="141" t="n">
        <v>0.1177968830337037</v>
      </c>
      <c r="BB83" s="141" t="n">
        <v>-0.1010410900542726</v>
      </c>
      <c r="BC83" s="141" t="n">
        <v>-0.0239410522164811</v>
      </c>
      <c r="BD83" s="141" t="n">
        <v>-0.04320606652266541</v>
      </c>
      <c r="BE83" s="141" t="n">
        <v>-0.02478258321178857</v>
      </c>
      <c r="BF83" s="141" t="n">
        <v>-0.09748976131520169</v>
      </c>
      <c r="BG83" s="141" t="n">
        <v>-0.5337454727306324</v>
      </c>
      <c r="BH83" s="141" t="n">
        <v>-0.007286015176823809</v>
      </c>
      <c r="BI83" s="141" t="n">
        <v>0.0189009834784273</v>
      </c>
      <c r="BJ83" s="141" t="n">
        <v>-0.01493971766388136</v>
      </c>
      <c r="BK83" s="141" t="n">
        <v>-0.03693231002848039</v>
      </c>
      <c r="BL83" s="141" t="n">
        <v>-0.01487711799754521</v>
      </c>
      <c r="BM83" s="141" t="n">
        <v>0.1802125462411688</v>
      </c>
      <c r="BN83" s="141" t="n">
        <v>0.3189868435854867</v>
      </c>
      <c r="BO83" s="141" t="n">
        <v>0.1722126798507795</v>
      </c>
      <c r="BP83" s="141" t="n">
        <v>0.3777936855856364</v>
      </c>
      <c r="BQ83" s="141" t="n">
        <v>-0.03212369245681538</v>
      </c>
      <c r="BR83" s="141" t="n">
        <v>-0.1012889569122639</v>
      </c>
      <c r="BS83" s="141" t="n">
        <v>0.1183920042574375</v>
      </c>
      <c r="BT83" s="141" t="n">
        <v>0.008250305647060658</v>
      </c>
      <c r="BU83" s="141" t="n">
        <v>-0.0157687253965051</v>
      </c>
      <c r="BV83" s="40" t="inlineStr"/>
      <c r="BW83" s="40" t="inlineStr"/>
      <c r="BX83" s="40" t="inlineStr"/>
      <c r="BY83" s="40" t="inlineStr"/>
      <c r="BZ83" s="40" t="inlineStr"/>
      <c r="CA83" s="40" t="n">
        <v>0.2264791415786687</v>
      </c>
      <c r="CB83" s="40" t="n">
        <v>0.1622885526855782</v>
      </c>
      <c r="CC83" s="40" t="n">
        <v>0.6577560021176156</v>
      </c>
      <c r="CD83" s="40" t="n">
        <v>0.3809191571151599</v>
      </c>
      <c r="CE83" s="40" t="n">
        <v>0.48784989072143</v>
      </c>
      <c r="CG83" s="3" t="n">
        <v>-1</v>
      </c>
    </row>
    <row r="84">
      <c r="A84" s="251" t="n">
        <v>45839</v>
      </c>
      <c r="B84" s="3" t="n">
        <v>0</v>
      </c>
      <c r="C84" s="40" t="n">
        <v>1.183230466261289</v>
      </c>
      <c r="D84" s="40" t="n">
        <v>-0.1892314556555366</v>
      </c>
      <c r="E84" s="40" t="n">
        <v>-0.153996881708758</v>
      </c>
      <c r="F84" s="40" t="n">
        <v>-0.163016367268497</v>
      </c>
      <c r="G84" s="40" t="n">
        <v>-0.1354405416236668</v>
      </c>
      <c r="H84" s="40" t="n">
        <v>-0.05547372895258439</v>
      </c>
      <c r="I84" s="40" t="n">
        <v>0.04716864855159963</v>
      </c>
      <c r="J84" s="40" t="n">
        <v>-0.02994047270472207</v>
      </c>
      <c r="K84" s="40" t="n">
        <v>-0.03700558639894608</v>
      </c>
      <c r="L84" s="40" t="n">
        <v>0.005755010542839981</v>
      </c>
      <c r="M84" s="40" t="n">
        <v>0.03826729295533159</v>
      </c>
      <c r="N84" s="40" t="n">
        <v>-0.001286882652393133</v>
      </c>
      <c r="O84" s="40" t="n">
        <v>0.1030337457778124</v>
      </c>
      <c r="P84" s="40" t="n">
        <v>0.8475317999497387</v>
      </c>
      <c r="Q84" s="40" t="n">
        <v>0.7079495935674363</v>
      </c>
      <c r="R84" s="40" t="n">
        <v>0.3966756231130195</v>
      </c>
      <c r="S84" s="40" t="n">
        <v>0.6380567864986445</v>
      </c>
      <c r="T84" s="40" t="n">
        <v>0.5814073634558151</v>
      </c>
      <c r="U84" s="40" t="n">
        <v>-2.949015998713994</v>
      </c>
      <c r="V84" s="40" t="n">
        <v>0.177191652807577</v>
      </c>
      <c r="W84" s="40" t="n">
        <v>0.07142051748411471</v>
      </c>
      <c r="X84" s="40" t="n">
        <v>0.1251891128539927</v>
      </c>
      <c r="Y84" s="40" t="n">
        <v>0.07535968101607966</v>
      </c>
      <c r="Z84" s="40" t="n">
        <v>0.1695742281604762</v>
      </c>
      <c r="AA84" s="40" t="n">
        <v>0.1810673405656486</v>
      </c>
      <c r="AB84" s="40" t="n">
        <v>0.2453353525970508</v>
      </c>
      <c r="AC84" s="40" t="n">
        <v>0.1968019866470987</v>
      </c>
      <c r="AD84" s="40" t="n">
        <v>0.2443800791428542</v>
      </c>
      <c r="AE84" s="40" t="n">
        <v>0.1789992304998314</v>
      </c>
      <c r="AF84" s="40" t="n">
        <v>0.3545148754281241</v>
      </c>
      <c r="AG84" s="40" t="n">
        <v>0.3660001439674408</v>
      </c>
      <c r="AH84" s="40" t="n">
        <v>-0.2242611484107607</v>
      </c>
      <c r="AI84" s="40" t="n">
        <v>0.04896282251807229</v>
      </c>
      <c r="AJ84" s="40" t="n">
        <v>0.1082360890772587</v>
      </c>
      <c r="AK84" s="40" t="n">
        <v>0.0585589072360925</v>
      </c>
      <c r="AL84" s="40" t="n">
        <v>0.1079043748445103</v>
      </c>
      <c r="AM84" s="40" t="n">
        <v>-0.3799105242260871</v>
      </c>
      <c r="AN84" s="40" t="n">
        <v>0.09104880006268289</v>
      </c>
      <c r="AO84" s="40" t="n">
        <v>-0.02612929949377928</v>
      </c>
      <c r="AP84" s="40" t="n">
        <v>0.1116793146584486</v>
      </c>
      <c r="AQ84" s="40" t="n">
        <v>-0.06776365431734117</v>
      </c>
      <c r="AR84" s="40" t="n">
        <v>-0.11266249636448</v>
      </c>
      <c r="AS84" s="40" t="n">
        <v>-0.2064071905957665</v>
      </c>
      <c r="AT84" s="40" t="n">
        <v>-0.2167561479757276</v>
      </c>
      <c r="AU84" s="40" t="n">
        <v>-0.2442052018052261</v>
      </c>
      <c r="AV84" s="40" t="n">
        <v>-0.2144181166431515</v>
      </c>
      <c r="AW84" s="40" t="n">
        <v>-0.00302068222560696</v>
      </c>
      <c r="AX84" s="40" t="n">
        <v>0.03453583066691381</v>
      </c>
      <c r="AY84" s="40" t="n">
        <v>0.03726189224442891</v>
      </c>
      <c r="AZ84" s="40" t="n">
        <v>-0.01778531782937953</v>
      </c>
      <c r="BA84" s="40" t="n">
        <v>0.05293293581552067</v>
      </c>
      <c r="BB84" s="40" t="n">
        <v>-0.1597564022312465</v>
      </c>
      <c r="BC84" s="40" t="n">
        <v>-0.09119106032041617</v>
      </c>
      <c r="BD84" s="40" t="n">
        <v>-0.07584213669615565</v>
      </c>
      <c r="BE84" s="40" t="n">
        <v>-0.106694131314131</v>
      </c>
      <c r="BF84" s="40" t="n">
        <v>-0.132979323529365</v>
      </c>
      <c r="BG84" s="40" t="n">
        <v>-0.5642419401481618</v>
      </c>
      <c r="BH84" s="40" t="n">
        <v>0.005004398585351975</v>
      </c>
      <c r="BI84" s="40" t="n">
        <v>-0.04221675655398294</v>
      </c>
      <c r="BJ84" s="40" t="n">
        <v>-0.05602308719949688</v>
      </c>
      <c r="BK84" s="40" t="n">
        <v>-0.03094342776809511</v>
      </c>
      <c r="BL84" s="40" t="n">
        <v>-0.08971259287733782</v>
      </c>
      <c r="BM84" s="40" t="n">
        <v>-0.04896090043479082</v>
      </c>
      <c r="BN84" s="40" t="n">
        <v>0.1013198933217698</v>
      </c>
      <c r="BO84" s="40" t="n">
        <v>-3.468366410166369e-05</v>
      </c>
      <c r="BP84" s="40" t="n">
        <v>0.2073988132311104</v>
      </c>
      <c r="BQ84" s="40" t="n">
        <v>-0.09874880602245155</v>
      </c>
      <c r="BR84" s="40" t="n">
        <v>-0.1279722046384527</v>
      </c>
      <c r="BS84" s="40" t="n">
        <v>-0.004512040560489973</v>
      </c>
      <c r="BT84" s="40" t="n">
        <v>-0.1195237367180359</v>
      </c>
      <c r="BU84" s="40" t="n">
        <v>-0.087267350419518</v>
      </c>
      <c r="BV84" s="40" t="inlineStr"/>
      <c r="BW84" s="40" t="inlineStr"/>
      <c r="BX84" s="40" t="inlineStr"/>
      <c r="BY84" s="40" t="inlineStr"/>
      <c r="BZ84" s="40" t="inlineStr"/>
      <c r="CA84" s="40" t="n">
        <v>0.2639311014933239</v>
      </c>
      <c r="CB84" s="40" t="n">
        <v>0.2159834140354513</v>
      </c>
      <c r="CC84" s="40" t="n">
        <v>0.4936840110325144</v>
      </c>
      <c r="CD84" s="40" t="n">
        <v>0.2946886104341483</v>
      </c>
      <c r="CE84" s="40" t="n">
        <v>0.4846628425239709</v>
      </c>
      <c r="CG84" s="3" t="n">
        <v>-1</v>
      </c>
    </row>
    <row r="85">
      <c r="A85" s="252" t="n">
        <v>45931</v>
      </c>
      <c r="B85" s="237" t="n">
        <v>0</v>
      </c>
      <c r="C85" s="40" t="n">
        <v>1.227809280022215</v>
      </c>
      <c r="D85" s="40" t="n">
        <v>-0.2612727038084977</v>
      </c>
      <c r="E85" s="40" t="n">
        <v>-0.03759318781670936</v>
      </c>
      <c r="F85" s="40" t="n">
        <v>-0.08034679364373455</v>
      </c>
      <c r="G85" s="40" t="n">
        <v>-0.08634277845063809</v>
      </c>
      <c r="H85" s="40" t="n">
        <v>-0.04583271837341713</v>
      </c>
      <c r="I85" s="40" t="n">
        <v>0.04690080664052762</v>
      </c>
      <c r="J85" s="40" t="n">
        <v>-0.06101096597693314</v>
      </c>
      <c r="K85" s="40" t="n">
        <v>-0.01745358094345731</v>
      </c>
      <c r="L85" s="40" t="n">
        <v>0.00876621297544466</v>
      </c>
      <c r="M85" s="40" t="n">
        <v>-0.05079401796694998</v>
      </c>
      <c r="N85" s="40" t="n">
        <v>-0.09350204181735228</v>
      </c>
      <c r="O85" s="40" t="n">
        <v>0.083376471054454</v>
      </c>
      <c r="P85" s="40" t="n">
        <v>0.7592533716190611</v>
      </c>
      <c r="Q85" s="40" t="n">
        <v>0.6540636664979987</v>
      </c>
      <c r="R85" s="40" t="n">
        <v>0.4575760299809937</v>
      </c>
      <c r="S85" s="40" t="n">
        <v>0.4891381643540565</v>
      </c>
      <c r="T85" s="40" t="n">
        <v>0.4553982094251782</v>
      </c>
      <c r="U85" s="40" t="n">
        <v>-2.967275173761859</v>
      </c>
      <c r="V85" s="40" t="n">
        <v>0.1226908748578274</v>
      </c>
      <c r="W85" s="40" t="n">
        <v>0.07070686258426187</v>
      </c>
      <c r="X85" s="40" t="n">
        <v>0.08599628048440397</v>
      </c>
      <c r="Y85" s="40" t="n">
        <v>0.05852240427590325</v>
      </c>
      <c r="Z85" s="40" t="n">
        <v>0.1615671487322067</v>
      </c>
      <c r="AA85" s="40" t="n">
        <v>0.07473056249770975</v>
      </c>
      <c r="AB85" s="40" t="n">
        <v>0.1992747690329012</v>
      </c>
      <c r="AC85" s="40" t="n">
        <v>0.137294917797976</v>
      </c>
      <c r="AD85" s="40" t="n">
        <v>0.2004879877805796</v>
      </c>
      <c r="AE85" s="40" t="n">
        <v>0.07063405690981057</v>
      </c>
      <c r="AF85" s="40" t="n">
        <v>0.3108452994136263</v>
      </c>
      <c r="AG85" s="40" t="n">
        <v>0.3514754606618255</v>
      </c>
      <c r="AH85" s="40" t="n">
        <v>-0.07254898807830074</v>
      </c>
      <c r="AI85" s="40" t="n">
        <v>0.5400289911865775</v>
      </c>
      <c r="AJ85" s="40" t="n">
        <v>-0.03221205811175043</v>
      </c>
      <c r="AK85" s="40" t="n">
        <v>0.2576454702455699</v>
      </c>
      <c r="AL85" s="40" t="n">
        <v>0.2925744852468861</v>
      </c>
      <c r="AM85" s="40" t="n">
        <v>-0.2362016930930673</v>
      </c>
      <c r="AN85" s="40" t="n">
        <v>0.2060574608192392</v>
      </c>
      <c r="AO85" s="40" t="n">
        <v>0.2186186917355366</v>
      </c>
      <c r="AP85" s="40" t="n">
        <v>0.2571361038768618</v>
      </c>
      <c r="AQ85" s="40" t="n">
        <v>0.09550289242363985</v>
      </c>
      <c r="AR85" s="40" t="n">
        <v>-0.2068222975614899</v>
      </c>
      <c r="AS85" s="40" t="n">
        <v>-0.4348558367584922</v>
      </c>
      <c r="AT85" s="40" t="n">
        <v>-0.2847912778918702</v>
      </c>
      <c r="AU85" s="40" t="n">
        <v>-0.3635961809944826</v>
      </c>
      <c r="AV85" s="40" t="n">
        <v>-0.3289154308517263</v>
      </c>
      <c r="AW85" s="40" t="n">
        <v>-0.0005752816517265533</v>
      </c>
      <c r="AX85" s="40" t="n">
        <v>-0.007372434863800771</v>
      </c>
      <c r="AY85" s="40" t="n">
        <v>-0.01778997940620958</v>
      </c>
      <c r="AZ85" s="40" t="n">
        <v>-0.02309107009752988</v>
      </c>
      <c r="BA85" s="40" t="n">
        <v>0.03879084751603765</v>
      </c>
      <c r="BB85" s="40" t="n">
        <v>-0.176401125143119</v>
      </c>
      <c r="BC85" s="40" t="n">
        <v>-0.1238649544310117</v>
      </c>
      <c r="BD85" s="40" t="n">
        <v>-0.07657523186477191</v>
      </c>
      <c r="BE85" s="40" t="n">
        <v>-0.1171630016682146</v>
      </c>
      <c r="BF85" s="40" t="n">
        <v>-0.1155829982227672</v>
      </c>
      <c r="BG85" s="40" t="n">
        <v>-0.5845173824818239</v>
      </c>
      <c r="BH85" s="40" t="n">
        <v>-0.03414586528010365</v>
      </c>
      <c r="BI85" s="40" t="n">
        <v>-0.1080870110961297</v>
      </c>
      <c r="BJ85" s="40" t="n">
        <v>-0.07315853448917378</v>
      </c>
      <c r="BK85" s="40" t="n">
        <v>-0.05334939018958786</v>
      </c>
      <c r="BL85" s="40" t="n">
        <v>-0.1073459808315638</v>
      </c>
      <c r="BM85" s="40" t="n">
        <v>-0.1055697632474941</v>
      </c>
      <c r="BN85" s="40" t="n">
        <v>0.01862913935096303</v>
      </c>
      <c r="BO85" s="40" t="n">
        <v>-0.04539779764808257</v>
      </c>
      <c r="BP85" s="40" t="n">
        <v>0.1112535523918219</v>
      </c>
      <c r="BQ85" s="40" t="n">
        <v>-0.1846460903074174</v>
      </c>
      <c r="BR85" s="40" t="n">
        <v>-0.1708428417079282</v>
      </c>
      <c r="BS85" s="40" t="n">
        <v>-0.1823429495102348</v>
      </c>
      <c r="BT85" s="40" t="n">
        <v>-0.2520082510880382</v>
      </c>
      <c r="BU85" s="40" t="n">
        <v>-0.1732484896973116</v>
      </c>
      <c r="BV85" s="40" t="inlineStr"/>
      <c r="BW85" s="40" t="inlineStr"/>
      <c r="BX85" s="40" t="inlineStr"/>
      <c r="BY85" s="40" t="inlineStr"/>
      <c r="BZ85" s="40" t="inlineStr"/>
      <c r="CA85" s="40" t="n">
        <v>0.2798504014458568</v>
      </c>
      <c r="CB85" s="40" t="n">
        <v>0.1784856934286096</v>
      </c>
      <c r="CC85" s="40" t="n">
        <v>0.2863706921854435</v>
      </c>
      <c r="CD85" s="40" t="n">
        <v>0.2137835657972624</v>
      </c>
      <c r="CE85" s="40" t="n">
        <v>0.4396173659220523</v>
      </c>
    </row>
    <row r="86">
      <c r="A86" s="252" t="n">
        <v>46023</v>
      </c>
      <c r="B86" s="237" t="n">
        <v>0</v>
      </c>
      <c r="C86" s="40" t="n">
        <v>1.34552259537807</v>
      </c>
      <c r="D86" s="40" t="n">
        <v>0.1032381490916258</v>
      </c>
      <c r="E86" s="40" t="n">
        <v>0.008260344030903552</v>
      </c>
      <c r="F86" s="40" t="n">
        <v>0.06205364083994085</v>
      </c>
      <c r="G86" s="40" t="n">
        <v>0.02561707525213411</v>
      </c>
      <c r="H86" s="40" t="n">
        <v>-0.02466802639543971</v>
      </c>
      <c r="I86" s="40" t="n">
        <v>0.01535248005698706</v>
      </c>
      <c r="J86" s="40" t="n">
        <v>-0.04499370816024785</v>
      </c>
      <c r="K86" s="40" t="n">
        <v>0.02450817591172386</v>
      </c>
      <c r="L86" s="40" t="n">
        <v>0.0196693418886758</v>
      </c>
      <c r="M86" s="40" t="n">
        <v>-0.08435300228601593</v>
      </c>
      <c r="N86" s="40" t="n">
        <v>-0.02667114975463251</v>
      </c>
      <c r="O86" s="40" t="n">
        <v>0.06708333914352899</v>
      </c>
      <c r="P86" s="40" t="n">
        <v>0.8890745897524103</v>
      </c>
      <c r="Q86" s="40" t="n">
        <v>0.4682501248792491</v>
      </c>
      <c r="R86" s="40" t="n">
        <v>0.5118926090794567</v>
      </c>
      <c r="S86" s="40" t="n">
        <v>0.5245535091915611</v>
      </c>
      <c r="T86" s="40" t="n">
        <v>0.5207501998911414</v>
      </c>
      <c r="U86" s="40" t="n">
        <v>-2.986572260647877</v>
      </c>
      <c r="V86" s="40" t="n">
        <v>0.02320264208622632</v>
      </c>
      <c r="W86" s="40" t="n">
        <v>0.06351403567694978</v>
      </c>
      <c r="X86" s="40" t="n">
        <v>0.04557315094060931</v>
      </c>
      <c r="Y86" s="40" t="n">
        <v>0.03898714019774904</v>
      </c>
      <c r="Z86" s="40" t="n">
        <v>0.1490861424646432</v>
      </c>
      <c r="AA86" s="40" t="n">
        <v>-0.01780632206529553</v>
      </c>
      <c r="AB86" s="40" t="n">
        <v>0.166227597263963</v>
      </c>
      <c r="AC86" s="40" t="n">
        <v>0.08221149694126974</v>
      </c>
      <c r="AD86" s="40" t="n">
        <v>0.154773605111876</v>
      </c>
      <c r="AE86" s="40" t="n">
        <v>0.01473773124295572</v>
      </c>
      <c r="AF86" s="40" t="n">
        <v>0.2820037620535342</v>
      </c>
      <c r="AG86" s="40" t="n">
        <v>0.3552967259186042</v>
      </c>
      <c r="AH86" s="40" t="n">
        <v>-0.1373284415451314</v>
      </c>
      <c r="AI86" s="40" t="n">
        <v>0.3360197654245238</v>
      </c>
      <c r="AJ86" s="40" t="n">
        <v>0.03855947781864316</v>
      </c>
      <c r="AK86" s="40" t="n">
        <v>0.1699929929442918</v>
      </c>
      <c r="AL86" s="40" t="n">
        <v>0.1682537842001779</v>
      </c>
      <c r="AM86" s="40" t="n">
        <v>-0.2131975841377231</v>
      </c>
      <c r="AN86" s="40" t="n">
        <v>0.2094166641590308</v>
      </c>
      <c r="AO86" s="40" t="n">
        <v>0.2987544365237293</v>
      </c>
      <c r="AP86" s="40" t="n">
        <v>0.2383243555924538</v>
      </c>
      <c r="AQ86" s="40" t="n">
        <v>0.1527197065614569</v>
      </c>
      <c r="AR86" s="40" t="n">
        <v>-0.2560184453358688</v>
      </c>
      <c r="AS86" s="40" t="n">
        <v>-0.3684559652226947</v>
      </c>
      <c r="AT86" s="40" t="n">
        <v>-0.3633364648516917</v>
      </c>
      <c r="AU86" s="40" t="n">
        <v>-0.3914319427450854</v>
      </c>
      <c r="AV86" s="40" t="n">
        <v>-0.3644232333701048</v>
      </c>
      <c r="AW86" s="40" t="n">
        <v>0.01879709090629185</v>
      </c>
      <c r="AX86" s="40" t="n">
        <v>-0.05785394100493312</v>
      </c>
      <c r="AY86" s="40" t="n">
        <v>-0.00429407132172352</v>
      </c>
      <c r="AZ86" s="40" t="n">
        <v>-0.001346652897276478</v>
      </c>
      <c r="BA86" s="40" t="n">
        <v>0.03054448254038193</v>
      </c>
      <c r="BB86" s="40" t="n">
        <v>-0.1836284049638375</v>
      </c>
      <c r="BC86" s="40" t="n">
        <v>-0.1508296554386273</v>
      </c>
      <c r="BD86" s="40" t="n">
        <v>-0.07771875650686498</v>
      </c>
      <c r="BE86" s="40" t="n">
        <v>-0.1129574024681002</v>
      </c>
      <c r="BF86" s="40" t="n">
        <v>-0.1094178894847557</v>
      </c>
      <c r="BG86" s="40" t="n">
        <v>-0.5650730347742886</v>
      </c>
      <c r="BH86" s="40" t="n">
        <v>-0.04260165017227377</v>
      </c>
      <c r="BI86" s="40" t="n">
        <v>-0.06972828246272256</v>
      </c>
      <c r="BJ86" s="40" t="n">
        <v>-0.0291206350028987</v>
      </c>
      <c r="BK86" s="40" t="n">
        <v>-0.03351443266697409</v>
      </c>
      <c r="BL86" s="40" t="n">
        <v>-0.1182826857783048</v>
      </c>
      <c r="BM86" s="40" t="n">
        <v>-0.1325766497990928</v>
      </c>
      <c r="BN86" s="40" t="n">
        <v>0.03200939159087458</v>
      </c>
      <c r="BO86" s="40" t="n">
        <v>-0.06545950698246322</v>
      </c>
      <c r="BP86" s="40" t="n">
        <v>0.0374978986354635</v>
      </c>
      <c r="BQ86" s="40" t="n">
        <v>-0.2363992907478069</v>
      </c>
      <c r="BR86" s="40" t="n">
        <v>-0.2716696722509538</v>
      </c>
      <c r="BS86" s="40" t="n">
        <v>-0.2624914095940091</v>
      </c>
      <c r="BT86" s="40" t="n">
        <v>-0.2949684669383303</v>
      </c>
      <c r="BU86" s="40" t="n">
        <v>-0.2187012904623303</v>
      </c>
      <c r="BV86" s="40" t="inlineStr"/>
      <c r="BW86" s="40" t="inlineStr"/>
      <c r="BX86" s="40" t="inlineStr"/>
      <c r="BY86" s="40" t="inlineStr"/>
      <c r="BZ86" s="40" t="inlineStr"/>
      <c r="CA86" s="40" t="n">
        <v>0.335915685897574</v>
      </c>
      <c r="CB86" s="40" t="n">
        <v>0.14794893127533</v>
      </c>
      <c r="CC86" s="40" t="n">
        <v>0.2572353972443184</v>
      </c>
      <c r="CD86" s="40" t="n">
        <v>0.2290252247016346</v>
      </c>
      <c r="CE86" s="40" t="n">
        <v>0.4248678550408483</v>
      </c>
    </row>
    <row r="87">
      <c r="A87" s="252" t="n">
        <v>46113</v>
      </c>
      <c r="B87" s="237" t="n">
        <v>0</v>
      </c>
      <c r="C87" s="143" t="n">
        <v>1.446839496768263</v>
      </c>
      <c r="D87" s="143" t="n">
        <v>0.2149292388432815</v>
      </c>
      <c r="E87" s="143" t="n">
        <v>0.1357183177767448</v>
      </c>
      <c r="F87" s="143" t="n">
        <v>0.1762660748869211</v>
      </c>
      <c r="G87" s="143" t="n">
        <v>0.1215453255579874</v>
      </c>
      <c r="H87" s="143" t="n">
        <v>-0.07205668961746051</v>
      </c>
      <c r="I87" s="143" t="n">
        <v>-0.04696930696326461</v>
      </c>
      <c r="J87" s="143" t="n">
        <v>-0.04614440162176463</v>
      </c>
      <c r="K87" s="143" t="n">
        <v>-0.03247218142231054</v>
      </c>
      <c r="L87" s="143" t="n">
        <v>-0.03915392816539098</v>
      </c>
      <c r="M87" s="143" t="n">
        <v>-0.1443666073678062</v>
      </c>
      <c r="N87" s="143" t="n">
        <v>-0.06766416590389471</v>
      </c>
      <c r="O87" s="143" t="n">
        <v>0.01373271257099159</v>
      </c>
      <c r="P87" s="143" t="n">
        <v>0.9461959257310836</v>
      </c>
      <c r="Q87" s="143" t="n">
        <v>0.1337857499654996</v>
      </c>
      <c r="R87" s="143" t="n">
        <v>0.5777308867745632</v>
      </c>
      <c r="S87" s="143" t="n">
        <v>0.4853643981008793</v>
      </c>
      <c r="T87" s="143" t="n">
        <v>0.5312666121500321</v>
      </c>
      <c r="U87" s="143" t="n">
        <v>-3.012912716523704</v>
      </c>
      <c r="V87" s="143" t="n">
        <v>-0.08831853695226131</v>
      </c>
      <c r="W87" s="143" t="n">
        <v>0.06124946276552914</v>
      </c>
      <c r="X87" s="143" t="n">
        <v>-0.002707811083241174</v>
      </c>
      <c r="Y87" s="143" t="n">
        <v>0.01056974367236601</v>
      </c>
      <c r="Z87" s="143" t="n">
        <v>0.1201742144173255</v>
      </c>
      <c r="AA87" s="143" t="n">
        <v>-0.06378864757210082</v>
      </c>
      <c r="AB87" s="143" t="n">
        <v>0.1278367884197699</v>
      </c>
      <c r="AC87" s="143" t="n">
        <v>0.01537485119978074</v>
      </c>
      <c r="AD87" s="143" t="n">
        <v>0.09663011239575381</v>
      </c>
      <c r="AE87" s="143" t="n">
        <v>0.05642892746187447</v>
      </c>
      <c r="AF87" s="143" t="n">
        <v>0.2341078573058034</v>
      </c>
      <c r="AG87" s="143" t="n">
        <v>0.3438739104978767</v>
      </c>
      <c r="AH87" s="143" t="n">
        <v>0.5209248055908049</v>
      </c>
      <c r="AI87" s="143" t="n">
        <v>0.9720925546429759</v>
      </c>
      <c r="AJ87" s="143" t="n">
        <v>0.5881022528940212</v>
      </c>
      <c r="AK87" s="143" t="n">
        <v>1.11520385150457</v>
      </c>
      <c r="AL87" s="143" t="n">
        <v>0.9861638384651422</v>
      </c>
      <c r="AM87" s="143" t="n">
        <v>-0.5991446338617303</v>
      </c>
      <c r="AN87" s="143" t="n">
        <v>-0.03756838729392737</v>
      </c>
      <c r="AO87" s="143" t="n">
        <v>-0.1681406018482769</v>
      </c>
      <c r="AP87" s="143" t="n">
        <v>-0.1955047254239797</v>
      </c>
      <c r="AQ87" s="143" t="n">
        <v>-0.16462209004025</v>
      </c>
      <c r="AR87" s="143" t="n">
        <v>-0.3977478368793192</v>
      </c>
      <c r="AS87" s="143" t="n">
        <v>-0.5296886956472757</v>
      </c>
      <c r="AT87" s="143" t="n">
        <v>-0.4621217828050581</v>
      </c>
      <c r="AU87" s="143" t="n">
        <v>-0.5636735927026992</v>
      </c>
      <c r="AV87" s="143" t="n">
        <v>-0.5228412040046564</v>
      </c>
      <c r="AW87" s="143" t="n">
        <v>-0.03201142448084161</v>
      </c>
      <c r="AX87" s="143" t="n">
        <v>-0.0908525421678803</v>
      </c>
      <c r="AY87" s="143" t="n">
        <v>-0.02799167021433751</v>
      </c>
      <c r="AZ87" s="143" t="n">
        <v>-0.04799366937261396</v>
      </c>
      <c r="BA87" s="143" t="n">
        <v>-0.02365725671680092</v>
      </c>
      <c r="BB87" s="143" t="n">
        <v>-0.1986662220982363</v>
      </c>
      <c r="BC87" s="143" t="n">
        <v>-0.1370891548905698</v>
      </c>
      <c r="BD87" s="143" t="n">
        <v>-0.1102771901199044</v>
      </c>
      <c r="BE87" s="143" t="n">
        <v>-0.1205711478438548</v>
      </c>
      <c r="BF87" s="143" t="n">
        <v>-0.1168914240887142</v>
      </c>
      <c r="BG87" s="143" t="n">
        <v>-0.5286873578192848</v>
      </c>
      <c r="BH87" s="143" t="n">
        <v>0.005025619091174247</v>
      </c>
      <c r="BI87" s="143" t="n">
        <v>-0.001885641483844915</v>
      </c>
      <c r="BJ87" s="143" t="n">
        <v>0.02866191169988047</v>
      </c>
      <c r="BK87" s="143" t="n">
        <v>0.007565120480612854</v>
      </c>
      <c r="BL87" s="143" t="n">
        <v>-0.1085035452887331</v>
      </c>
      <c r="BM87" s="143" t="n">
        <v>-0.1128914966142867</v>
      </c>
      <c r="BN87" s="143" t="n">
        <v>0.05821693831957026</v>
      </c>
      <c r="BO87" s="143" t="n">
        <v>-0.05640835927416091</v>
      </c>
      <c r="BP87" s="143" t="n">
        <v>0.006054545642169662</v>
      </c>
      <c r="BQ87" s="143" t="n">
        <v>-0.3660970500908524</v>
      </c>
      <c r="BR87" s="143" t="n">
        <v>-0.4936094154264596</v>
      </c>
      <c r="BS87" s="143" t="n">
        <v>-0.3807852073441313</v>
      </c>
      <c r="BT87" s="143" t="n">
        <v>-0.4425396904153128</v>
      </c>
      <c r="BU87" s="143" t="n">
        <v>-0.3657345460690508</v>
      </c>
      <c r="BV87" s="143" t="inlineStr"/>
      <c r="BW87" s="143" t="inlineStr"/>
      <c r="BX87" s="143" t="inlineStr"/>
      <c r="BY87" s="143" t="inlineStr"/>
      <c r="BZ87" s="143" t="inlineStr"/>
      <c r="CA87" s="143" t="n">
        <v>0.4573585179552297</v>
      </c>
      <c r="CB87" s="143" t="n">
        <v>0.2782472401812594</v>
      </c>
      <c r="CC87" s="143" t="n">
        <v>0.2934875516280308</v>
      </c>
      <c r="CD87" s="143" t="n">
        <v>0.33708312718966</v>
      </c>
      <c r="CE87" s="143" t="n">
        <v>0.4689892525886574</v>
      </c>
    </row>
  </sheetData>
  <mergeCells count="23">
    <mergeCell ref="AE2:AG2"/>
    <mergeCell ref="C1:T1"/>
    <mergeCell ref="AM2:AQ2"/>
    <mergeCell ref="AW2:BA2"/>
    <mergeCell ref="AH1:AV1"/>
    <mergeCell ref="U1:AG1"/>
    <mergeCell ref="U2:Y2"/>
    <mergeCell ref="AW1:BK1"/>
    <mergeCell ref="P2:T2"/>
    <mergeCell ref="CA2:CE2"/>
    <mergeCell ref="H2:L2"/>
    <mergeCell ref="BV1:CE1"/>
    <mergeCell ref="BL1:BU1"/>
    <mergeCell ref="C2:G2"/>
    <mergeCell ref="Z2:AD2"/>
    <mergeCell ref="BV2:BZ2"/>
    <mergeCell ref="BG2:BK2"/>
    <mergeCell ref="BQ2:BU2"/>
    <mergeCell ref="AH2:AL2"/>
    <mergeCell ref="AR2:AV2"/>
    <mergeCell ref="BB2:BF2"/>
    <mergeCell ref="BL2:BP2"/>
    <mergeCell ref="M2:O2"/>
  </mergeCells>
  <conditionalFormatting sqref="C6:CE84">
    <cfRule type="cellIs" priority="3" operator="greaterThan" dxfId="0">
      <formula>0</formula>
    </cfRule>
  </conditionalFormatting>
  <conditionalFormatting sqref="C85:CE86">
    <cfRule type="cellIs" priority="2" operator="greaterThan" dxfId="0">
      <formula>0</formula>
    </cfRule>
  </conditionalFormatting>
  <conditionalFormatting sqref="C87:CE87">
    <cfRule type="cellIs" priority="1" operator="greaterThan" dxfId="0">
      <formula>0</formula>
    </cfRule>
  </conditionalFormatting>
  <pageMargins left="0.7" right="0.7" top="0.75" bottom="0.75" header="0.3" footer="0.3"/>
  <pageSetup orientation="portrait" paperSize="9" verticalDpi="120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CF86"/>
  <sheetViews>
    <sheetView zoomScale="90" zoomScaleNormal="90" workbookViewId="0">
      <pane xSplit="2" ySplit="9" topLeftCell="BE64" activePane="bottomRight" state="frozen"/>
      <selection pane="topRight" activeCell="C1" sqref="C1"/>
      <selection pane="bottomLeft" activeCell="A7" sqref="A7"/>
      <selection pane="bottomRight" activeCell="A1" sqref="A1:A1048576"/>
    </sheetView>
  </sheetViews>
  <sheetFormatPr baseColWidth="8" defaultRowHeight="15"/>
  <cols>
    <col width="11" bestFit="1" customWidth="1" style="162" min="1" max="1"/>
    <col width="12.5703125" customWidth="1" style="214" min="2" max="2"/>
    <col width="9" customWidth="1" style="239" min="3" max="3"/>
    <col width="8.5703125" customWidth="1" style="32" min="4" max="4"/>
    <col width="9.42578125" customWidth="1" style="214" min="5" max="5"/>
    <col width="8.5703125" customWidth="1" style="214" min="6" max="6"/>
    <col width="8.28515625" customWidth="1" style="214" min="7" max="15"/>
    <col width="9.28515625" customWidth="1" style="214" min="16" max="16"/>
    <col width="8.5703125" customWidth="1" style="214" min="17" max="17"/>
    <col width="9.28515625" customWidth="1" style="214" min="18" max="18"/>
    <col width="8.5703125" customWidth="1" style="214" min="19" max="19"/>
    <col width="9.42578125" customWidth="1" style="190" min="20" max="20"/>
    <col width="10.5703125" customWidth="1" style="239" min="21" max="21"/>
    <col width="10.5703125" customWidth="1" style="214" min="22" max="67"/>
    <col width="10.5703125" customWidth="1" style="190" min="68" max="68"/>
  </cols>
  <sheetData>
    <row r="1">
      <c r="A1" s="168" t="n"/>
      <c r="B1" s="204" t="inlineStr">
        <is>
          <t>Binary</t>
        </is>
      </c>
      <c r="C1" s="215" t="inlineStr">
        <is>
          <t>Corporate</t>
        </is>
      </c>
      <c r="D1" s="204" t="n"/>
      <c r="E1" s="204" t="n"/>
      <c r="F1" s="204" t="n"/>
      <c r="G1" s="204" t="n"/>
      <c r="H1" s="204" t="n"/>
      <c r="I1" s="204" t="n"/>
      <c r="J1" s="204" t="n"/>
      <c r="K1" s="204" t="n"/>
      <c r="L1" s="204" t="n"/>
      <c r="M1" s="204" t="n"/>
      <c r="N1" s="204" t="n"/>
      <c r="O1" s="204" t="n"/>
      <c r="P1" s="204" t="n"/>
      <c r="Q1" s="204" t="n"/>
      <c r="R1" s="204" t="n"/>
      <c r="S1" s="204" t="n"/>
      <c r="T1" s="204" t="n"/>
      <c r="U1" s="215" t="inlineStr">
        <is>
          <t>Households</t>
        </is>
      </c>
      <c r="V1" s="204" t="n"/>
      <c r="W1" s="204" t="n"/>
      <c r="X1" s="204" t="n"/>
      <c r="Y1" s="204" t="n"/>
      <c r="Z1" s="204" t="n"/>
      <c r="AA1" s="204" t="n"/>
      <c r="AB1" s="204" t="n"/>
      <c r="AC1" s="204" t="n"/>
      <c r="AD1" s="204" t="n"/>
      <c r="AE1" s="204" t="n"/>
      <c r="AF1" s="204" t="n"/>
      <c r="AG1" s="204" t="n"/>
      <c r="AH1" s="203" t="inlineStr">
        <is>
          <t>Government</t>
        </is>
      </c>
      <c r="AI1" s="204" t="n"/>
      <c r="AJ1" s="204" t="n"/>
      <c r="AK1" s="204" t="n"/>
      <c r="AL1" s="204" t="n"/>
      <c r="AM1" s="204" t="n"/>
      <c r="AN1" s="204" t="n"/>
      <c r="AO1" s="204" t="n"/>
      <c r="AP1" s="204" t="n"/>
      <c r="AQ1" s="204" t="n"/>
      <c r="AR1" s="204" t="n"/>
      <c r="AS1" s="204" t="n"/>
      <c r="AT1" s="204" t="n"/>
      <c r="AU1" s="204" t="n"/>
      <c r="AV1" s="205" t="n"/>
      <c r="AW1" s="207" t="inlineStr">
        <is>
          <t>Banking</t>
        </is>
      </c>
      <c r="AX1" s="204" t="n"/>
      <c r="AY1" s="204" t="n"/>
      <c r="AZ1" s="204" t="n"/>
      <c r="BA1" s="204" t="n"/>
      <c r="BB1" s="204" t="n"/>
      <c r="BC1" s="204" t="n"/>
      <c r="BD1" s="204" t="n"/>
      <c r="BE1" s="204" t="n"/>
      <c r="BF1" s="204" t="n"/>
      <c r="BG1" s="204" t="n"/>
      <c r="BH1" s="204" t="n"/>
      <c r="BI1" s="204" t="n"/>
      <c r="BJ1" s="204" t="n"/>
      <c r="BK1" s="204" t="n"/>
      <c r="BL1" s="231" t="inlineStr">
        <is>
          <t>External</t>
        </is>
      </c>
      <c r="BV1" s="231" t="inlineStr">
        <is>
          <t>Недвижимость</t>
        </is>
      </c>
    </row>
    <row r="2">
      <c r="B2" s="4" t="inlineStr">
        <is>
          <t>Binary</t>
        </is>
      </c>
      <c r="C2" s="209" t="inlineStr">
        <is>
          <t>Debt service ratio, %</t>
        </is>
      </c>
      <c r="D2" s="182" t="n"/>
      <c r="E2" s="182" t="n"/>
      <c r="F2" s="182" t="n"/>
      <c r="G2" s="183" t="n"/>
      <c r="H2" s="230" t="inlineStr">
        <is>
          <t xml:space="preserve">All Debt to GDP ratio, % </t>
        </is>
      </c>
      <c r="I2" s="182" t="n"/>
      <c r="J2" s="182" t="n"/>
      <c r="K2" s="182" t="n"/>
      <c r="L2" s="182" t="n"/>
      <c r="M2" s="233" t="inlineStr">
        <is>
          <t>Прирост реального кредита банков ЮЛ (дефлятор ВВП 2018=1)</t>
        </is>
      </c>
      <c r="N2" s="182" t="n"/>
      <c r="O2" s="183" t="n"/>
      <c r="P2" s="209" t="inlineStr">
        <is>
          <t>Складские запасы в промышленности к среднемесячному ОПП, %</t>
        </is>
      </c>
      <c r="Q2" s="182" t="n"/>
      <c r="R2" s="182" t="n"/>
      <c r="S2" s="182" t="n"/>
      <c r="T2" s="183" t="n"/>
      <c r="U2" s="209" t="inlineStr">
        <is>
          <t>Debt_service ratio_annual</t>
        </is>
      </c>
      <c r="V2" s="182" t="n"/>
      <c r="W2" s="182" t="n"/>
      <c r="X2" s="182" t="n"/>
      <c r="Y2" s="183" t="n"/>
      <c r="Z2" s="230" t="inlineStr">
        <is>
          <t>Кредит ФЛ к ВВП</t>
        </is>
      </c>
      <c r="AA2" s="182" t="n"/>
      <c r="AB2" s="182" t="n"/>
      <c r="AC2" s="182" t="n"/>
      <c r="AD2" s="182" t="n"/>
      <c r="AE2" s="233" t="inlineStr">
        <is>
          <t>Прирост реального кредита банков ФЛ (ИПЦ 2018=1)</t>
        </is>
      </c>
      <c r="AF2" s="182" t="n"/>
      <c r="AG2" s="183" t="n"/>
      <c r="AH2" s="209" t="inlineStr">
        <is>
          <t>Обслуживание внешнего долга органов государственного управления к ВВП, %</t>
        </is>
      </c>
      <c r="AI2" s="182" t="n"/>
      <c r="AJ2" s="182" t="n"/>
      <c r="AK2" s="182" t="n"/>
      <c r="AL2" s="183" t="n"/>
      <c r="AM2" s="209" t="inlineStr">
        <is>
          <t>Отношение сальдо консолидированного бюджета к ВВП, %</t>
        </is>
      </c>
      <c r="AN2" s="182" t="n"/>
      <c r="AO2" s="182" t="n"/>
      <c r="AP2" s="182" t="n"/>
      <c r="AQ2" s="183" t="n"/>
      <c r="AR2" s="209" t="inlineStr">
        <is>
          <t>Долг сектора государственного управления к ВВП, % (внешний + внутренний)</t>
        </is>
      </c>
      <c r="AS2" s="182" t="n"/>
      <c r="AT2" s="182" t="n"/>
      <c r="AU2" s="182" t="n"/>
      <c r="AV2" s="183" t="n"/>
      <c r="AW2" s="230" t="inlineStr">
        <is>
          <t xml:space="preserve">Требования банков к экономике к ВВП, % </t>
        </is>
      </c>
      <c r="AX2" s="182" t="n"/>
      <c r="AY2" s="182" t="n"/>
      <c r="AZ2" s="182" t="n"/>
      <c r="BA2" s="182" t="n"/>
      <c r="BB2" s="230" t="inlineStr">
        <is>
          <t xml:space="preserve">Требования банков к депозитам, % </t>
        </is>
      </c>
      <c r="BC2" s="182" t="n"/>
      <c r="BD2" s="182" t="n"/>
      <c r="BE2" s="182" t="n"/>
      <c r="BF2" s="182" t="n"/>
      <c r="BG2" s="227" t="inlineStr">
        <is>
          <t>Леверидж (активы к собственному капиталу), раз</t>
        </is>
      </c>
      <c r="BH2" s="182" t="n"/>
      <c r="BI2" s="182" t="n"/>
      <c r="BJ2" s="182" t="n"/>
      <c r="BK2" s="183" t="n"/>
      <c r="BL2" s="227" t="inlineStr">
        <is>
          <t>Счет текущих операций за год, в % к ВВП</t>
        </is>
      </c>
      <c r="BM2" s="182" t="n"/>
      <c r="BN2" s="182" t="n"/>
      <c r="BO2" s="182" t="n"/>
      <c r="BP2" s="183" t="n"/>
      <c r="BQ2" s="227" t="inlineStr">
        <is>
          <t>Валовый внешний долг к ВВП</t>
        </is>
      </c>
      <c r="BR2" s="182" t="n"/>
      <c r="BS2" s="182" t="n"/>
      <c r="BT2" s="182" t="n"/>
      <c r="BU2" s="183" t="n"/>
      <c r="BV2" s="235" t="inlineStr">
        <is>
          <t>Логарифм цен на коммерческую недвижимость, скорректированных на дефлятор ВВП, *100</t>
        </is>
      </c>
      <c r="BW2" s="182" t="n"/>
      <c r="BX2" s="182" t="n"/>
      <c r="BY2" s="182" t="n"/>
      <c r="BZ2" s="183" t="n"/>
      <c r="CA2" s="234" t="inlineStr">
        <is>
          <t>Логарифм цен на жилую недвижимость, скорректированных на ИПЦ</t>
        </is>
      </c>
      <c r="CB2" s="182" t="n"/>
      <c r="CC2" s="182" t="n"/>
      <c r="CD2" s="182" t="n"/>
      <c r="CE2" s="183" t="n"/>
    </row>
    <row r="3" ht="15.6" customHeight="1" s="214">
      <c r="A3" s="164" t="n"/>
      <c r="B3" s="86" t="n"/>
      <c r="C3" s="114" t="n">
        <v>0.03581129673057128</v>
      </c>
      <c r="D3" s="114" t="n">
        <v>0.05724790808168369</v>
      </c>
      <c r="E3" s="114" t="n">
        <v>0.04211340364629605</v>
      </c>
      <c r="F3" s="114" t="n">
        <v>0.05497173469208938</v>
      </c>
      <c r="G3" s="114" t="n">
        <v>0.03329897032497827</v>
      </c>
      <c r="H3" s="114" t="n">
        <v>0.05355817580000707</v>
      </c>
      <c r="I3" s="114" t="n">
        <v>0.04518510010675528</v>
      </c>
      <c r="J3" s="114" t="n">
        <v>0.03832024362795119</v>
      </c>
      <c r="K3" s="114" t="n">
        <v>0.05094338270539394</v>
      </c>
      <c r="L3" s="114" t="n">
        <v>0.04188100804083758</v>
      </c>
      <c r="M3" s="115" t="n">
        <v>0.1026696193545385</v>
      </c>
      <c r="N3" s="115" t="n">
        <v>0.08221649793860734</v>
      </c>
      <c r="O3" s="115" t="n">
        <v>0.05951902892213353</v>
      </c>
      <c r="P3" s="114" t="n">
        <v>0.04929786636137014</v>
      </c>
      <c r="Q3" s="116" t="n">
        <v>0.06390464157955389</v>
      </c>
      <c r="R3" s="116" t="n">
        <v>0.0503491115475273</v>
      </c>
      <c r="S3" s="116" t="n">
        <v>0.06816495101819083</v>
      </c>
      <c r="T3" s="116" t="n">
        <v>0.07054705952151469</v>
      </c>
      <c r="U3" s="114" t="n">
        <v>0.05269934774161941</v>
      </c>
      <c r="V3" s="114" t="n">
        <v>0.1074057730606345</v>
      </c>
      <c r="W3" s="114" t="n">
        <v>0.06471644038570394</v>
      </c>
      <c r="X3" s="114" t="n">
        <v>0.06541987995511377</v>
      </c>
      <c r="Y3" s="114" t="n">
        <v>0.07218745374357384</v>
      </c>
      <c r="Z3" s="114" t="n">
        <v>0.06067930894387362</v>
      </c>
      <c r="AA3" s="116" t="n">
        <v>0.1042629336784626</v>
      </c>
      <c r="AB3" s="116" t="n">
        <v>0.03376509933167165</v>
      </c>
      <c r="AC3" s="116" t="n">
        <v>0.07315771521862184</v>
      </c>
      <c r="AD3" s="116" t="n">
        <v>0.04569007488928582</v>
      </c>
      <c r="AE3" s="115" t="n">
        <v>0.1241766239888734</v>
      </c>
      <c r="AF3" s="115" t="n">
        <v>0.09755596133657314</v>
      </c>
      <c r="AG3" s="115" t="n">
        <v>0.09828338772599249</v>
      </c>
      <c r="AH3" s="114" t="n">
        <v>0.05652221395243073</v>
      </c>
      <c r="AI3" s="114" t="n">
        <v>0.04996916977232078</v>
      </c>
      <c r="AJ3" s="114" t="n">
        <v>0.05240669024901935</v>
      </c>
      <c r="AK3" s="114" t="n">
        <v>0.0377815673888279</v>
      </c>
      <c r="AL3" s="114" t="n">
        <v>0.02645636260089212</v>
      </c>
      <c r="AM3" s="114" t="n">
        <v>0.07697433084311288</v>
      </c>
      <c r="AN3" s="116" t="n">
        <v>0.09447966692780954</v>
      </c>
      <c r="AO3" s="116" t="n">
        <v>0.1167878663371208</v>
      </c>
      <c r="AP3" s="116" t="n">
        <v>0.1036128107110081</v>
      </c>
      <c r="AQ3" s="116" t="n">
        <v>0.1121259419281344</v>
      </c>
      <c r="AR3" s="114" t="n">
        <v>0.05091709440214799</v>
      </c>
      <c r="AS3" s="116" t="n">
        <v>0.04008367006126544</v>
      </c>
      <c r="AT3" s="116" t="n">
        <v>0.06355608946651098</v>
      </c>
      <c r="AU3" s="116" t="n">
        <v>0.04869882179901489</v>
      </c>
      <c r="AV3" s="116" t="n">
        <v>0.06962770356038413</v>
      </c>
      <c r="AW3" s="114" t="n">
        <v>0.07695144708853184</v>
      </c>
      <c r="AX3" s="116" t="n">
        <v>0.07305517128658089</v>
      </c>
      <c r="AY3" s="116" t="n">
        <v>0.05988720214109838</v>
      </c>
      <c r="AZ3" s="116" t="n">
        <v>0.06277333236476577</v>
      </c>
      <c r="BA3" s="116" t="n">
        <v>0.05329388740599616</v>
      </c>
      <c r="BB3" s="114" t="n">
        <v>0.06545743347277645</v>
      </c>
      <c r="BC3" s="114" t="n">
        <v>0.09411426761050605</v>
      </c>
      <c r="BD3" s="114" t="n">
        <v>0.04512231167700582</v>
      </c>
      <c r="BE3" s="116" t="n">
        <v>0.07022019449038519</v>
      </c>
      <c r="BF3" s="116" t="n">
        <v>0.05113861990060661</v>
      </c>
      <c r="BG3" s="117" t="n">
        <v>0.06136634388072792</v>
      </c>
      <c r="BH3" s="118" t="n">
        <v>0.07102586097306472</v>
      </c>
      <c r="BI3" s="118" t="n">
        <v>0.06515438979929139</v>
      </c>
      <c r="BJ3" s="118" t="n">
        <v>0.07576091837126905</v>
      </c>
      <c r="BK3" s="118" t="n">
        <v>0.07467861953739378</v>
      </c>
      <c r="BL3" s="117" t="n">
        <v>0.1021440174728873</v>
      </c>
      <c r="BM3" s="118" t="n">
        <v>0.1595537466964546</v>
      </c>
      <c r="BN3" s="118" t="n">
        <v>0.09597760429954079</v>
      </c>
      <c r="BO3" s="118" t="n">
        <v>0.128199750559594</v>
      </c>
      <c r="BP3" s="118" t="n">
        <v>0.09431160485611609</v>
      </c>
      <c r="BQ3" s="117" t="n">
        <v>0.08898146067009563</v>
      </c>
      <c r="BR3" s="117" t="n">
        <v>0.101847579611233</v>
      </c>
      <c r="BS3" s="117" t="n">
        <v>0.07579810251835993</v>
      </c>
      <c r="BT3" s="117" t="n">
        <v>0.07797561298742364</v>
      </c>
      <c r="BU3" s="117" t="n">
        <v>0.07521052032829512</v>
      </c>
      <c r="BV3" s="119" t="n">
        <v>0.1024234092990846</v>
      </c>
      <c r="BW3" s="119" t="n">
        <v>0.1260444073993549</v>
      </c>
      <c r="BX3" s="119" t="n">
        <v>0.08357265381848272</v>
      </c>
      <c r="BY3" s="119" t="n">
        <v>0.1204960045235484</v>
      </c>
      <c r="BZ3" s="119" t="n">
        <v>0.1077342527442223</v>
      </c>
      <c r="CA3" s="120" t="n">
        <v>0.06387696493921402</v>
      </c>
      <c r="CB3" s="120" t="n">
        <v>0.1007836557929821</v>
      </c>
      <c r="CC3" s="120" t="n">
        <v>0.09807410104927838</v>
      </c>
      <c r="CD3" s="120" t="n">
        <v>0.1344391778726713</v>
      </c>
      <c r="CE3" s="120" t="n">
        <v>0.06255537256116132</v>
      </c>
    </row>
    <row r="4">
      <c r="A4" s="163" t="inlineStr">
        <is>
          <t>Date</t>
        </is>
      </c>
      <c r="B4" s="122" t="inlineStr">
        <is>
          <t>bnr</t>
        </is>
      </c>
      <c r="C4" s="125" t="inlineStr">
        <is>
          <t>dsr</t>
        </is>
      </c>
      <c r="D4" s="122" t="inlineStr">
        <is>
          <t>dsr1</t>
        </is>
      </c>
      <c r="E4" s="122" t="inlineStr">
        <is>
          <t>dsr2</t>
        </is>
      </c>
      <c r="F4" s="122" t="inlineStr">
        <is>
          <t>dsr_av2</t>
        </is>
      </c>
      <c r="G4" s="122" t="inlineStr">
        <is>
          <t>dsr_av3</t>
        </is>
      </c>
      <c r="H4" s="125" t="inlineStr">
        <is>
          <t>ggr</t>
        </is>
      </c>
      <c r="I4" s="122" t="inlineStr">
        <is>
          <t>ggr1</t>
        </is>
      </c>
      <c r="J4" s="122" t="inlineStr">
        <is>
          <t>ggr2</t>
        </is>
      </c>
      <c r="K4" s="122" t="inlineStr">
        <is>
          <t>ggr_av2</t>
        </is>
      </c>
      <c r="L4" s="122" t="inlineStr">
        <is>
          <t>ggr_av3</t>
        </is>
      </c>
      <c r="M4" s="122" t="inlineStr">
        <is>
          <t>rcgr_c1</t>
        </is>
      </c>
      <c r="N4" s="122" t="inlineStr">
        <is>
          <t>rcgr_c2</t>
        </is>
      </c>
      <c r="O4" s="122" t="inlineStr">
        <is>
          <t>rcgr_c3</t>
        </is>
      </c>
      <c r="P4" s="125" t="inlineStr">
        <is>
          <t>invr</t>
        </is>
      </c>
      <c r="Q4" s="122" t="inlineStr">
        <is>
          <t>invr1</t>
        </is>
      </c>
      <c r="R4" s="122" t="inlineStr">
        <is>
          <t>invr2</t>
        </is>
      </c>
      <c r="S4" s="122" t="inlineStr">
        <is>
          <t>invr_av2</t>
        </is>
      </c>
      <c r="T4" s="122" t="inlineStr">
        <is>
          <t>invr_av3</t>
        </is>
      </c>
      <c r="U4" s="125" t="inlineStr">
        <is>
          <t>d_srv</t>
        </is>
      </c>
      <c r="V4" s="122" t="inlineStr">
        <is>
          <t>d_srv1</t>
        </is>
      </c>
      <c r="W4" s="122" t="inlineStr">
        <is>
          <t>d_srv2</t>
        </is>
      </c>
      <c r="X4" s="122" t="inlineStr">
        <is>
          <t>d_srv_av2</t>
        </is>
      </c>
      <c r="Y4" s="122" t="inlineStr">
        <is>
          <t>d_srv_av3</t>
        </is>
      </c>
      <c r="Z4" s="125" t="inlineStr">
        <is>
          <t>l_gdp</t>
        </is>
      </c>
      <c r="AA4" s="122" t="inlineStr">
        <is>
          <t>l_gdp1</t>
        </is>
      </c>
      <c r="AB4" s="122" t="inlineStr">
        <is>
          <t>l_gdp2</t>
        </is>
      </c>
      <c r="AC4" s="122" t="inlineStr">
        <is>
          <t>l_gdp_av2</t>
        </is>
      </c>
      <c r="AD4" s="122" t="inlineStr">
        <is>
          <t>l_gdp_av3</t>
        </is>
      </c>
      <c r="AE4" s="122" t="inlineStr">
        <is>
          <t>rcgr_h1</t>
        </is>
      </c>
      <c r="AF4" s="122" t="inlineStr">
        <is>
          <t>rcgr_h2</t>
        </is>
      </c>
      <c r="AG4" s="122" t="inlineStr">
        <is>
          <t>rcgr_h3</t>
        </is>
      </c>
      <c r="AH4" s="125" t="inlineStr">
        <is>
          <t>exd_s</t>
        </is>
      </c>
      <c r="AI4" s="122" t="inlineStr">
        <is>
          <t>exd_s1</t>
        </is>
      </c>
      <c r="AJ4" s="122" t="inlineStr">
        <is>
          <t>exd_s2</t>
        </is>
      </c>
      <c r="AK4" s="122" t="inlineStr">
        <is>
          <t>exd_s_av2</t>
        </is>
      </c>
      <c r="AL4" s="122" t="inlineStr">
        <is>
          <t>exd_s_av3</t>
        </is>
      </c>
      <c r="AM4" s="125" t="inlineStr">
        <is>
          <t>bb_gdp</t>
        </is>
      </c>
      <c r="AN4" s="122" t="inlineStr">
        <is>
          <t>bb_gdp1</t>
        </is>
      </c>
      <c r="AO4" s="122" t="inlineStr">
        <is>
          <t>bb_gdp2</t>
        </is>
      </c>
      <c r="AP4" s="122" t="inlineStr">
        <is>
          <t>bb_gdp_av2</t>
        </is>
      </c>
      <c r="AQ4" s="122" t="inlineStr">
        <is>
          <t>bb_gdp_av3</t>
        </is>
      </c>
      <c r="AR4" s="125" t="inlineStr">
        <is>
          <t>ggd</t>
        </is>
      </c>
      <c r="AS4" s="122" t="inlineStr">
        <is>
          <t>ggd1</t>
        </is>
      </c>
      <c r="AT4" s="122" t="inlineStr">
        <is>
          <t>ggd2</t>
        </is>
      </c>
      <c r="AU4" s="122" t="inlineStr">
        <is>
          <t>ggd_av2</t>
        </is>
      </c>
      <c r="AV4" s="122" t="inlineStr">
        <is>
          <t>ggd_av3</t>
        </is>
      </c>
      <c r="AW4" s="125" t="inlineStr">
        <is>
          <t>crr</t>
        </is>
      </c>
      <c r="AX4" s="122" t="inlineStr">
        <is>
          <t>crr1</t>
        </is>
      </c>
      <c r="AY4" s="122" t="inlineStr">
        <is>
          <t>crr2</t>
        </is>
      </c>
      <c r="AZ4" s="122" t="inlineStr">
        <is>
          <t>crr_av2</t>
        </is>
      </c>
      <c r="BA4" s="122" t="inlineStr">
        <is>
          <t>crr_av3</t>
        </is>
      </c>
      <c r="BB4" s="125" t="inlineStr">
        <is>
          <t>d_as</t>
        </is>
      </c>
      <c r="BC4" s="125" t="inlineStr">
        <is>
          <t>d_as1</t>
        </is>
      </c>
      <c r="BD4" s="125" t="inlineStr">
        <is>
          <t>d_as2</t>
        </is>
      </c>
      <c r="BE4" s="122" t="inlineStr">
        <is>
          <t>d_as_av2</t>
        </is>
      </c>
      <c r="BF4" s="122" t="inlineStr">
        <is>
          <t>d_as_av3</t>
        </is>
      </c>
      <c r="BG4" s="125" t="inlineStr">
        <is>
          <t>lvr</t>
        </is>
      </c>
      <c r="BH4" s="122" t="inlineStr">
        <is>
          <t>lvr1</t>
        </is>
      </c>
      <c r="BI4" s="122" t="inlineStr">
        <is>
          <t>lvr2</t>
        </is>
      </c>
      <c r="BJ4" s="122" t="inlineStr">
        <is>
          <t>lvr_av2</t>
        </is>
      </c>
      <c r="BK4" s="122" t="inlineStr">
        <is>
          <t>lvr_av3</t>
        </is>
      </c>
      <c r="BL4" s="125" t="inlineStr">
        <is>
          <t>ca</t>
        </is>
      </c>
      <c r="BM4" s="122" t="inlineStr">
        <is>
          <t>ca1</t>
        </is>
      </c>
      <c r="BN4" s="122" t="inlineStr">
        <is>
          <t>ca2</t>
        </is>
      </c>
      <c r="BO4" s="122" t="inlineStr">
        <is>
          <t>ca_av2</t>
        </is>
      </c>
      <c r="BP4" s="122" t="inlineStr">
        <is>
          <t>ca_av3</t>
        </is>
      </c>
      <c r="BQ4" s="125" t="inlineStr">
        <is>
          <t>gd_gdp</t>
        </is>
      </c>
      <c r="BR4" s="125" t="inlineStr">
        <is>
          <t>gd_gdp1</t>
        </is>
      </c>
      <c r="BS4" s="125" t="inlineStr">
        <is>
          <t>gd_gdp2</t>
        </is>
      </c>
      <c r="BT4" s="125" t="inlineStr">
        <is>
          <t>gd_gdp_av2</t>
        </is>
      </c>
      <c r="BU4" s="125" t="inlineStr">
        <is>
          <t>gd_gdp_av3</t>
        </is>
      </c>
      <c r="BV4" s="122" t="inlineStr">
        <is>
          <t>cest</t>
        </is>
      </c>
      <c r="BW4" s="122" t="inlineStr">
        <is>
          <t>cest1</t>
        </is>
      </c>
      <c r="BX4" s="122" t="inlineStr">
        <is>
          <t>cest2</t>
        </is>
      </c>
      <c r="BY4" s="122" t="inlineStr">
        <is>
          <t>cest_av2</t>
        </is>
      </c>
      <c r="BZ4" s="122" t="inlineStr">
        <is>
          <t>cest_av3</t>
        </is>
      </c>
      <c r="CA4" s="122" t="inlineStr">
        <is>
          <t>pest</t>
        </is>
      </c>
      <c r="CB4" s="122" t="inlineStr">
        <is>
          <t>pest1</t>
        </is>
      </c>
      <c r="CC4" s="122" t="inlineStr">
        <is>
          <t>pest2</t>
        </is>
      </c>
      <c r="CD4" s="122" t="inlineStr">
        <is>
          <t>pest_av2</t>
        </is>
      </c>
      <c r="CE4" s="122" t="inlineStr">
        <is>
          <t>pest_av3</t>
        </is>
      </c>
    </row>
    <row r="5">
      <c r="A5" s="252" t="n">
        <v>38718</v>
      </c>
      <c r="B5" s="3" t="n">
        <v>0</v>
      </c>
      <c r="C5" s="143" t="n">
        <v>-0.03581129673057128</v>
      </c>
      <c r="D5" s="143" t="n">
        <v>-0.05724790808168369</v>
      </c>
      <c r="E5" s="143" t="n">
        <v>-0.04211340364629605</v>
      </c>
      <c r="F5" s="143" t="n">
        <v>-0.05497173469208938</v>
      </c>
      <c r="G5" s="143" t="n">
        <v>-0.03329897032497827</v>
      </c>
      <c r="H5" s="143" t="n">
        <v>-0.01492393641812144</v>
      </c>
      <c r="I5" s="143" t="n">
        <v>-0.009666872661481139</v>
      </c>
      <c r="J5" s="143" t="n">
        <v>-0.03832024362795119</v>
      </c>
      <c r="K5" s="143" t="n">
        <v>-0.05094338270539394</v>
      </c>
      <c r="L5" s="143" t="n">
        <v>-0.04188100804083758</v>
      </c>
      <c r="M5" s="143" t="n">
        <v>-0.01402574023694222</v>
      </c>
      <c r="N5" s="143" t="n">
        <v>-0.02341169005248054</v>
      </c>
      <c r="O5" s="143" t="n">
        <v>-0.01357925505669676</v>
      </c>
      <c r="P5" s="143" t="n">
        <v>-0.02400955575062179</v>
      </c>
      <c r="Q5" s="143" t="n">
        <v>-0.006887121711108755</v>
      </c>
      <c r="R5" s="143" t="n">
        <v>-0.0503491115475273</v>
      </c>
      <c r="S5" s="143" t="n">
        <v>-0.06816495101819083</v>
      </c>
      <c r="T5" s="143" t="n">
        <v>-0.07054705952151469</v>
      </c>
      <c r="U5" s="143" t="n">
        <v>-0.05269934774161941</v>
      </c>
      <c r="V5" s="143" t="n">
        <v>-0.1074057730606345</v>
      </c>
      <c r="W5" s="143" t="n">
        <v>-0.06471644038570394</v>
      </c>
      <c r="X5" s="143" t="n">
        <v>-0.06541987995511377</v>
      </c>
      <c r="Y5" s="143" t="n">
        <v>-0.07218745374357384</v>
      </c>
      <c r="Z5" s="143" t="n">
        <v>-0.01030181689493066</v>
      </c>
      <c r="AA5" s="143" t="n">
        <v>-0.01164542917672697</v>
      </c>
      <c r="AB5" s="143" t="n">
        <v>-0.03376509933167165</v>
      </c>
      <c r="AC5" s="143" t="n">
        <v>-0.07315771521862184</v>
      </c>
      <c r="AD5" s="143" t="n">
        <v>-0.04569007488928582</v>
      </c>
      <c r="AE5" s="143" t="n">
        <v>0.003828295027831213</v>
      </c>
      <c r="AF5" s="143" t="n">
        <v>0.01056549524435588</v>
      </c>
      <c r="AG5" s="143" t="n">
        <v>0.01633351309943393</v>
      </c>
      <c r="AH5" s="143" t="n">
        <v>-0.03636071773504417</v>
      </c>
      <c r="AI5" s="143" t="n">
        <v>-0.01699067464218003</v>
      </c>
      <c r="AJ5" s="143" t="n">
        <v>-0.05240669024901935</v>
      </c>
      <c r="AK5" s="143" t="n">
        <v>-0.0377815673888279</v>
      </c>
      <c r="AL5" s="143" t="n">
        <v>-0.02645636260089212</v>
      </c>
      <c r="AM5" s="143" t="n">
        <v>0.003233420141594862</v>
      </c>
      <c r="AN5" s="143" t="n">
        <v>0.04554108082295338</v>
      </c>
      <c r="AO5" s="143" t="n">
        <v>-0.1167878663371208</v>
      </c>
      <c r="AP5" s="143" t="n">
        <v>-0.1036128107110081</v>
      </c>
      <c r="AQ5" s="143" t="n">
        <v>-0.1121259419281344</v>
      </c>
      <c r="AR5" s="143" t="n">
        <v>-0.0001665831527109517</v>
      </c>
      <c r="AS5" s="143" t="n">
        <v>-0.004914358481692725</v>
      </c>
      <c r="AT5" s="143" t="n">
        <v>-0.06355608946651098</v>
      </c>
      <c r="AU5" s="143" t="n">
        <v>-0.04869882179901489</v>
      </c>
      <c r="AV5" s="143" t="n">
        <v>-0.06962770356038413</v>
      </c>
      <c r="AW5" s="143" t="n">
        <v>-0.02598454709926622</v>
      </c>
      <c r="AX5" s="143" t="n">
        <v>-0.01854064777427528</v>
      </c>
      <c r="AY5" s="143" t="n">
        <v>-0.05988720214109838</v>
      </c>
      <c r="AZ5" s="143" t="n">
        <v>-0.06277333236476577</v>
      </c>
      <c r="BA5" s="143" t="n">
        <v>-0.05329388740599616</v>
      </c>
      <c r="BB5" s="143" t="n">
        <v>-0.009245932687868358</v>
      </c>
      <c r="BC5" s="143" t="n">
        <v>-0.01187536337167606</v>
      </c>
      <c r="BD5" s="143" t="n">
        <v>-0.04512231167700582</v>
      </c>
      <c r="BE5" s="143" t="n">
        <v>-0.07022019449038519</v>
      </c>
      <c r="BF5" s="143" t="n">
        <v>-0.05113861990060661</v>
      </c>
      <c r="BG5" s="143" t="n">
        <v>-0.05649593636785148</v>
      </c>
      <c r="BH5" s="143" t="n">
        <v>-0.07102586097306472</v>
      </c>
      <c r="BI5" s="143" t="n">
        <v>-0.06515438979929139</v>
      </c>
      <c r="BJ5" s="143" t="n">
        <v>-0.07576091837126905</v>
      </c>
      <c r="BK5" s="143" t="n">
        <v>-0.07467861953739378</v>
      </c>
      <c r="BL5" s="143" t="n">
        <v>-0.01895941949131421</v>
      </c>
      <c r="BM5" s="143" t="n">
        <v>-0.03827414501442795</v>
      </c>
      <c r="BN5" s="143" t="n">
        <v>-0.09597760429954079</v>
      </c>
      <c r="BO5" s="143" t="n">
        <v>-0.128199750559594</v>
      </c>
      <c r="BP5" s="143" t="n">
        <v>-0.09431160485611609</v>
      </c>
      <c r="BQ5" s="143" t="n">
        <v>-0.01494084482606354</v>
      </c>
      <c r="BR5" s="143" t="n">
        <v>-0.02195324162797567</v>
      </c>
      <c r="BS5" s="143" t="n">
        <v>-0.07579810251835993</v>
      </c>
      <c r="BT5" s="143" t="n">
        <v>-0.07797561298742364</v>
      </c>
      <c r="BU5" s="143" t="n">
        <v>-0.07521052032829512</v>
      </c>
      <c r="BV5" s="143" t="n">
        <v>-0.08622949576349939</v>
      </c>
      <c r="BW5" s="143" t="n">
        <v>-0.1260444073993549</v>
      </c>
      <c r="BX5" s="143" t="n">
        <v>-0.08357265381848272</v>
      </c>
      <c r="BY5" s="143" t="n">
        <v>-0.1204960045235484</v>
      </c>
      <c r="BZ5" s="143" t="n">
        <v>-0.1077342527442223</v>
      </c>
      <c r="CA5" s="143" t="n">
        <v>-0.06387696493921402</v>
      </c>
      <c r="CB5" s="143" t="n">
        <v>-0.1007836557929821</v>
      </c>
      <c r="CC5" s="143" t="n">
        <v>-0.09807410104927838</v>
      </c>
      <c r="CD5" s="143" t="n">
        <v>-0.1344391778726713</v>
      </c>
      <c r="CE5" s="143" t="n">
        <v>-0.06255537256116132</v>
      </c>
    </row>
    <row r="6">
      <c r="A6" s="252" t="n">
        <v>38808</v>
      </c>
      <c r="B6" s="3" t="n">
        <v>0</v>
      </c>
      <c r="C6" s="143" t="n">
        <v>-0.03581129673057128</v>
      </c>
      <c r="D6" s="143" t="n">
        <v>-0.05724790808168369</v>
      </c>
      <c r="E6" s="143" t="n">
        <v>-0.04211340364629605</v>
      </c>
      <c r="F6" s="143" t="n">
        <v>-0.05497173469208938</v>
      </c>
      <c r="G6" s="143" t="n">
        <v>-0.03329897032497827</v>
      </c>
      <c r="H6" s="143" t="n">
        <v>-0.01494199035801304</v>
      </c>
      <c r="I6" s="143" t="n">
        <v>-0.006426733625456783</v>
      </c>
      <c r="J6" s="143" t="n">
        <v>-0.03832024362795119</v>
      </c>
      <c r="K6" s="143" t="n">
        <v>-0.05094338270539394</v>
      </c>
      <c r="L6" s="143" t="n">
        <v>-0.04188100804083758</v>
      </c>
      <c r="M6" s="143" t="n">
        <v>-0.009670388969460103</v>
      </c>
      <c r="N6" s="143" t="n">
        <v>-0.03176488049688344</v>
      </c>
      <c r="O6" s="143" t="n">
        <v>-0.01926954574253891</v>
      </c>
      <c r="P6" s="143" t="n">
        <v>-0.01671365941947654</v>
      </c>
      <c r="Q6" s="143" t="n">
        <v>-0.009736965177774471</v>
      </c>
      <c r="R6" s="143" t="n">
        <v>-0.0503491115475273</v>
      </c>
      <c r="S6" s="143" t="n">
        <v>-0.06816495101819083</v>
      </c>
      <c r="T6" s="143" t="n">
        <v>-0.07054705952151469</v>
      </c>
      <c r="U6" s="143" t="n">
        <v>-0.05269934774161941</v>
      </c>
      <c r="V6" s="143" t="n">
        <v>-0.1074057730606345</v>
      </c>
      <c r="W6" s="143" t="n">
        <v>-0.06471644038570394</v>
      </c>
      <c r="X6" s="143" t="n">
        <v>-0.06541987995511377</v>
      </c>
      <c r="Y6" s="143" t="n">
        <v>-0.07218745374357384</v>
      </c>
      <c r="Z6" s="143" t="n">
        <v>-0.01064629362768837</v>
      </c>
      <c r="AA6" s="143" t="n">
        <v>-0.007085657536559362</v>
      </c>
      <c r="AB6" s="143" t="n">
        <v>-0.03376509933167165</v>
      </c>
      <c r="AC6" s="143" t="n">
        <v>-0.07315771521862184</v>
      </c>
      <c r="AD6" s="143" t="n">
        <v>-0.04569007488928582</v>
      </c>
      <c r="AE6" s="143" t="n">
        <v>0.007892176638897911</v>
      </c>
      <c r="AF6" s="143" t="n">
        <v>0.009798626334061006</v>
      </c>
      <c r="AG6" s="143" t="n">
        <v>0.01808770118925232</v>
      </c>
      <c r="AH6" s="143" t="n">
        <v>-0.03830796375694003</v>
      </c>
      <c r="AI6" s="143" t="n">
        <v>-0.01207828754663232</v>
      </c>
      <c r="AJ6" s="143" t="n">
        <v>-0.05240669024901935</v>
      </c>
      <c r="AK6" s="143" t="n">
        <v>-0.0377815673888279</v>
      </c>
      <c r="AL6" s="143" t="n">
        <v>-0.02645636260089212</v>
      </c>
      <c r="AM6" s="143" t="n">
        <v>0.002498865512632644</v>
      </c>
      <c r="AN6" s="143" t="n">
        <v>0.05410685988044149</v>
      </c>
      <c r="AO6" s="143" t="n">
        <v>-0.1167878663371208</v>
      </c>
      <c r="AP6" s="143" t="n">
        <v>-0.1036128107110081</v>
      </c>
      <c r="AQ6" s="143" t="n">
        <v>-0.1121259419281344</v>
      </c>
      <c r="AR6" s="143" t="n">
        <v>-0.002336486495119149</v>
      </c>
      <c r="AS6" s="143" t="n">
        <v>-0.004727289570576277</v>
      </c>
      <c r="AT6" s="143" t="n">
        <v>-0.06355608946651098</v>
      </c>
      <c r="AU6" s="143" t="n">
        <v>-0.04869882179901489</v>
      </c>
      <c r="AV6" s="143" t="n">
        <v>-0.06962770356038413</v>
      </c>
      <c r="AW6" s="143" t="n">
        <v>-0.02512420709958207</v>
      </c>
      <c r="AX6" s="143" t="n">
        <v>-0.01060543623497352</v>
      </c>
      <c r="AY6" s="143" t="n">
        <v>-0.05988720214109838</v>
      </c>
      <c r="AZ6" s="143" t="n">
        <v>-0.06277333236476577</v>
      </c>
      <c r="BA6" s="143" t="n">
        <v>-0.05329388740599616</v>
      </c>
      <c r="BB6" s="143" t="n">
        <v>-0.004368935292143638</v>
      </c>
      <c r="BC6" s="143" t="n">
        <v>0.002761932860810255</v>
      </c>
      <c r="BD6" s="143" t="n">
        <v>-0.04512231167700582</v>
      </c>
      <c r="BE6" s="143" t="n">
        <v>-0.07022019449038519</v>
      </c>
      <c r="BF6" s="143" t="n">
        <v>-0.05113861990060661</v>
      </c>
      <c r="BG6" s="143" t="n">
        <v>-0.05020830100025487</v>
      </c>
      <c r="BH6" s="143" t="n">
        <v>0.01362174109192179</v>
      </c>
      <c r="BI6" s="143" t="n">
        <v>-0.06515438979929139</v>
      </c>
      <c r="BJ6" s="143" t="n">
        <v>-0.07576091837126905</v>
      </c>
      <c r="BK6" s="143" t="n">
        <v>-0.07467861953739378</v>
      </c>
      <c r="BL6" s="143" t="n">
        <v>-0.004509804681329521</v>
      </c>
      <c r="BM6" s="143" t="n">
        <v>0.01941365154518217</v>
      </c>
      <c r="BN6" s="143" t="n">
        <v>-0.09597760429954079</v>
      </c>
      <c r="BO6" s="143" t="n">
        <v>-0.128199750559594</v>
      </c>
      <c r="BP6" s="143" t="n">
        <v>-0.09431160485611609</v>
      </c>
      <c r="BQ6" s="143" t="n">
        <v>-0.01766047271751398</v>
      </c>
      <c r="BR6" s="143" t="n">
        <v>-0.01624648213258487</v>
      </c>
      <c r="BS6" s="143" t="n">
        <v>-0.07579810251835993</v>
      </c>
      <c r="BT6" s="143" t="n">
        <v>-0.07797561298742364</v>
      </c>
      <c r="BU6" s="143" t="n">
        <v>-0.07521052032829512</v>
      </c>
      <c r="BV6" s="143" t="n">
        <v>-0.0621631927020607</v>
      </c>
      <c r="BW6" s="143" t="n">
        <v>-0.1260444073993549</v>
      </c>
      <c r="BX6" s="143" t="n">
        <v>-0.08357265381848272</v>
      </c>
      <c r="BY6" s="143" t="n">
        <v>-0.1204960045235484</v>
      </c>
      <c r="BZ6" s="143" t="n">
        <v>-0.1077342527442223</v>
      </c>
      <c r="CA6" s="143" t="n">
        <v>-0.04236695762245449</v>
      </c>
      <c r="CB6" s="143" t="n">
        <v>-0.1007836557929821</v>
      </c>
      <c r="CC6" s="143" t="n">
        <v>-0.09807410104927838</v>
      </c>
      <c r="CD6" s="143" t="n">
        <v>-0.1344391778726713</v>
      </c>
      <c r="CE6" s="143" t="n">
        <v>-0.06255537256116132</v>
      </c>
    </row>
    <row r="7">
      <c r="A7" s="252" t="n">
        <v>38899</v>
      </c>
      <c r="B7" s="3" t="n">
        <v>0</v>
      </c>
      <c r="C7" s="143" t="n">
        <v>-0.03581129673057128</v>
      </c>
      <c r="D7" s="143" t="n">
        <v>-0.05724790808168369</v>
      </c>
      <c r="E7" s="143" t="n">
        <v>-0.04211340364629605</v>
      </c>
      <c r="F7" s="143" t="n">
        <v>-0.05497173469208938</v>
      </c>
      <c r="G7" s="143" t="n">
        <v>-0.03329897032497827</v>
      </c>
      <c r="H7" s="143" t="n">
        <v>-0.01253978385337954</v>
      </c>
      <c r="I7" s="143" t="n">
        <v>-0.001424576946083763</v>
      </c>
      <c r="J7" s="143" t="n">
        <v>-0.03832024362795119</v>
      </c>
      <c r="K7" s="143" t="n">
        <v>-0.05094338270539394</v>
      </c>
      <c r="L7" s="143" t="n">
        <v>-0.04188100804083758</v>
      </c>
      <c r="M7" s="143" t="n">
        <v>0.01376635127315451</v>
      </c>
      <c r="N7" s="143" t="n">
        <v>-0.02480702311835964</v>
      </c>
      <c r="O7" s="143" t="n">
        <v>-0.01236058436702897</v>
      </c>
      <c r="P7" s="143" t="n">
        <v>-0.02656951937558504</v>
      </c>
      <c r="Q7" s="143" t="n">
        <v>-0.009143247788885752</v>
      </c>
      <c r="R7" s="143" t="n">
        <v>-0.0503491115475273</v>
      </c>
      <c r="S7" s="143" t="n">
        <v>-0.06816495101819083</v>
      </c>
      <c r="T7" s="143" t="n">
        <v>-0.07054705952151469</v>
      </c>
      <c r="U7" s="143" t="n">
        <v>-0.05269934774161941</v>
      </c>
      <c r="V7" s="143" t="n">
        <v>-0.1074057730606345</v>
      </c>
      <c r="W7" s="143" t="n">
        <v>-0.06471644038570394</v>
      </c>
      <c r="X7" s="143" t="n">
        <v>-0.06541987995511377</v>
      </c>
      <c r="Y7" s="143" t="n">
        <v>-0.07218745374357384</v>
      </c>
      <c r="Z7" s="143" t="n">
        <v>-0.007797874065970821</v>
      </c>
      <c r="AA7" s="143" t="n">
        <v>0.001230016270431516</v>
      </c>
      <c r="AB7" s="143" t="n">
        <v>-0.03376509933167165</v>
      </c>
      <c r="AC7" s="143" t="n">
        <v>-0.07315771521862184</v>
      </c>
      <c r="AD7" s="143" t="n">
        <v>-0.04569007488928582</v>
      </c>
      <c r="AE7" s="143" t="n">
        <v>0.01694211850351556</v>
      </c>
      <c r="AF7" s="143" t="n">
        <v>0.009077510507061669</v>
      </c>
      <c r="AG7" s="143" t="n">
        <v>0.01899514465379016</v>
      </c>
      <c r="AH7" s="143" t="n">
        <v>-0.04001276543819538</v>
      </c>
      <c r="AI7" s="143" t="n">
        <v>-0.005327135544203148</v>
      </c>
      <c r="AJ7" s="143" t="n">
        <v>-0.05240669024901935</v>
      </c>
      <c r="AK7" s="143" t="n">
        <v>-0.0377815673888279</v>
      </c>
      <c r="AL7" s="143" t="n">
        <v>-0.02645636260089212</v>
      </c>
      <c r="AM7" s="143" t="n">
        <v>-0.01406763649730819</v>
      </c>
      <c r="AN7" s="143" t="n">
        <v>0.03221234675624759</v>
      </c>
      <c r="AO7" s="143" t="n">
        <v>-0.1167878663371208</v>
      </c>
      <c r="AP7" s="143" t="n">
        <v>-0.1036128107110081</v>
      </c>
      <c r="AQ7" s="143" t="n">
        <v>-0.1121259419281344</v>
      </c>
      <c r="AR7" s="143" t="n">
        <v>-0.003463287597315486</v>
      </c>
      <c r="AS7" s="143" t="n">
        <v>-0.003899487567115912</v>
      </c>
      <c r="AT7" s="143" t="n">
        <v>-0.06355608946651098</v>
      </c>
      <c r="AU7" s="143" t="n">
        <v>-0.04869882179901489</v>
      </c>
      <c r="AV7" s="143" t="n">
        <v>-0.06962770356038413</v>
      </c>
      <c r="AW7" s="143" t="n">
        <v>-0.02191976530898503</v>
      </c>
      <c r="AX7" s="143" t="n">
        <v>-0.001974347371431441</v>
      </c>
      <c r="AY7" s="143" t="n">
        <v>-0.05988720214109838</v>
      </c>
      <c r="AZ7" s="143" t="n">
        <v>-0.06277333236476577</v>
      </c>
      <c r="BA7" s="143" t="n">
        <v>-0.05329388740599616</v>
      </c>
      <c r="BB7" s="143" t="n">
        <v>-0.0009996799395036865</v>
      </c>
      <c r="BC7" s="143" t="n">
        <v>0.01164803374930753</v>
      </c>
      <c r="BD7" s="143" t="n">
        <v>-0.04512231167700582</v>
      </c>
      <c r="BE7" s="143" t="n">
        <v>-0.07022019449038519</v>
      </c>
      <c r="BF7" s="143" t="n">
        <v>-0.05113861990060661</v>
      </c>
      <c r="BG7" s="143" t="n">
        <v>-0.03297391050460164</v>
      </c>
      <c r="BH7" s="143" t="n">
        <v>0.02304712257699284</v>
      </c>
      <c r="BI7" s="143" t="n">
        <v>-0.06515438979929139</v>
      </c>
      <c r="BJ7" s="143" t="n">
        <v>-0.07576091837126905</v>
      </c>
      <c r="BK7" s="143" t="n">
        <v>-0.07467861953739378</v>
      </c>
      <c r="BL7" s="143" t="n">
        <v>-0.002092573907189684</v>
      </c>
      <c r="BM7" s="143" t="n">
        <v>0.02749905379289765</v>
      </c>
      <c r="BN7" s="143" t="n">
        <v>-0.09597760429954079</v>
      </c>
      <c r="BO7" s="143" t="n">
        <v>-0.128199750559594</v>
      </c>
      <c r="BP7" s="143" t="n">
        <v>-0.09431160485611609</v>
      </c>
      <c r="BQ7" s="143" t="n">
        <v>-0.01700142595038965</v>
      </c>
      <c r="BR7" s="143" t="n">
        <v>-0.0105331492594755</v>
      </c>
      <c r="BS7" s="143" t="n">
        <v>-0.07579810251835993</v>
      </c>
      <c r="BT7" s="143" t="n">
        <v>-0.07797561298742364</v>
      </c>
      <c r="BU7" s="143" t="n">
        <v>-0.07521052032829512</v>
      </c>
      <c r="BV7" s="143" t="n">
        <v>0.0885938750702352</v>
      </c>
      <c r="BW7" s="143" t="n">
        <v>-0.1260444073993549</v>
      </c>
      <c r="BX7" s="143" t="n">
        <v>-0.08357265381848272</v>
      </c>
      <c r="BY7" s="143" t="n">
        <v>-0.1204960045235484</v>
      </c>
      <c r="BZ7" s="143" t="n">
        <v>-0.1077342527442223</v>
      </c>
      <c r="CA7" s="143" t="n">
        <v>-0.04150988829676139</v>
      </c>
      <c r="CB7" s="143" t="n">
        <v>-0.1007836557929821</v>
      </c>
      <c r="CC7" s="143" t="n">
        <v>-0.09807410104927838</v>
      </c>
      <c r="CD7" s="143" t="n">
        <v>-0.1344391778726713</v>
      </c>
      <c r="CE7" s="143" t="n">
        <v>-0.06255537256116132</v>
      </c>
    </row>
    <row r="8" customFormat="1" s="36">
      <c r="A8" s="252" t="n">
        <v>38991</v>
      </c>
      <c r="B8" s="3" t="n">
        <v>0</v>
      </c>
      <c r="C8" s="143" t="n">
        <v>-0.03521928600693405</v>
      </c>
      <c r="D8" s="143" t="n">
        <v>0.003305640826238636</v>
      </c>
      <c r="E8" s="143" t="n">
        <v>-0.04211340364629605</v>
      </c>
      <c r="F8" s="143" t="n">
        <v>-0.05497173469208938</v>
      </c>
      <c r="G8" s="143" t="n">
        <v>-0.03329897032497827</v>
      </c>
      <c r="H8" s="143" t="n">
        <v>-0.008239606057432236</v>
      </c>
      <c r="I8" s="143" t="n">
        <v>0.005744303896185123</v>
      </c>
      <c r="J8" s="143" t="n">
        <v>-0.03832024362795119</v>
      </c>
      <c r="K8" s="143" t="n">
        <v>-0.05094338270539394</v>
      </c>
      <c r="L8" s="143" t="n">
        <v>-0.04188100804083758</v>
      </c>
      <c r="M8" s="143" t="n">
        <v>0.04575836106886685</v>
      </c>
      <c r="N8" s="143" t="n">
        <v>-0.006994205027426667</v>
      </c>
      <c r="O8" s="143" t="n">
        <v>-0.006930406194387951</v>
      </c>
      <c r="P8" s="143" t="n">
        <v>-0.02682551573808139</v>
      </c>
      <c r="Q8" s="143" t="n">
        <v>0.002493613033332474</v>
      </c>
      <c r="R8" s="143" t="n">
        <v>-0.0503491115475273</v>
      </c>
      <c r="S8" s="143" t="n">
        <v>-0.06816495101819083</v>
      </c>
      <c r="T8" s="143" t="n">
        <v>-0.07054705952151469</v>
      </c>
      <c r="U8" s="143" t="n">
        <v>-0.05269934774161941</v>
      </c>
      <c r="V8" s="143" t="n">
        <v>-0.1074057730606345</v>
      </c>
      <c r="W8" s="143" t="n">
        <v>-0.06471644038570394</v>
      </c>
      <c r="X8" s="143" t="n">
        <v>-0.06541987995511377</v>
      </c>
      <c r="Y8" s="143" t="n">
        <v>-0.07218745374357384</v>
      </c>
      <c r="Z8" s="143" t="n">
        <v>-0.00424416114370632</v>
      </c>
      <c r="AA8" s="143" t="n">
        <v>0.009386021843695077</v>
      </c>
      <c r="AB8" s="143" t="n">
        <v>-0.03376509933167165</v>
      </c>
      <c r="AC8" s="143" t="n">
        <v>-0.07315771521862184</v>
      </c>
      <c r="AD8" s="143" t="n">
        <v>-0.04569007488928582</v>
      </c>
      <c r="AE8" s="143" t="n">
        <v>0.02045431095483771</v>
      </c>
      <c r="AF8" s="143" t="n">
        <v>0.01055047804440143</v>
      </c>
      <c r="AG8" s="143" t="n">
        <v>0.01766237980386652</v>
      </c>
      <c r="AH8" s="143" t="n">
        <v>-0.04060805363142508</v>
      </c>
      <c r="AI8" s="143" t="n">
        <v>-0.005717880820968713</v>
      </c>
      <c r="AJ8" s="143" t="n">
        <v>-0.05240669024901935</v>
      </c>
      <c r="AK8" s="143" t="n">
        <v>-0.0377815673888279</v>
      </c>
      <c r="AL8" s="143" t="n">
        <v>-0.02645636260089212</v>
      </c>
      <c r="AM8" s="143" t="n">
        <v>-0.0505522989768246</v>
      </c>
      <c r="AN8" s="143" t="n">
        <v>-0.04710361140673761</v>
      </c>
      <c r="AO8" s="143" t="n">
        <v>-0.1167878663371208</v>
      </c>
      <c r="AP8" s="143" t="n">
        <v>-0.1036128107110081</v>
      </c>
      <c r="AQ8" s="143" t="n">
        <v>-0.1121259419281344</v>
      </c>
      <c r="AR8" s="143" t="n">
        <v>-0.002417798985928085</v>
      </c>
      <c r="AS8" s="143" t="n">
        <v>-0.001384557731574303</v>
      </c>
      <c r="AT8" s="143" t="n">
        <v>-0.06355608946651098</v>
      </c>
      <c r="AU8" s="143" t="n">
        <v>-0.04869882179901489</v>
      </c>
      <c r="AV8" s="143" t="n">
        <v>-0.06962770356038413</v>
      </c>
      <c r="AW8" s="143" t="n">
        <v>-0.0189740861701399</v>
      </c>
      <c r="AX8" s="143" t="n">
        <v>0.005256792642225025</v>
      </c>
      <c r="AY8" s="143" t="n">
        <v>-0.05988720214109838</v>
      </c>
      <c r="AZ8" s="143" t="n">
        <v>-0.06277333236476577</v>
      </c>
      <c r="BA8" s="143" t="n">
        <v>-0.05329388740599616</v>
      </c>
      <c r="BB8" s="143" t="n">
        <v>0.001918296506608213</v>
      </c>
      <c r="BC8" s="143" t="n">
        <v>0.0249401508697187</v>
      </c>
      <c r="BD8" s="143" t="n">
        <v>-0.04512231167700582</v>
      </c>
      <c r="BE8" s="143" t="n">
        <v>-0.07022019449038519</v>
      </c>
      <c r="BF8" s="143" t="n">
        <v>-0.05113861990060661</v>
      </c>
      <c r="BG8" s="143" t="n">
        <v>-0.03012713277083444</v>
      </c>
      <c r="BH8" s="143" t="n">
        <v>0.02496604264223187</v>
      </c>
      <c r="BI8" s="143" t="n">
        <v>-0.06515438979929139</v>
      </c>
      <c r="BJ8" s="143" t="n">
        <v>-0.07576091837126905</v>
      </c>
      <c r="BK8" s="143" t="n">
        <v>-0.07467861953739378</v>
      </c>
      <c r="BL8" s="143" t="n">
        <v>0.01475017256865084</v>
      </c>
      <c r="BM8" s="143" t="n">
        <v>0.1007196555453015</v>
      </c>
      <c r="BN8" s="143" t="n">
        <v>-0.09597760429954079</v>
      </c>
      <c r="BO8" s="143" t="n">
        <v>-0.128199750559594</v>
      </c>
      <c r="BP8" s="143" t="n">
        <v>-0.09431160485611609</v>
      </c>
      <c r="BQ8" s="143" t="n">
        <v>-0.01511924560696883</v>
      </c>
      <c r="BR8" s="143" t="n">
        <v>-0.003920304415743803</v>
      </c>
      <c r="BS8" s="143" t="n">
        <v>-0.07579810251835993</v>
      </c>
      <c r="BT8" s="143" t="n">
        <v>-0.07797561298742364</v>
      </c>
      <c r="BU8" s="143" t="n">
        <v>-0.07521052032829512</v>
      </c>
      <c r="BV8" s="143" t="n">
        <v>0.08379064242740815</v>
      </c>
      <c r="BW8" s="143" t="n">
        <v>0.2638748108105842</v>
      </c>
      <c r="BX8" s="143" t="n">
        <v>-0.08357265381848272</v>
      </c>
      <c r="BY8" s="143" t="n">
        <v>-0.1204960045235484</v>
      </c>
      <c r="BZ8" s="143" t="n">
        <v>-0.1077342527442223</v>
      </c>
      <c r="CA8" s="143" t="n">
        <v>-0.040648105726121</v>
      </c>
      <c r="CB8" s="143" t="n">
        <v>-0.1007836557929821</v>
      </c>
      <c r="CC8" s="143" t="n">
        <v>-0.09807410104927838</v>
      </c>
      <c r="CD8" s="143" t="n">
        <v>-0.1344391778726713</v>
      </c>
      <c r="CE8" s="143" t="n">
        <v>-0.06255537256116132</v>
      </c>
    </row>
    <row r="9">
      <c r="A9" s="252" t="n">
        <v>39083</v>
      </c>
      <c r="B9" s="3" t="n">
        <v>0</v>
      </c>
      <c r="C9" s="143" t="n">
        <v>-0.03065553269938187</v>
      </c>
      <c r="D9" s="143" t="n">
        <v>0.009641584709763141</v>
      </c>
      <c r="E9" s="143" t="n">
        <v>-0.04211340364629605</v>
      </c>
      <c r="F9" s="143" t="n">
        <v>-0.05497173469208938</v>
      </c>
      <c r="G9" s="143" t="n">
        <v>-0.03329897032497827</v>
      </c>
      <c r="H9" s="143" t="n">
        <v>-0.004548862531346983</v>
      </c>
      <c r="I9" s="143" t="n">
        <v>0.01136091927240571</v>
      </c>
      <c r="J9" s="143" t="n">
        <v>0.0009484919355118725</v>
      </c>
      <c r="K9" s="143" t="n">
        <v>0.008985611794257014</v>
      </c>
      <c r="L9" s="143" t="n">
        <v>-0.04188100804083758</v>
      </c>
      <c r="M9" s="143" t="n">
        <v>0.06275050079997903</v>
      </c>
      <c r="N9" s="143" t="n">
        <v>0.02271644761531012</v>
      </c>
      <c r="O9" s="143" t="n">
        <v>0.002878949641308233</v>
      </c>
      <c r="P9" s="143" t="n">
        <v>-0.0147936867007541</v>
      </c>
      <c r="Q9" s="143" t="n">
        <v>0.008549530399997065</v>
      </c>
      <c r="R9" s="143" t="n">
        <v>0.0011602145757188</v>
      </c>
      <c r="S9" s="143" t="n">
        <v>0.006925654394666298</v>
      </c>
      <c r="T9" s="143" t="n">
        <v>-0.07054705952151469</v>
      </c>
      <c r="U9" s="143" t="n">
        <v>-0.05269934774161941</v>
      </c>
      <c r="V9" s="143" t="n">
        <v>0.04960462447646061</v>
      </c>
      <c r="W9" s="143" t="n">
        <v>-0.06471644038570394</v>
      </c>
      <c r="X9" s="143" t="n">
        <v>-0.06541987995511377</v>
      </c>
      <c r="Y9" s="143" t="n">
        <v>-0.07218745374357384</v>
      </c>
      <c r="Z9" s="143" t="n">
        <v>-0.004516760816556016</v>
      </c>
      <c r="AA9" s="143" t="n">
        <v>0.01068759302418323</v>
      </c>
      <c r="AB9" s="143" t="n">
        <v>-0.0001979343670656806</v>
      </c>
      <c r="AC9" s="143" t="n">
        <v>0.004331011541799649</v>
      </c>
      <c r="AD9" s="143" t="n">
        <v>-0.04569007488928582</v>
      </c>
      <c r="AE9" s="143" t="n">
        <v>0.01684807807914886</v>
      </c>
      <c r="AF9" s="143" t="n">
        <v>0.01032880071855404</v>
      </c>
      <c r="AG9" s="143" t="n">
        <v>0.01439798205072745</v>
      </c>
      <c r="AH9" s="143" t="n">
        <v>-0.04350256968450338</v>
      </c>
      <c r="AI9" s="143" t="n">
        <v>-0.007689442602266973</v>
      </c>
      <c r="AJ9" s="143" t="n">
        <v>-0.0203553216797431</v>
      </c>
      <c r="AK9" s="143" t="n">
        <v>-0.009031372464320762</v>
      </c>
      <c r="AL9" s="143" t="n">
        <v>-0.02645636260089212</v>
      </c>
      <c r="AM9" s="143" t="n">
        <v>-0.07697433084311288</v>
      </c>
      <c r="AN9" s="143" t="n">
        <v>-0.08299510837313559</v>
      </c>
      <c r="AO9" s="143" t="n">
        <v>-0.03810458542895428</v>
      </c>
      <c r="AP9" s="143" t="n">
        <v>-0.0751418748412956</v>
      </c>
      <c r="AQ9" s="143" t="n">
        <v>-0.1121259419281344</v>
      </c>
      <c r="AR9" s="143" t="n">
        <v>-0.003956430362483487</v>
      </c>
      <c r="AS9" s="143" t="n">
        <v>-0.004891792170787211</v>
      </c>
      <c r="AT9" s="143" t="n">
        <v>-0.01019271982693399</v>
      </c>
      <c r="AU9" s="143" t="n">
        <v>-0.005474698148126968</v>
      </c>
      <c r="AV9" s="143" t="n">
        <v>-0.06962770356038413</v>
      </c>
      <c r="AW9" s="143" t="n">
        <v>-0.009138579829604506</v>
      </c>
      <c r="AX9" s="143" t="n">
        <v>0.01395995301691668</v>
      </c>
      <c r="AY9" s="143" t="n">
        <v>-0.002468209502815762</v>
      </c>
      <c r="AZ9" s="143" t="n">
        <v>0.007599919402364631</v>
      </c>
      <c r="BA9" s="143" t="n">
        <v>-0.05329388740599616</v>
      </c>
      <c r="BB9" s="143" t="n">
        <v>0.01672765180143412</v>
      </c>
      <c r="BC9" s="143" t="n">
        <v>0.0524408650946475</v>
      </c>
      <c r="BD9" s="143" t="n">
        <v>0.01331898304548901</v>
      </c>
      <c r="BE9" s="143" t="n">
        <v>0.03574938493857634</v>
      </c>
      <c r="BF9" s="143" t="n">
        <v>-0.05113861990060661</v>
      </c>
      <c r="BG9" s="143" t="n">
        <v>-0.03442876565229384</v>
      </c>
      <c r="BH9" s="143" t="n">
        <v>0.02537662077287843</v>
      </c>
      <c r="BI9" s="143" t="n">
        <v>-0.06515438979929139</v>
      </c>
      <c r="BJ9" s="143" t="n">
        <v>-0.07576091837126905</v>
      </c>
      <c r="BK9" s="143" t="n">
        <v>-0.07467861953739378</v>
      </c>
      <c r="BL9" s="143" t="n">
        <v>0.03097146767263763</v>
      </c>
      <c r="BM9" s="143" t="n">
        <v>0.09404292607321914</v>
      </c>
      <c r="BN9" s="143" t="n">
        <v>0.02901032096316337</v>
      </c>
      <c r="BO9" s="143" t="n">
        <v>0.07825676940181833</v>
      </c>
      <c r="BP9" s="143" t="n">
        <v>-0.09431160485611609</v>
      </c>
      <c r="BQ9" s="143" t="n">
        <v>-0.01209701969022802</v>
      </c>
      <c r="BR9" s="143" t="n">
        <v>0.004810892833374513</v>
      </c>
      <c r="BS9" s="143" t="n">
        <v>-0.008166110208533531</v>
      </c>
      <c r="BT9" s="143" t="n">
        <v>0.000262571666136801</v>
      </c>
      <c r="BU9" s="143" t="n">
        <v>-0.07521052032829512</v>
      </c>
      <c r="BV9" s="143" t="n">
        <v>0.06755532247961163</v>
      </c>
      <c r="BW9" s="143" t="n">
        <v>0.201636557584854</v>
      </c>
      <c r="BX9" s="143" t="n">
        <v>-0.08357265381848272</v>
      </c>
      <c r="BY9" s="143" t="n">
        <v>-0.1204960045235484</v>
      </c>
      <c r="BZ9" s="143" t="n">
        <v>-0.1077342527442223</v>
      </c>
      <c r="CA9" s="143" t="n">
        <v>-0.02740077318058333</v>
      </c>
      <c r="CB9" s="143" t="n">
        <v>-0.1007836557929821</v>
      </c>
      <c r="CC9" s="143" t="n">
        <v>-0.09807410104927838</v>
      </c>
      <c r="CD9" s="143" t="n">
        <v>-0.1344391778726713</v>
      </c>
      <c r="CE9" s="143" t="n">
        <v>-0.06255537256116132</v>
      </c>
    </row>
    <row r="10">
      <c r="A10" s="252" t="n">
        <v>39173</v>
      </c>
      <c r="B10" s="3" t="n">
        <v>0</v>
      </c>
      <c r="C10" s="143" t="n">
        <v>-0.01405238137098337</v>
      </c>
      <c r="D10" s="143" t="n">
        <v>0.04336923859139887</v>
      </c>
      <c r="E10" s="143" t="n">
        <v>-0.04211340364629605</v>
      </c>
      <c r="F10" s="143" t="n">
        <v>-0.05497173469208938</v>
      </c>
      <c r="G10" s="143" t="n">
        <v>-0.03329897032497827</v>
      </c>
      <c r="H10" s="143" t="n">
        <v>-0.003557575854135138</v>
      </c>
      <c r="I10" s="143" t="n">
        <v>0.01246616800551496</v>
      </c>
      <c r="J10" s="143" t="n">
        <v>0.003381462332616642</v>
      </c>
      <c r="K10" s="143" t="n">
        <v>0.01004489157910932</v>
      </c>
      <c r="L10" s="143" t="n">
        <v>-0.04188100804083758</v>
      </c>
      <c r="M10" s="143" t="n">
        <v>0.06401747535723705</v>
      </c>
      <c r="N10" s="143" t="n">
        <v>0.02533768717807165</v>
      </c>
      <c r="O10" s="143" t="n">
        <v>-0.0009452259231756756</v>
      </c>
      <c r="P10" s="143" t="n">
        <v>-0.01056974671956473</v>
      </c>
      <c r="Q10" s="143" t="n">
        <v>0.005699686933331399</v>
      </c>
      <c r="R10" s="143" t="n">
        <v>-0.002817663969602822</v>
      </c>
      <c r="S10" s="143" t="n">
        <v>0.01187255039085653</v>
      </c>
      <c r="T10" s="143" t="n">
        <v>-0.07054705952151469</v>
      </c>
      <c r="U10" s="143" t="n">
        <v>-0.05269934774161941</v>
      </c>
      <c r="V10" s="143" t="n">
        <v>0.05392190743423252</v>
      </c>
      <c r="W10" s="143" t="n">
        <v>-0.06471644038570394</v>
      </c>
      <c r="X10" s="143" t="n">
        <v>-0.06541987995511377</v>
      </c>
      <c r="Y10" s="143" t="n">
        <v>-0.07218745374357384</v>
      </c>
      <c r="Z10" s="143" t="n">
        <v>-0.006581012399343497</v>
      </c>
      <c r="AA10" s="143" t="n">
        <v>0.007510397601816972</v>
      </c>
      <c r="AB10" s="143" t="n">
        <v>8.77714374853503e-05</v>
      </c>
      <c r="AC10" s="143" t="n">
        <v>0.001609321405104835</v>
      </c>
      <c r="AD10" s="143" t="n">
        <v>-0.04569007488928582</v>
      </c>
      <c r="AE10" s="143" t="n">
        <v>0.01223989441950926</v>
      </c>
      <c r="AF10" s="143" t="n">
        <v>0.01005689677479554</v>
      </c>
      <c r="AG10" s="143" t="n">
        <v>0.01207020920820275</v>
      </c>
      <c r="AH10" s="143" t="n">
        <v>-0.04606690648151798</v>
      </c>
      <c r="AI10" s="143" t="n">
        <v>-0.008353847875471127</v>
      </c>
      <c r="AJ10" s="143" t="n">
        <v>-0.01685173068675623</v>
      </c>
      <c r="AK10" s="143" t="n">
        <v>-0.008740252040603332</v>
      </c>
      <c r="AL10" s="143" t="n">
        <v>-0.02645636260089212</v>
      </c>
      <c r="AM10" s="143" t="n">
        <v>-0.07651180495446533</v>
      </c>
      <c r="AN10" s="143" t="n">
        <v>-0.07622613032871206</v>
      </c>
      <c r="AO10" s="143" t="n">
        <v>-0.02250347120327702</v>
      </c>
      <c r="AP10" s="143" t="n">
        <v>-0.06048667486953214</v>
      </c>
      <c r="AQ10" s="143" t="n">
        <v>-0.1121259419281344</v>
      </c>
      <c r="AR10" s="143" t="n">
        <v>-0.007695211238464024</v>
      </c>
      <c r="AS10" s="143" t="n">
        <v>-0.006916840256067079</v>
      </c>
      <c r="AT10" s="143" t="n">
        <v>-0.01210315414860632</v>
      </c>
      <c r="AU10" s="143" t="n">
        <v>-0.01009371587107861</v>
      </c>
      <c r="AV10" s="143" t="n">
        <v>-0.06962770356038413</v>
      </c>
      <c r="AW10" s="143" t="n">
        <v>-0.009904322567588624</v>
      </c>
      <c r="AX10" s="143" t="n">
        <v>0.0126124472159082</v>
      </c>
      <c r="AY10" s="143" t="n">
        <v>0.001081434987005126</v>
      </c>
      <c r="AZ10" s="143" t="n">
        <v>0.007542861729120679</v>
      </c>
      <c r="BA10" s="143" t="n">
        <v>-0.05329388740599616</v>
      </c>
      <c r="BB10" s="143" t="n">
        <v>0.02485937629629565</v>
      </c>
      <c r="BC10" s="143" t="n">
        <v>0.05901218392035767</v>
      </c>
      <c r="BD10" s="143" t="n">
        <v>0.02028246611313367</v>
      </c>
      <c r="BE10" s="143" t="n">
        <v>0.04505008624301227</v>
      </c>
      <c r="BF10" s="143" t="n">
        <v>-0.05113861990060661</v>
      </c>
      <c r="BG10" s="143" t="n">
        <v>-0.02582568890823455</v>
      </c>
      <c r="BH10" s="143" t="n">
        <v>0.02803931271874261</v>
      </c>
      <c r="BI10" s="143" t="n">
        <v>0.03188100500643856</v>
      </c>
      <c r="BJ10" s="143" t="n">
        <v>0.03128186047391145</v>
      </c>
      <c r="BK10" s="143" t="n">
        <v>-0.07467861953739378</v>
      </c>
      <c r="BL10" s="143" t="n">
        <v>0.03499467816961447</v>
      </c>
      <c r="BM10" s="143" t="n">
        <v>0.07440519028058144</v>
      </c>
      <c r="BN10" s="143" t="n">
        <v>0.04880355392542003</v>
      </c>
      <c r="BO10" s="143" t="n">
        <v>0.07887238124474333</v>
      </c>
      <c r="BP10" s="143" t="n">
        <v>-0.09431160485611609</v>
      </c>
      <c r="BQ10" s="143" t="n">
        <v>-0.008069145169457078</v>
      </c>
      <c r="BR10" s="143" t="n">
        <v>0.01622562807468036</v>
      </c>
      <c r="BS10" s="143" t="n">
        <v>-9.934259137052127e-06</v>
      </c>
      <c r="BT10" s="143" t="n">
        <v>0.007468615381090445</v>
      </c>
      <c r="BU10" s="143" t="n">
        <v>-0.07521052032829512</v>
      </c>
      <c r="BV10" s="143" t="n">
        <v>0.06571168095116268</v>
      </c>
      <c r="BW10" s="143" t="n">
        <v>0.1676644653198018</v>
      </c>
      <c r="BX10" s="143" t="n">
        <v>-0.08357265381848272</v>
      </c>
      <c r="BY10" s="143" t="n">
        <v>-0.1204960045235484</v>
      </c>
      <c r="BZ10" s="143" t="n">
        <v>-0.1077342527442223</v>
      </c>
      <c r="CA10" s="143" t="n">
        <v>0.002735071511866067</v>
      </c>
      <c r="CB10" s="143" t="n">
        <v>0.08576056644727741</v>
      </c>
      <c r="CC10" s="143" t="n">
        <v>-0.09807410104927838</v>
      </c>
      <c r="CD10" s="143" t="n">
        <v>-0.1344391778726713</v>
      </c>
      <c r="CE10" s="143" t="n">
        <v>-0.06255537256116132</v>
      </c>
    </row>
    <row r="11">
      <c r="A11" s="251" t="n">
        <v>39264</v>
      </c>
      <c r="B11" s="3" t="n">
        <v>0</v>
      </c>
      <c r="C11" s="143" t="n">
        <v>0.002139382328372711</v>
      </c>
      <c r="D11" s="143" t="n">
        <v>0.06161160204654265</v>
      </c>
      <c r="E11" s="143" t="n">
        <v>-0.04211340364629605</v>
      </c>
      <c r="F11" s="143" t="n">
        <v>-0.05497173469208938</v>
      </c>
      <c r="G11" s="143" t="n">
        <v>-0.03329897032497827</v>
      </c>
      <c r="H11" s="143" t="n">
        <v>-0.004503003209118295</v>
      </c>
      <c r="I11" s="143" t="n">
        <v>0.008800440084178619</v>
      </c>
      <c r="J11" s="143" t="n">
        <v>0.004129725037556094</v>
      </c>
      <c r="K11" s="143" t="n">
        <v>0.007874509375798295</v>
      </c>
      <c r="L11" s="143" t="n">
        <v>-0.04188100804083758</v>
      </c>
      <c r="M11" s="143" t="n">
        <v>0.05088084769113337</v>
      </c>
      <c r="N11" s="143" t="n">
        <v>0.03013980349577828</v>
      </c>
      <c r="O11" s="143" t="n">
        <v>-0.0005347021439547178</v>
      </c>
      <c r="P11" s="143" t="n">
        <v>-0.01773764486946182</v>
      </c>
      <c r="Q11" s="143" t="n">
        <v>0.008193299966663873</v>
      </c>
      <c r="R11" s="143" t="n">
        <v>-0.0006629797575535898</v>
      </c>
      <c r="S11" s="143" t="n">
        <v>0.003680490621165545</v>
      </c>
      <c r="T11" s="143" t="n">
        <v>-0.07054705952151469</v>
      </c>
      <c r="U11" s="143" t="n">
        <v>-0.05269934774161941</v>
      </c>
      <c r="V11" s="143" t="n">
        <v>0.05567855895950462</v>
      </c>
      <c r="W11" s="143" t="n">
        <v>-0.06471644038570394</v>
      </c>
      <c r="X11" s="143" t="n">
        <v>-0.06541987995511377</v>
      </c>
      <c r="Y11" s="143" t="n">
        <v>-0.07218745374357384</v>
      </c>
      <c r="Z11" s="143" t="n">
        <v>-0.006660438106442898</v>
      </c>
      <c r="AA11" s="143" t="n">
        <v>0.002101354327739073</v>
      </c>
      <c r="AB11" s="143" t="n">
        <v>0.0006884191299931164</v>
      </c>
      <c r="AC11" s="143" t="n">
        <v>0.001462085999162109</v>
      </c>
      <c r="AD11" s="143" t="n">
        <v>-0.04569007488928582</v>
      </c>
      <c r="AE11" s="143" t="n">
        <v>-0.002771447969592155</v>
      </c>
      <c r="AF11" s="143" t="n">
        <v>0.007078902631321225</v>
      </c>
      <c r="AG11" s="143" t="n">
        <v>0.005835264020902104</v>
      </c>
      <c r="AH11" s="143" t="n">
        <v>-0.04871469330745375</v>
      </c>
      <c r="AI11" s="143" t="n">
        <v>-0.009369134974128999</v>
      </c>
      <c r="AJ11" s="143" t="n">
        <v>-0.01212098431017314</v>
      </c>
      <c r="AK11" s="143" t="n">
        <v>-0.009006868801714854</v>
      </c>
      <c r="AL11" s="143" t="n">
        <v>-0.02645636260089212</v>
      </c>
      <c r="AM11" s="143" t="n">
        <v>-0.07586220724845127</v>
      </c>
      <c r="AN11" s="143" t="n">
        <v>-0.05961677044172107</v>
      </c>
      <c r="AO11" s="143" t="n">
        <v>-0.02788042493041052</v>
      </c>
      <c r="AP11" s="143" t="n">
        <v>-0.05585955993501303</v>
      </c>
      <c r="AQ11" s="143" t="n">
        <v>-0.1121259419281344</v>
      </c>
      <c r="AR11" s="143" t="n">
        <v>-0.009807639377683487</v>
      </c>
      <c r="AS11" s="143" t="n">
        <v>-0.008189050547445901</v>
      </c>
      <c r="AT11" s="143" t="n">
        <v>-0.0125650814968645</v>
      </c>
      <c r="AU11" s="143" t="n">
        <v>-0.0117245987735612</v>
      </c>
      <c r="AV11" s="143" t="n">
        <v>-0.06962770356038413</v>
      </c>
      <c r="AW11" s="143" t="n">
        <v>-0.01439944342889307</v>
      </c>
      <c r="AX11" s="143" t="n">
        <v>0.006231956790468259</v>
      </c>
      <c r="AY11" s="143" t="n">
        <v>0.002294121871024703</v>
      </c>
      <c r="AZ11" s="143" t="n">
        <v>0.003882157229332695</v>
      </c>
      <c r="BA11" s="143" t="n">
        <v>-0.05329388740599616</v>
      </c>
      <c r="BB11" s="143" t="n">
        <v>0.0274150737250533</v>
      </c>
      <c r="BC11" s="143" t="n">
        <v>0.05736960426984523</v>
      </c>
      <c r="BD11" s="143" t="n">
        <v>0.02266075141617794</v>
      </c>
      <c r="BE11" s="143" t="n">
        <v>0.04295034378566658</v>
      </c>
      <c r="BF11" s="143" t="n">
        <v>-0.05113861990060661</v>
      </c>
      <c r="BG11" s="143" t="n">
        <v>-0.01498698617627666</v>
      </c>
      <c r="BH11" s="143" t="n">
        <v>0.02068445309251008</v>
      </c>
      <c r="BI11" s="143" t="n">
        <v>0.03346546607282363</v>
      </c>
      <c r="BJ11" s="143" t="n">
        <v>0.04087960253783653</v>
      </c>
      <c r="BK11" s="143" t="n">
        <v>-0.07467861953739378</v>
      </c>
      <c r="BL11" s="143" t="n">
        <v>0.04069937356697598</v>
      </c>
      <c r="BM11" s="143" t="n">
        <v>0.08059700480842669</v>
      </c>
      <c r="BN11" s="143" t="n">
        <v>0.05623040875810938</v>
      </c>
      <c r="BO11" s="143" t="n">
        <v>0.0778747823028826</v>
      </c>
      <c r="BP11" s="143" t="n">
        <v>-0.09431160485611609</v>
      </c>
      <c r="BQ11" s="143" t="n">
        <v>-0.008667527776742616</v>
      </c>
      <c r="BR11" s="143" t="n">
        <v>0.01409843752080486</v>
      </c>
      <c r="BS11" s="143" t="n">
        <v>0.001698398347627595</v>
      </c>
      <c r="BT11" s="143" t="n">
        <v>0.006656292167802908</v>
      </c>
      <c r="BU11" s="143" t="n">
        <v>-0.07521052032829512</v>
      </c>
      <c r="BV11" s="143" t="n">
        <v>-0.05430856649352984</v>
      </c>
      <c r="BW11" s="143" t="n">
        <v>-0.1260444073993549</v>
      </c>
      <c r="BX11" s="143" t="n">
        <v>-0.08357265381848272</v>
      </c>
      <c r="BY11" s="143" t="n">
        <v>-0.1204960045235484</v>
      </c>
      <c r="BZ11" s="143" t="n">
        <v>-0.1077342527442223</v>
      </c>
      <c r="CA11" s="143" t="n">
        <v>0.03095394111139741</v>
      </c>
      <c r="CB11" s="143" t="n">
        <v>0.1377884582193576</v>
      </c>
      <c r="CC11" s="143" t="n">
        <v>-0.09807410104927838</v>
      </c>
      <c r="CD11" s="143" t="n">
        <v>-0.1344391778726713</v>
      </c>
      <c r="CE11" s="143" t="n">
        <v>-0.06255537256116132</v>
      </c>
    </row>
    <row r="12">
      <c r="A12" s="251" t="n">
        <v>39356</v>
      </c>
      <c r="B12" s="3" t="n">
        <v>0</v>
      </c>
      <c r="C12" s="143" t="n">
        <v>0.02038315481409868</v>
      </c>
      <c r="D12" s="143" t="n">
        <v>0.09013605907855991</v>
      </c>
      <c r="E12" s="143" t="n">
        <v>0.04713702788996454</v>
      </c>
      <c r="F12" s="143" t="n">
        <v>0.0859171127217923</v>
      </c>
      <c r="G12" s="143" t="n">
        <v>-0.03329897032497827</v>
      </c>
      <c r="H12" s="143" t="n">
        <v>-0.003185477486837974</v>
      </c>
      <c r="I12" s="143" t="n">
        <v>0.005534374724412882</v>
      </c>
      <c r="J12" s="143" t="n">
        <v>0.006314900455441886</v>
      </c>
      <c r="K12" s="143" t="n">
        <v>0.008505834890174424</v>
      </c>
      <c r="L12" s="143" t="n">
        <v>-0.04188100804083758</v>
      </c>
      <c r="M12" s="143" t="n">
        <v>0.02009289712687918</v>
      </c>
      <c r="N12" s="143" t="n">
        <v>0.03070115973726794</v>
      </c>
      <c r="O12" s="143" t="n">
        <v>0.001169298977160962</v>
      </c>
      <c r="P12" s="143" t="n">
        <v>-0.03117745390051888</v>
      </c>
      <c r="Q12" s="143" t="n">
        <v>-0.004037278244443037</v>
      </c>
      <c r="R12" s="143" t="n">
        <v>-0.001077342106024592</v>
      </c>
      <c r="S12" s="143" t="n">
        <v>-0.01278277925415549</v>
      </c>
      <c r="T12" s="143" t="n">
        <v>-0.07054705952151469</v>
      </c>
      <c r="U12" s="143" t="n">
        <v>-0.05269934774161941</v>
      </c>
      <c r="V12" s="143" t="n">
        <v>0.0546189668957075</v>
      </c>
      <c r="W12" s="143" t="n">
        <v>-0.06471644038570394</v>
      </c>
      <c r="X12" s="143" t="n">
        <v>-0.06541987995511377</v>
      </c>
      <c r="Y12" s="143" t="n">
        <v>-0.07218745374357384</v>
      </c>
      <c r="Z12" s="143" t="n">
        <v>-0.005885881373897542</v>
      </c>
      <c r="AA12" s="143" t="n">
        <v>-0.003032993534054362</v>
      </c>
      <c r="AB12" s="143" t="n">
        <v>0.001312836891862532</v>
      </c>
      <c r="AC12" s="143" t="n">
        <v>0.002209606470063207</v>
      </c>
      <c r="AD12" s="143" t="n">
        <v>-0.04569007488928582</v>
      </c>
      <c r="AE12" s="143" t="n">
        <v>-0.02016908312621604</v>
      </c>
      <c r="AF12" s="143" t="n">
        <v>0.000142484437960957</v>
      </c>
      <c r="AG12" s="143" t="n">
        <v>0.0003603628493458148</v>
      </c>
      <c r="AH12" s="143" t="n">
        <v>-0.04856577516121408</v>
      </c>
      <c r="AI12" s="143" t="n">
        <v>-0.008567867743711788</v>
      </c>
      <c r="AJ12" s="143" t="n">
        <v>-0.01178239975887585</v>
      </c>
      <c r="AK12" s="143" t="n">
        <v>-0.007212531315646831</v>
      </c>
      <c r="AL12" s="143" t="n">
        <v>-0.02645636260089212</v>
      </c>
      <c r="AM12" s="143" t="n">
        <v>-0.02887614273312089</v>
      </c>
      <c r="AN12" s="143" t="n">
        <v>0.02091223250087645</v>
      </c>
      <c r="AO12" s="143" t="n">
        <v>-0.02664631016472999</v>
      </c>
      <c r="AP12" s="143" t="n">
        <v>0.01065695009364333</v>
      </c>
      <c r="AQ12" s="143" t="n">
        <v>-0.1121259419281344</v>
      </c>
      <c r="AR12" s="143" t="n">
        <v>-0.008485822985165082</v>
      </c>
      <c r="AS12" s="143" t="n">
        <v>-0.007832377045458264</v>
      </c>
      <c r="AT12" s="143" t="n">
        <v>-0.009580276417807098</v>
      </c>
      <c r="AU12" s="143" t="n">
        <v>-0.007596838138570579</v>
      </c>
      <c r="AV12" s="143" t="n">
        <v>-0.06962770356038413</v>
      </c>
      <c r="AW12" s="143" t="n">
        <v>-0.01653785739337984</v>
      </c>
      <c r="AX12" s="143" t="n">
        <v>0.002018859393326711</v>
      </c>
      <c r="AY12" s="143" t="n">
        <v>0.003920329654029333</v>
      </c>
      <c r="AZ12" s="143" t="n">
        <v>0.00176056630953438</v>
      </c>
      <c r="BA12" s="143" t="n">
        <v>-0.05329388740599616</v>
      </c>
      <c r="BB12" s="143" t="n">
        <v>0.02205005179819101</v>
      </c>
      <c r="BC12" s="143" t="n">
        <v>0.04064616740901368</v>
      </c>
      <c r="BD12" s="143" t="n">
        <v>0.02153413674348351</v>
      </c>
      <c r="BE12" s="143" t="n">
        <v>0.02700082068998038</v>
      </c>
      <c r="BF12" s="143" t="n">
        <v>-0.05113861990060661</v>
      </c>
      <c r="BG12" s="143" t="n">
        <v>-0.01165365653472897</v>
      </c>
      <c r="BH12" s="143" t="n">
        <v>0.02124397399390778</v>
      </c>
      <c r="BI12" s="143" t="n">
        <v>0.03536208609651785</v>
      </c>
      <c r="BJ12" s="143" t="n">
        <v>0.03871947002400198</v>
      </c>
      <c r="BK12" s="143" t="n">
        <v>-0.07467861953739378</v>
      </c>
      <c r="BL12" s="143" t="n">
        <v>0.04417712845542907</v>
      </c>
      <c r="BM12" s="143" t="n">
        <v>0.0554245516994963</v>
      </c>
      <c r="BN12" s="143" t="n">
        <v>0.0812245396566046</v>
      </c>
      <c r="BO12" s="143" t="n">
        <v>0.07080800930832243</v>
      </c>
      <c r="BP12" s="143" t="n">
        <v>-0.09431160485611609</v>
      </c>
      <c r="BQ12" s="143" t="n">
        <v>-0.003010530717746687</v>
      </c>
      <c r="BR12" s="143" t="n">
        <v>0.02048428679663494</v>
      </c>
      <c r="BS12" s="143" t="n">
        <v>0.007890593479066578</v>
      </c>
      <c r="BT12" s="143" t="n">
        <v>0.01399711899107938</v>
      </c>
      <c r="BU12" s="143" t="n">
        <v>-0.07521052032829512</v>
      </c>
      <c r="BV12" s="143" t="n">
        <v>-0.03737997614096866</v>
      </c>
      <c r="BW12" s="143" t="n">
        <v>-0.1260444073993549</v>
      </c>
      <c r="BX12" s="143" t="n">
        <v>0.06580012882611616</v>
      </c>
      <c r="BY12" s="143" t="n">
        <v>-0.05584194439777573</v>
      </c>
      <c r="BZ12" s="143" t="n">
        <v>-0.1077342527442223</v>
      </c>
      <c r="CA12" s="143" t="n">
        <v>0.05276474362945507</v>
      </c>
      <c r="CB12" s="143" t="n">
        <v>0.1776225821310618</v>
      </c>
      <c r="CC12" s="143" t="n">
        <v>-0.09807410104927838</v>
      </c>
      <c r="CD12" s="143" t="n">
        <v>-0.1344391778726713</v>
      </c>
      <c r="CE12" s="143" t="n">
        <v>-0.06255537256116132</v>
      </c>
    </row>
    <row r="13">
      <c r="A13" s="251" t="n">
        <v>39448</v>
      </c>
      <c r="B13" s="3" t="n">
        <v>0</v>
      </c>
      <c r="C13" s="143" t="n">
        <v>0.03582270922254915</v>
      </c>
      <c r="D13" s="143" t="n">
        <v>0.1077666133506741</v>
      </c>
      <c r="E13" s="143" t="n">
        <v>0.05922702082821493</v>
      </c>
      <c r="F13" s="143" t="n">
        <v>0.1003779134813619</v>
      </c>
      <c r="G13" s="143" t="n">
        <v>-0.03329897032497827</v>
      </c>
      <c r="H13" s="143" t="n">
        <v>-0.002133957070936392</v>
      </c>
      <c r="I13" s="143" t="n">
        <v>0.002644371142377088</v>
      </c>
      <c r="J13" s="143" t="n">
        <v>0.007841522734532754</v>
      </c>
      <c r="K13" s="143" t="n">
        <v>0.008192559403391321</v>
      </c>
      <c r="L13" s="143" t="n">
        <v>0.005895226759158183</v>
      </c>
      <c r="M13" s="143" t="n">
        <v>0.008659299999042133</v>
      </c>
      <c r="N13" s="143" t="n">
        <v>0.03329266229994157</v>
      </c>
      <c r="O13" s="143" t="n">
        <v>0.01318008122102673</v>
      </c>
      <c r="P13" s="143" t="n">
        <v>-0.03591338660670091</v>
      </c>
      <c r="Q13" s="143" t="n">
        <v>-0.01959267383332664</v>
      </c>
      <c r="R13" s="143" t="n">
        <v>-0.007707139681560657</v>
      </c>
      <c r="S13" s="143" t="n">
        <v>-0.01838266552184283</v>
      </c>
      <c r="T13" s="143" t="n">
        <v>-0.02003135296268025</v>
      </c>
      <c r="U13" s="143" t="n">
        <v>-0.05269934774161941</v>
      </c>
      <c r="V13" s="143" t="n">
        <v>0.04678443594773829</v>
      </c>
      <c r="W13" s="143" t="n">
        <v>0.03508546226516197</v>
      </c>
      <c r="X13" s="143" t="n">
        <v>0.03270640060990662</v>
      </c>
      <c r="Y13" s="143" t="n">
        <v>-0.07218745374357384</v>
      </c>
      <c r="Z13" s="143" t="n">
        <v>-0.007944702528766286</v>
      </c>
      <c r="AA13" s="143" t="n">
        <v>-0.006332945685293768</v>
      </c>
      <c r="AB13" s="143" t="n">
        <v>0.0008998766255880898</v>
      </c>
      <c r="AC13" s="143" t="n">
        <v>-0.001178034011807975</v>
      </c>
      <c r="AD13" s="143" t="n">
        <v>-0.0005875133504167543</v>
      </c>
      <c r="AE13" s="143" t="n">
        <v>-0.02475204225595941</v>
      </c>
      <c r="AF13" s="143" t="n">
        <v>-0.003948394162093454</v>
      </c>
      <c r="AG13" s="143" t="n">
        <v>-0.001544317955010855</v>
      </c>
      <c r="AH13" s="143" t="n">
        <v>-0.05136429398682019</v>
      </c>
      <c r="AI13" s="143" t="n">
        <v>-0.008464510074601882</v>
      </c>
      <c r="AJ13" s="143" t="n">
        <v>-0.01332323099927723</v>
      </c>
      <c r="AK13" s="143" t="n">
        <v>-0.008315141415160227</v>
      </c>
      <c r="AL13" s="143" t="n">
        <v>-0.007847373048026813</v>
      </c>
      <c r="AM13" s="143" t="n">
        <v>-0.03607134754591892</v>
      </c>
      <c r="AN13" s="143" t="n">
        <v>0.04507554223635907</v>
      </c>
      <c r="AO13" s="143" t="n">
        <v>-0.03857821018985856</v>
      </c>
      <c r="AP13" s="143" t="n">
        <v>0.005653168174311681</v>
      </c>
      <c r="AQ13" s="143" t="n">
        <v>0.004128438148568021</v>
      </c>
      <c r="AR13" s="143" t="n">
        <v>-0.003192157595940283</v>
      </c>
      <c r="AS13" s="143" t="n">
        <v>0.0009864945283496844</v>
      </c>
      <c r="AT13" s="143" t="n">
        <v>-0.004059248743041172</v>
      </c>
      <c r="AU13" s="143" t="n">
        <v>0.002648065594619651</v>
      </c>
      <c r="AV13" s="143" t="n">
        <v>-0.0005055181175044293</v>
      </c>
      <c r="AW13" s="143" t="n">
        <v>-0.02143973296266908</v>
      </c>
      <c r="AX13" s="143" t="n">
        <v>-0.01019374649390063</v>
      </c>
      <c r="AY13" s="143" t="n">
        <v>0.002029339919395809</v>
      </c>
      <c r="AZ13" s="143" t="n">
        <v>-0.002816856316291938</v>
      </c>
      <c r="BA13" s="143" t="n">
        <v>-0.002419267062810019</v>
      </c>
      <c r="BB13" s="143" t="n">
        <v>0.01721301237407969</v>
      </c>
      <c r="BC13" s="143" t="n">
        <v>0.0009799466963387343</v>
      </c>
      <c r="BD13" s="143" t="n">
        <v>0.01753980245035379</v>
      </c>
      <c r="BE13" s="143" t="n">
        <v>0.01227658750333965</v>
      </c>
      <c r="BF13" s="143" t="n">
        <v>0.0130238845544489</v>
      </c>
      <c r="BG13" s="143" t="n">
        <v>-0.003264691681813545</v>
      </c>
      <c r="BH13" s="143" t="n">
        <v>0.03583780164120715</v>
      </c>
      <c r="BI13" s="143" t="n">
        <v>0.04684416568815027</v>
      </c>
      <c r="BJ13" s="143" t="n">
        <v>0.04383912480338848</v>
      </c>
      <c r="BK13" s="143" t="n">
        <v>-0.07467861953739378</v>
      </c>
      <c r="BL13" s="143" t="n">
        <v>0.03619033435305326</v>
      </c>
      <c r="BM13" s="143" t="n">
        <v>0.009829536811568016</v>
      </c>
      <c r="BN13" s="143" t="n">
        <v>0.05403333962679346</v>
      </c>
      <c r="BO13" s="143" t="n">
        <v>0.03572597853091025</v>
      </c>
      <c r="BP13" s="143" t="n">
        <v>0.03932779399723976</v>
      </c>
      <c r="BQ13" s="143" t="n">
        <v>0.002935019219115212</v>
      </c>
      <c r="BR13" s="143" t="n">
        <v>0.02542966772066288</v>
      </c>
      <c r="BS13" s="143" t="n">
        <v>0.01440571261330742</v>
      </c>
      <c r="BT13" s="143" t="n">
        <v>0.02042343277260909</v>
      </c>
      <c r="BU13" s="143" t="n">
        <v>0.01443508072003623</v>
      </c>
      <c r="BV13" s="143" t="n">
        <v>-0.02059747286033614</v>
      </c>
      <c r="BW13" s="143" t="n">
        <v>-0.1155824508354905</v>
      </c>
      <c r="BX13" s="143" t="n">
        <v>0.05392698681181732</v>
      </c>
      <c r="BY13" s="143" t="n">
        <v>-0.04520892046458473</v>
      </c>
      <c r="BZ13" s="143" t="n">
        <v>-0.1077342527442223</v>
      </c>
      <c r="CA13" s="143" t="n">
        <v>0.05970977466205566</v>
      </c>
      <c r="CB13" s="143" t="n">
        <v>0.1656388874271858</v>
      </c>
      <c r="CC13" s="143" t="n">
        <v>-0.09807410104927838</v>
      </c>
      <c r="CD13" s="143" t="n">
        <v>-0.1344391778726713</v>
      </c>
      <c r="CE13" s="143" t="n">
        <v>-0.06255537256116132</v>
      </c>
    </row>
    <row r="14">
      <c r="A14" s="251" t="n">
        <v>39539</v>
      </c>
      <c r="B14" s="3" t="n">
        <v>0</v>
      </c>
      <c r="C14" s="143" t="n">
        <v>0.02675910563747563</v>
      </c>
      <c r="D14" s="143" t="n">
        <v>0.06615872522428624</v>
      </c>
      <c r="E14" s="143" t="n">
        <v>0.05525180610338884</v>
      </c>
      <c r="F14" s="143" t="n">
        <v>0.06856194387566773</v>
      </c>
      <c r="G14" s="143" t="n">
        <v>-0.03329897032497827</v>
      </c>
      <c r="H14" s="143" t="n">
        <v>-0.005098536445339818</v>
      </c>
      <c r="I14" s="143" t="n">
        <v>-0.001687383537668248</v>
      </c>
      <c r="J14" s="143" t="n">
        <v>0.006035011124512934</v>
      </c>
      <c r="K14" s="143" t="n">
        <v>0.002134402343617177</v>
      </c>
      <c r="L14" s="143" t="n">
        <v>0.003007936527246335</v>
      </c>
      <c r="M14" s="143" t="n">
        <v>-0.01802738185216438</v>
      </c>
      <c r="N14" s="143" t="n">
        <v>0.02144149171507153</v>
      </c>
      <c r="O14" s="143" t="n">
        <v>0.008341979480263608</v>
      </c>
      <c r="P14" s="143" t="n">
        <v>-0.0362973811504454</v>
      </c>
      <c r="Q14" s="143" t="n">
        <v>-0.02386743903332519</v>
      </c>
      <c r="R14" s="143" t="n">
        <v>-0.01267948786321267</v>
      </c>
      <c r="S14" s="143" t="n">
        <v>-0.01701732222689433</v>
      </c>
      <c r="T14" s="143" t="n">
        <v>-0.01850780429157691</v>
      </c>
      <c r="U14" s="143" t="n">
        <v>-0.05269934774161941</v>
      </c>
      <c r="V14" s="143" t="n">
        <v>0.03455399451946112</v>
      </c>
      <c r="W14" s="143" t="n">
        <v>0.03220508536664977</v>
      </c>
      <c r="X14" s="143" t="n">
        <v>0.02721920513344898</v>
      </c>
      <c r="Y14" s="143" t="n">
        <v>-0.07218745374357384</v>
      </c>
      <c r="Z14" s="143" t="n">
        <v>-0.008406551896608685</v>
      </c>
      <c r="AA14" s="143" t="n">
        <v>-0.003372590158507854</v>
      </c>
      <c r="AB14" s="143" t="n">
        <v>0.0008550672212110463</v>
      </c>
      <c r="AC14" s="143" t="n">
        <v>-0.002207784386202194</v>
      </c>
      <c r="AD14" s="143" t="n">
        <v>-0.0006802972505789192</v>
      </c>
      <c r="AE14" s="143" t="n">
        <v>-0.01535456778347958</v>
      </c>
      <c r="AF14" s="143" t="n">
        <v>-0.001555922806837784</v>
      </c>
      <c r="AG14" s="143" t="n">
        <v>0.001810250984047995</v>
      </c>
      <c r="AH14" s="143" t="n">
        <v>-0.05432755631443491</v>
      </c>
      <c r="AI14" s="143" t="n">
        <v>-0.008894022614463582</v>
      </c>
      <c r="AJ14" s="143" t="n">
        <v>-0.01422545722274327</v>
      </c>
      <c r="AK14" s="143" t="n">
        <v>-0.009367308661064061</v>
      </c>
      <c r="AL14" s="143" t="n">
        <v>-0.008087258596344101</v>
      </c>
      <c r="AM14" s="143" t="n">
        <v>-0.05482713126241956</v>
      </c>
      <c r="AN14" s="143" t="n">
        <v>0.0209204497723355</v>
      </c>
      <c r="AO14" s="143" t="n">
        <v>-0.0562663127922181</v>
      </c>
      <c r="AP14" s="143" t="n">
        <v>-0.01256658726981513</v>
      </c>
      <c r="AQ14" s="143" t="n">
        <v>-0.02199632845030905</v>
      </c>
      <c r="AR14" s="143" t="n">
        <v>-0.007687820010160296</v>
      </c>
      <c r="AS14" s="143" t="n">
        <v>9.540319371040522e-06</v>
      </c>
      <c r="AT14" s="143" t="n">
        <v>-0.007179593248196392</v>
      </c>
      <c r="AU14" s="143" t="n">
        <v>-0.004170770868069029</v>
      </c>
      <c r="AV14" s="143" t="n">
        <v>-0.008052386792425929</v>
      </c>
      <c r="AW14" s="143" t="n">
        <v>-0.01822835714458548</v>
      </c>
      <c r="AX14" s="143" t="n">
        <v>-0.006897979186706539</v>
      </c>
      <c r="AY14" s="143" t="n">
        <v>0.003079119007123184</v>
      </c>
      <c r="AZ14" s="143" t="n">
        <v>-0.0008000736813631844</v>
      </c>
      <c r="BA14" s="143" t="n">
        <v>8.271393864331601e-05</v>
      </c>
      <c r="BB14" s="143" t="n">
        <v>0.02648341900547047</v>
      </c>
      <c r="BC14" s="143" t="n">
        <v>0.00327895461078385</v>
      </c>
      <c r="BD14" s="143" t="n">
        <v>0.02045222129005899</v>
      </c>
      <c r="BE14" s="143" t="n">
        <v>0.02214455558063884</v>
      </c>
      <c r="BF14" s="143" t="n">
        <v>0.02066667503831536</v>
      </c>
      <c r="BG14" s="143" t="n">
        <v>0.009693056704099746</v>
      </c>
      <c r="BH14" s="143" t="n">
        <v>0.04084555058510906</v>
      </c>
      <c r="BI14" s="143" t="n">
        <v>0.05271394914393088</v>
      </c>
      <c r="BJ14" s="143" t="n">
        <v>0.05342717379822516</v>
      </c>
      <c r="BK14" s="143" t="n">
        <v>0.0655556413563818</v>
      </c>
      <c r="BL14" s="143" t="n">
        <v>0.03778587704596774</v>
      </c>
      <c r="BM14" s="143" t="n">
        <v>0.005257116876826735</v>
      </c>
      <c r="BN14" s="143" t="n">
        <v>0.04143947662880138</v>
      </c>
      <c r="BO14" s="143" t="n">
        <v>0.02559658130463104</v>
      </c>
      <c r="BP14" s="143" t="n">
        <v>0.0376293759202256</v>
      </c>
      <c r="BQ14" s="143" t="n">
        <v>-0.003655746805303845</v>
      </c>
      <c r="BR14" s="143" t="n">
        <v>0.00746613646998851</v>
      </c>
      <c r="BS14" s="143" t="n">
        <v>0.01128605902403088</v>
      </c>
      <c r="BT14" s="143" t="n">
        <v>0.008411948479631969</v>
      </c>
      <c r="BU14" s="143" t="n">
        <v>0.007104420644283131</v>
      </c>
      <c r="BV14" s="143" t="n">
        <v>-0.01796546699317264</v>
      </c>
      <c r="BW14" s="143" t="n">
        <v>-0.1097141593869272</v>
      </c>
      <c r="BX14" s="143" t="n">
        <v>0.03631535439540218</v>
      </c>
      <c r="BY14" s="143" t="n">
        <v>-0.05395748185357765</v>
      </c>
      <c r="BZ14" s="143" t="n">
        <v>-0.1077342527442223</v>
      </c>
      <c r="CA14" s="143" t="n">
        <v>0.04922376751599313</v>
      </c>
      <c r="CB14" s="143" t="n">
        <v>0.08839728453980743</v>
      </c>
      <c r="CC14" s="143" t="n">
        <v>0.1129056747885143</v>
      </c>
      <c r="CD14" s="143" t="n">
        <v>0.1395493335938114</v>
      </c>
      <c r="CE14" s="143" t="n">
        <v>-0.06255537256116132</v>
      </c>
    </row>
    <row r="15">
      <c r="A15" s="251" t="n">
        <v>39630</v>
      </c>
      <c r="B15" s="3" t="n">
        <v>0</v>
      </c>
      <c r="C15" s="143" t="n">
        <v>0.01499478367335036</v>
      </c>
      <c r="D15" s="143" t="n">
        <v>0.0208396465694576</v>
      </c>
      <c r="E15" s="143" t="n">
        <v>0.04159285211564542</v>
      </c>
      <c r="F15" s="143" t="n">
        <v>0.03307020001175554</v>
      </c>
      <c r="G15" s="143" t="n">
        <v>-0.03329897032497827</v>
      </c>
      <c r="H15" s="143" t="n">
        <v>-0.01052441440322166</v>
      </c>
      <c r="I15" s="143" t="n">
        <v>-0.006593569089601566</v>
      </c>
      <c r="J15" s="143" t="n">
        <v>0.001235620866375675</v>
      </c>
      <c r="K15" s="143" t="n">
        <v>-0.006702345803880906</v>
      </c>
      <c r="L15" s="143" t="n">
        <v>-0.002037179428959379</v>
      </c>
      <c r="M15" s="143" t="n">
        <v>-0.02190285266510824</v>
      </c>
      <c r="N15" s="143" t="n">
        <v>0.01351011474245795</v>
      </c>
      <c r="O15" s="143" t="n">
        <v>0.009817603537369313</v>
      </c>
      <c r="P15" s="143" t="n">
        <v>-0.04090531567537926</v>
      </c>
      <c r="Q15" s="143" t="n">
        <v>-0.02149256947777046</v>
      </c>
      <c r="R15" s="143" t="n">
        <v>-0.00928171660575047</v>
      </c>
      <c r="S15" s="143" t="n">
        <v>-0.01968864606483705</v>
      </c>
      <c r="T15" s="143" t="n">
        <v>-0.0211177094064235</v>
      </c>
      <c r="U15" s="143" t="n">
        <v>-0.05269934774161941</v>
      </c>
      <c r="V15" s="143" t="n">
        <v>0.02208357388819388</v>
      </c>
      <c r="W15" s="143" t="n">
        <v>0.0283052907215753</v>
      </c>
      <c r="X15" s="143" t="n">
        <v>0.02015927433747983</v>
      </c>
      <c r="Y15" s="143" t="n">
        <v>-0.07218745374357384</v>
      </c>
      <c r="Z15" s="143" t="n">
        <v>-0.006294768956450151</v>
      </c>
      <c r="AA15" s="143" t="n">
        <v>0.0006755549131547074</v>
      </c>
      <c r="AB15" s="143" t="n">
        <v>0.0005738411225505002</v>
      </c>
      <c r="AC15" s="143" t="n">
        <v>0.0002857260961531549</v>
      </c>
      <c r="AD15" s="143" t="n">
        <v>0.0008859039769766359</v>
      </c>
      <c r="AE15" s="143" t="n">
        <v>0.007391660766640508</v>
      </c>
      <c r="AF15" s="143" t="n">
        <v>0.002308009098651616</v>
      </c>
      <c r="AG15" s="143" t="n">
        <v>0.008170215530790271</v>
      </c>
      <c r="AH15" s="143" t="n">
        <v>-0.05652221395243073</v>
      </c>
      <c r="AI15" s="143" t="n">
        <v>-0.01002905241309127</v>
      </c>
      <c r="AJ15" s="143" t="n">
        <v>-0.01599896549760703</v>
      </c>
      <c r="AK15" s="143" t="n">
        <v>-0.01101115258122431</v>
      </c>
      <c r="AL15" s="143" t="n">
        <v>-0.008950676276749109</v>
      </c>
      <c r="AM15" s="143" t="n">
        <v>-0.07040307001814806</v>
      </c>
      <c r="AN15" s="143" t="n">
        <v>0.005266743131520478</v>
      </c>
      <c r="AO15" s="143" t="n">
        <v>-0.05529406032322582</v>
      </c>
      <c r="AP15" s="143" t="n">
        <v>-0.02363608420703215</v>
      </c>
      <c r="AQ15" s="143" t="n">
        <v>-0.04281688074586287</v>
      </c>
      <c r="AR15" s="143" t="n">
        <v>-0.01319669894583605</v>
      </c>
      <c r="AS15" s="143" t="n">
        <v>-0.00437447056416167</v>
      </c>
      <c r="AT15" s="143" t="n">
        <v>-0.01305878884269449</v>
      </c>
      <c r="AU15" s="143" t="n">
        <v>-0.01218611675764029</v>
      </c>
      <c r="AV15" s="143" t="n">
        <v>-0.01719749032449024</v>
      </c>
      <c r="AW15" s="143" t="n">
        <v>-0.02010877105000016</v>
      </c>
      <c r="AX15" s="143" t="n">
        <v>-0.004731218105378654</v>
      </c>
      <c r="AY15" s="143" t="n">
        <v>0.0008086409769677237</v>
      </c>
      <c r="AZ15" s="143" t="n">
        <v>-0.002892484384709171</v>
      </c>
      <c r="BA15" s="143" t="n">
        <v>-0.0006569278449370479</v>
      </c>
      <c r="BB15" s="143" t="n">
        <v>0.03785431577441657</v>
      </c>
      <c r="BC15" s="143" t="n">
        <v>0.02107690928167815</v>
      </c>
      <c r="BD15" s="143" t="n">
        <v>0.02575656012110406</v>
      </c>
      <c r="BE15" s="143" t="n">
        <v>0.03457972440073753</v>
      </c>
      <c r="BF15" s="143" t="n">
        <v>0.02945272869938767</v>
      </c>
      <c r="BG15" s="143" t="n">
        <v>0.01887024205069552</v>
      </c>
      <c r="BH15" s="143" t="n">
        <v>0.0389348526918738</v>
      </c>
      <c r="BI15" s="143" t="n">
        <v>0.04562350714483815</v>
      </c>
      <c r="BJ15" s="143" t="n">
        <v>0.05599690137322538</v>
      </c>
      <c r="BK15" s="143" t="n">
        <v>0.07018755183857676</v>
      </c>
      <c r="BL15" s="143" t="n">
        <v>0.04828532140459962</v>
      </c>
      <c r="BM15" s="143" t="n">
        <v>0.01428784410231723</v>
      </c>
      <c r="BN15" s="143" t="n">
        <v>0.04935807936236088</v>
      </c>
      <c r="BO15" s="143" t="n">
        <v>0.0355621462574541</v>
      </c>
      <c r="BP15" s="143" t="n">
        <v>0.04557776811254303</v>
      </c>
      <c r="BQ15" s="143" t="n">
        <v>-0.01556564002700717</v>
      </c>
      <c r="BR15" s="143" t="n">
        <v>-0.01166952157867491</v>
      </c>
      <c r="BS15" s="143" t="n">
        <v>0.001157064035293931</v>
      </c>
      <c r="BT15" s="143" t="n">
        <v>-0.01018046607657631</v>
      </c>
      <c r="BU15" s="143" t="n">
        <v>-0.005753977881354904</v>
      </c>
      <c r="BV15" s="143" t="n">
        <v>0.002827540186817836</v>
      </c>
      <c r="BW15" s="143" t="n">
        <v>0.07491459817973531</v>
      </c>
      <c r="BX15" s="143" t="n">
        <v>-0.07047047775717789</v>
      </c>
      <c r="BY15" s="143" t="n">
        <v>-0.02998482262548129</v>
      </c>
      <c r="BZ15" s="143" t="n">
        <v>-0.1077342527442223</v>
      </c>
      <c r="CA15" s="143" t="n">
        <v>0.03550712334518438</v>
      </c>
      <c r="CB15" s="143" t="n">
        <v>0.008657780924763558</v>
      </c>
      <c r="CC15" s="143" t="n">
        <v>0.09494037367303819</v>
      </c>
      <c r="CD15" s="143" t="n">
        <v>0.06923410655490742</v>
      </c>
      <c r="CE15" s="143" t="n">
        <v>-0.06255537256116132</v>
      </c>
    </row>
    <row r="16">
      <c r="A16" s="251" t="n">
        <v>39722</v>
      </c>
      <c r="B16" s="3" t="n">
        <v>0</v>
      </c>
      <c r="C16" s="143" t="n">
        <v>0.003604692569891232</v>
      </c>
      <c r="D16" s="143" t="n">
        <v>-0.02719924596402241</v>
      </c>
      <c r="E16" s="143" t="n">
        <v>0.0317487194486826</v>
      </c>
      <c r="F16" s="143" t="n">
        <v>0.001902267910490633</v>
      </c>
      <c r="G16" s="143" t="n">
        <v>0.01304470044790916</v>
      </c>
      <c r="H16" s="143" t="n">
        <v>-0.01076705739783163</v>
      </c>
      <c r="I16" s="143" t="n">
        <v>-0.008301985919916204</v>
      </c>
      <c r="J16" s="143" t="n">
        <v>-0.001549577728640284</v>
      </c>
      <c r="K16" s="143" t="n">
        <v>-0.007358916676329355</v>
      </c>
      <c r="L16" s="143" t="n">
        <v>-0.002301987194780877</v>
      </c>
      <c r="M16" s="143" t="n">
        <v>0.005461433370099112</v>
      </c>
      <c r="N16" s="143" t="n">
        <v>0.01191393458625441</v>
      </c>
      <c r="O16" s="143" t="n">
        <v>0.01637923593627644</v>
      </c>
      <c r="P16" s="143" t="n">
        <v>-0.02656951937558504</v>
      </c>
      <c r="Q16" s="143" t="n">
        <v>0.004274765199998532</v>
      </c>
      <c r="R16" s="143" t="n">
        <v>0.0001657449393884151</v>
      </c>
      <c r="S16" s="143" t="n">
        <v>0.0002572385918019046</v>
      </c>
      <c r="T16" s="143" t="n">
        <v>-0.0008081432081504698</v>
      </c>
      <c r="U16" s="143" t="n">
        <v>-0.05269934774161941</v>
      </c>
      <c r="V16" s="143" t="n">
        <v>0.02616038706957035</v>
      </c>
      <c r="W16" s="143" t="n">
        <v>0.02940355433365532</v>
      </c>
      <c r="X16" s="143" t="n">
        <v>0.02357566538350056</v>
      </c>
      <c r="Y16" s="143" t="n">
        <v>-0.07218745374357384</v>
      </c>
      <c r="Z16" s="143" t="n">
        <v>2.116304568954e-05</v>
      </c>
      <c r="AA16" s="143" t="n">
        <v>0.01091296019900585</v>
      </c>
      <c r="AB16" s="143" t="n">
        <v>0.001628374759277646</v>
      </c>
      <c r="AC16" s="143" t="n">
        <v>0.008627365259063441</v>
      </c>
      <c r="AD16" s="143" t="n">
        <v>0.005166528931808121</v>
      </c>
      <c r="AE16" s="143" t="n">
        <v>0.02860945881673695</v>
      </c>
      <c r="AF16" s="143" t="n">
        <v>0.004216356420250897</v>
      </c>
      <c r="AG16" s="143" t="n">
        <v>0.01094852937265891</v>
      </c>
      <c r="AH16" s="143" t="n">
        <v>-0.05652221395243073</v>
      </c>
      <c r="AI16" s="143" t="n">
        <v>-0.01335180177833505</v>
      </c>
      <c r="AJ16" s="143" t="n">
        <v>-0.01807859824228811</v>
      </c>
      <c r="AK16" s="143" t="n">
        <v>-0.01167381126920589</v>
      </c>
      <c r="AL16" s="143" t="n">
        <v>-0.009567712053932777</v>
      </c>
      <c r="AM16" s="143" t="n">
        <v>-0.05383786508874797</v>
      </c>
      <c r="AN16" s="143" t="n">
        <v>-0.02408200677529375</v>
      </c>
      <c r="AO16" s="143" t="n">
        <v>-0.003224831681137802</v>
      </c>
      <c r="AP16" s="143" t="n">
        <v>0.007435642468394882</v>
      </c>
      <c r="AQ16" s="143" t="n">
        <v>-0.01795260428297836</v>
      </c>
      <c r="AR16" s="143" t="n">
        <v>-0.01330677060848332</v>
      </c>
      <c r="AS16" s="143" t="n">
        <v>-0.006222697785470571</v>
      </c>
      <c r="AT16" s="143" t="n">
        <v>-0.01460914123953617</v>
      </c>
      <c r="AU16" s="143" t="n">
        <v>-0.01035349504896592</v>
      </c>
      <c r="AV16" s="143" t="n">
        <v>-0.01536605698505683</v>
      </c>
      <c r="AW16" s="143" t="n">
        <v>-0.02006805257117123</v>
      </c>
      <c r="AX16" s="143" t="n">
        <v>-0.002925409864191391</v>
      </c>
      <c r="AY16" s="143" t="n">
        <v>-0.0004884753526472833</v>
      </c>
      <c r="AZ16" s="143" t="n">
        <v>-0.003034137271786361</v>
      </c>
      <c r="BA16" s="143" t="n">
        <v>-0.000609869584894054</v>
      </c>
      <c r="BB16" s="143" t="n">
        <v>0.04550948777570037</v>
      </c>
      <c r="BC16" s="143" t="n">
        <v>0.04736478008261716</v>
      </c>
      <c r="BD16" s="143" t="n">
        <v>0.02889687709186281</v>
      </c>
      <c r="BE16" s="143" t="n">
        <v>0.0392107098066856</v>
      </c>
      <c r="BF16" s="143" t="n">
        <v>0.03343470685469031</v>
      </c>
      <c r="BG16" s="143" t="n">
        <v>-0.008609499351538574</v>
      </c>
      <c r="BH16" s="143" t="n">
        <v>0.003500694466300295</v>
      </c>
      <c r="BI16" s="143" t="n">
        <v>0.01893578838998588</v>
      </c>
      <c r="BJ16" s="143" t="n">
        <v>0.004343861854002114</v>
      </c>
      <c r="BK16" s="143" t="n">
        <v>0.02171458550836261</v>
      </c>
      <c r="BL16" s="143" t="n">
        <v>0.05940315153527238</v>
      </c>
      <c r="BM16" s="143" t="n">
        <v>0.02867763511161101</v>
      </c>
      <c r="BN16" s="143" t="n">
        <v>0.04374905434139021</v>
      </c>
      <c r="BO16" s="143" t="n">
        <v>0.04477846874339405</v>
      </c>
      <c r="BP16" s="143" t="n">
        <v>0.05298958045515345</v>
      </c>
      <c r="BQ16" s="143" t="n">
        <v>-0.02285953355105475</v>
      </c>
      <c r="BR16" s="143" t="n">
        <v>-0.03357851517559526</v>
      </c>
      <c r="BS16" s="143" t="n">
        <v>-0.006237704839605974</v>
      </c>
      <c r="BT16" s="143" t="n">
        <v>-0.02035198953175273</v>
      </c>
      <c r="BU16" s="143" t="n">
        <v>-0.01297537117708028</v>
      </c>
      <c r="BV16" s="143" t="n">
        <v>0.03007260911821583</v>
      </c>
      <c r="BW16" s="143" t="n">
        <v>0.08844115594271346</v>
      </c>
      <c r="BX16" s="143" t="n">
        <v>-0.04413777826253713</v>
      </c>
      <c r="BY16" s="143" t="n">
        <v>0.0296251635388442</v>
      </c>
      <c r="BZ16" s="143" t="n">
        <v>0.04970708663837455</v>
      </c>
      <c r="CA16" s="143" t="n">
        <v>0.02416066324483708</v>
      </c>
      <c r="CB16" s="143" t="n">
        <v>-0.05439006145782471</v>
      </c>
      <c r="CC16" s="143" t="n">
        <v>0.07989103461969786</v>
      </c>
      <c r="CD16" s="143" t="n">
        <v>0.01063152005882299</v>
      </c>
      <c r="CE16" s="143" t="n">
        <v>-0.06255537256116132</v>
      </c>
    </row>
    <row r="17">
      <c r="A17" s="251" t="n">
        <v>39814</v>
      </c>
      <c r="B17" s="3" t="n">
        <v>1</v>
      </c>
      <c r="C17" s="143" t="n">
        <v>0.005375838101244502</v>
      </c>
      <c r="D17" s="143" t="n">
        <v>-0.04935684357779319</v>
      </c>
      <c r="E17" s="143" t="n">
        <v>0.02946503487881546</v>
      </c>
      <c r="F17" s="143" t="n">
        <v>-0.003509940740236864</v>
      </c>
      <c r="G17" s="143" t="n">
        <v>0.01157136522377866</v>
      </c>
      <c r="H17" s="143" t="n">
        <v>-0.001753090091806194</v>
      </c>
      <c r="I17" s="143" t="n">
        <v>0.0004170571747868721</v>
      </c>
      <c r="J17" s="143" t="n">
        <v>0.001714085109141654</v>
      </c>
      <c r="K17" s="143" t="n">
        <v>0.005027220540134475</v>
      </c>
      <c r="L17" s="143" t="n">
        <v>0.005398729614443727</v>
      </c>
      <c r="M17" s="143" t="n">
        <v>0.04133550415815126</v>
      </c>
      <c r="N17" s="143" t="n">
        <v>0.02330856707249028</v>
      </c>
      <c r="O17" s="143" t="n">
        <v>0.02589555814052914</v>
      </c>
      <c r="P17" s="143" t="n">
        <v>0.02782970765488399</v>
      </c>
      <c r="Q17" s="143" t="n">
        <v>0.05913425193331311</v>
      </c>
      <c r="R17" s="143" t="n">
        <v>0.02759653240816875</v>
      </c>
      <c r="S17" s="143" t="n">
        <v>0.06749544897201923</v>
      </c>
      <c r="T17" s="143" t="n">
        <v>0.0664532185587328</v>
      </c>
      <c r="U17" s="143" t="n">
        <v>-0.05269934774161941</v>
      </c>
      <c r="V17" s="143" t="n">
        <v>0.0500715650173106</v>
      </c>
      <c r="W17" s="143" t="n">
        <v>0.03525542786762731</v>
      </c>
      <c r="X17" s="143" t="n">
        <v>0.0371022015985707</v>
      </c>
      <c r="Y17" s="143" t="n">
        <v>0.04551297306162277</v>
      </c>
      <c r="Z17" s="143" t="n">
        <v>0.008470713924290182</v>
      </c>
      <c r="AA17" s="143" t="n">
        <v>0.03032663607680021</v>
      </c>
      <c r="AB17" s="143" t="n">
        <v>0.004958234149546651</v>
      </c>
      <c r="AC17" s="143" t="n">
        <v>0.01940333742519094</v>
      </c>
      <c r="AD17" s="143" t="n">
        <v>0.01051852503639646</v>
      </c>
      <c r="AE17" s="143" t="n">
        <v>0.03292018718880046</v>
      </c>
      <c r="AF17" s="143" t="n">
        <v>0.004080364617869125</v>
      </c>
      <c r="AG17" s="143" t="n">
        <v>0.00947893485751825</v>
      </c>
      <c r="AH17" s="143" t="n">
        <v>-0.05652221395243073</v>
      </c>
      <c r="AI17" s="143" t="n">
        <v>-0.01251173488748884</v>
      </c>
      <c r="AJ17" s="143" t="n">
        <v>-0.01730049373782926</v>
      </c>
      <c r="AK17" s="143" t="n">
        <v>-0.01116450556139202</v>
      </c>
      <c r="AL17" s="143" t="n">
        <v>-0.009494861141350095</v>
      </c>
      <c r="AM17" s="143" t="n">
        <v>-0.03101525439307415</v>
      </c>
      <c r="AN17" s="143" t="n">
        <v>0.004877903368550047</v>
      </c>
      <c r="AO17" s="143" t="n">
        <v>0.05082111217472045</v>
      </c>
      <c r="AP17" s="143" t="n">
        <v>0.03801533691273919</v>
      </c>
      <c r="AQ17" s="143" t="n">
        <v>0.01860234766594234</v>
      </c>
      <c r="AR17" s="143" t="n">
        <v>-0.001050317402344006</v>
      </c>
      <c r="AS17" s="143" t="n">
        <v>0.002764606726913533</v>
      </c>
      <c r="AT17" s="143" t="n">
        <v>0.00389897376578537</v>
      </c>
      <c r="AU17" s="143" t="n">
        <v>0.01219824513292392</v>
      </c>
      <c r="AV17" s="143" t="n">
        <v>0.0101087577357718</v>
      </c>
      <c r="AW17" s="143" t="n">
        <v>0.00792696951098335</v>
      </c>
      <c r="AX17" s="143" t="n">
        <v>0.02433566326180991</v>
      </c>
      <c r="AY17" s="143" t="n">
        <v>0.007620069706349715</v>
      </c>
      <c r="AZ17" s="143" t="n">
        <v>0.0184300241658744</v>
      </c>
      <c r="BA17" s="143" t="n">
        <v>0.01406903870346241</v>
      </c>
      <c r="BB17" s="143" t="n">
        <v>0.06348153228032551</v>
      </c>
      <c r="BC17" s="143" t="n">
        <v>0.09341649442077485</v>
      </c>
      <c r="BD17" s="143" t="n">
        <v>0.03099344382276859</v>
      </c>
      <c r="BE17" s="143" t="n">
        <v>0.05993470831795111</v>
      </c>
      <c r="BF17" s="143" t="n">
        <v>0.0468982815429331</v>
      </c>
      <c r="BG17" s="143" t="n">
        <v>-0.02959070614580469</v>
      </c>
      <c r="BH17" s="143" t="n">
        <v>-0.03027417035583185</v>
      </c>
      <c r="BI17" s="143" t="n">
        <v>0.00425755329351809</v>
      </c>
      <c r="BJ17" s="143" t="n">
        <v>-0.03165923361391777</v>
      </c>
      <c r="BK17" s="143" t="n">
        <v>-0.01388830400593949</v>
      </c>
      <c r="BL17" s="143" t="n">
        <v>0.08846364611163254</v>
      </c>
      <c r="BM17" s="143" t="n">
        <v>0.09845479366654478</v>
      </c>
      <c r="BN17" s="143" t="n">
        <v>0.05632834576641896</v>
      </c>
      <c r="BO17" s="143" t="n">
        <v>0.0896668980559448</v>
      </c>
      <c r="BP17" s="143" t="n">
        <v>0.08013004091323706</v>
      </c>
      <c r="BQ17" s="143" t="n">
        <v>-0.01966310507524588</v>
      </c>
      <c r="BR17" s="143" t="n">
        <v>-0.03822919800710851</v>
      </c>
      <c r="BS17" s="143" t="n">
        <v>-0.006097319345730279</v>
      </c>
      <c r="BT17" s="143" t="n">
        <v>-0.01468468273470416</v>
      </c>
      <c r="BU17" s="143" t="n">
        <v>-0.008749619154341696</v>
      </c>
      <c r="BV17" s="143" t="n">
        <v>0.07644591153290775</v>
      </c>
      <c r="BW17" s="143" t="n">
        <v>0.1272394387754462</v>
      </c>
      <c r="BX17" s="143" t="n">
        <v>0.007305011447442072</v>
      </c>
      <c r="BY17" s="143" t="n">
        <v>0.1129784249195854</v>
      </c>
      <c r="BZ17" s="143" t="n">
        <v>0.09503041709221875</v>
      </c>
      <c r="CA17" s="143" t="n">
        <v>0.02370654937531152</v>
      </c>
      <c r="CB17" s="143" t="n">
        <v>-0.06845938095877277</v>
      </c>
      <c r="CC17" s="143" t="n">
        <v>0.06300099416273021</v>
      </c>
      <c r="CD17" s="143" t="n">
        <v>-0.01327270977591509</v>
      </c>
      <c r="CE17" s="143" t="n">
        <v>-0.06255537256116132</v>
      </c>
    </row>
    <row r="18">
      <c r="A18" s="251" t="n">
        <v>39904</v>
      </c>
      <c r="B18" s="3" t="n">
        <v>0</v>
      </c>
      <c r="C18" s="143" t="n">
        <v>0.009104346826851547</v>
      </c>
      <c r="D18" s="143" t="n">
        <v>-0.02861979365787457</v>
      </c>
      <c r="E18" s="143" t="n">
        <v>0.01893665960709421</v>
      </c>
      <c r="F18" s="143" t="n">
        <v>-0.004871685301296902</v>
      </c>
      <c r="G18" s="143" t="n">
        <v>0.01177896897223797</v>
      </c>
      <c r="H18" s="143" t="n">
        <v>0.00521495200889647</v>
      </c>
      <c r="I18" s="143" t="n">
        <v>0.01129348195725423</v>
      </c>
      <c r="J18" s="143" t="n">
        <v>0.005378427502498229</v>
      </c>
      <c r="K18" s="143" t="n">
        <v>0.01381386714643486</v>
      </c>
      <c r="L18" s="143" t="n">
        <v>0.01054321603428516</v>
      </c>
      <c r="M18" s="143" t="n">
        <v>0.05455348559642375</v>
      </c>
      <c r="N18" s="143" t="n">
        <v>0.01702919240053289</v>
      </c>
      <c r="O18" s="143" t="n">
        <v>0.02309304231576393</v>
      </c>
      <c r="P18" s="143" t="n">
        <v>0.07070909837301843</v>
      </c>
      <c r="Q18" s="143" t="n">
        <v>0.09926954742218828</v>
      </c>
      <c r="R18" s="143" t="n">
        <v>0.05262401825581729</v>
      </c>
      <c r="S18" s="143" t="n">
        <v>0.113936908584253</v>
      </c>
      <c r="T18" s="143" t="n">
        <v>0.114345639828633</v>
      </c>
      <c r="U18" s="143" t="n">
        <v>-0.05269934774161941</v>
      </c>
      <c r="V18" s="143" t="n">
        <v>0.07869631980219911</v>
      </c>
      <c r="W18" s="143" t="n">
        <v>0.04122293144225726</v>
      </c>
      <c r="X18" s="143" t="n">
        <v>0.04918796869809394</v>
      </c>
      <c r="Y18" s="143" t="n">
        <v>0.05616421263044991</v>
      </c>
      <c r="Z18" s="143" t="n">
        <v>0.01408142548618334</v>
      </c>
      <c r="AA18" s="143" t="n">
        <v>0.04154537949990697</v>
      </c>
      <c r="AB18" s="143" t="n">
        <v>0.007888308326382978</v>
      </c>
      <c r="AC18" s="143" t="n">
        <v>0.02483091407883858</v>
      </c>
      <c r="AD18" s="143" t="n">
        <v>0.01334171985566338</v>
      </c>
      <c r="AE18" s="143" t="n">
        <v>0.02761983697168188</v>
      </c>
      <c r="AF18" s="143" t="n">
        <v>0.006127066896543638</v>
      </c>
      <c r="AG18" s="143" t="n">
        <v>0.009285288566503234</v>
      </c>
      <c r="AH18" s="143" t="n">
        <v>-0.05652221395243073</v>
      </c>
      <c r="AI18" s="143" t="n">
        <v>-0.01199875751665134</v>
      </c>
      <c r="AJ18" s="143" t="n">
        <v>-0.01723165478270476</v>
      </c>
      <c r="AK18" s="143" t="n">
        <v>-0.01121432623696248</v>
      </c>
      <c r="AL18" s="143" t="n">
        <v>-0.009656505069297104</v>
      </c>
      <c r="AM18" s="143" t="n">
        <v>0.00465088477183822</v>
      </c>
      <c r="AN18" s="143" t="n">
        <v>0.05738185709749848</v>
      </c>
      <c r="AO18" s="143" t="n">
        <v>0.0796623790968314</v>
      </c>
      <c r="AP18" s="143" t="n">
        <v>0.07644031428149631</v>
      </c>
      <c r="AQ18" s="143" t="n">
        <v>0.07043738190816537</v>
      </c>
      <c r="AR18" s="143" t="n">
        <v>-0.001133596512326977</v>
      </c>
      <c r="AS18" s="143" t="n">
        <v>0.008459945063119033</v>
      </c>
      <c r="AT18" s="143" t="n">
        <v>0.008803361751351678</v>
      </c>
      <c r="AU18" s="143" t="n">
        <v>0.01145873555393102</v>
      </c>
      <c r="AV18" s="143" t="n">
        <v>0.01009023856078769</v>
      </c>
      <c r="AW18" s="143" t="n">
        <v>0.01321494862385431</v>
      </c>
      <c r="AX18" s="143" t="n">
        <v>0.02605650742385536</v>
      </c>
      <c r="AY18" s="143" t="n">
        <v>0.01032316361594074</v>
      </c>
      <c r="AZ18" s="143" t="n">
        <v>0.02083708313146797</v>
      </c>
      <c r="BA18" s="143" t="n">
        <v>0.01538046692448147</v>
      </c>
      <c r="BB18" s="143" t="n">
        <v>0.06809720528855057</v>
      </c>
      <c r="BC18" s="143" t="n">
        <v>0.08401855175003999</v>
      </c>
      <c r="BD18" s="143" t="n">
        <v>0.0286626309979758</v>
      </c>
      <c r="BE18" s="143" t="n">
        <v>0.05790161543933247</v>
      </c>
      <c r="BF18" s="143" t="n">
        <v>0.0454366663081588</v>
      </c>
      <c r="BG18" s="143" t="n">
        <v>-0.02356922774584397</v>
      </c>
      <c r="BH18" s="143" t="n">
        <v>-0.03825068421348381</v>
      </c>
      <c r="BI18" s="143" t="n">
        <v>0.00198571423950988</v>
      </c>
      <c r="BJ18" s="143" t="n">
        <v>-0.02342048343912775</v>
      </c>
      <c r="BK18" s="143" t="n">
        <v>-0.008414852836907445</v>
      </c>
      <c r="BL18" s="143" t="n">
        <v>0.1069791958429109</v>
      </c>
      <c r="BM18" s="143" t="n">
        <v>0.1303229831069277</v>
      </c>
      <c r="BN18" s="143" t="n">
        <v>0.07052731191309551</v>
      </c>
      <c r="BO18" s="143" t="n">
        <v>0.1113264668102844</v>
      </c>
      <c r="BP18" s="143" t="n">
        <v>0.09255929298036442</v>
      </c>
      <c r="BQ18" s="143" t="n">
        <v>-0.01150033703730466</v>
      </c>
      <c r="BR18" s="143" t="n">
        <v>-0.01327067633390355</v>
      </c>
      <c r="BS18" s="143" t="n">
        <v>-0.002765111876237451</v>
      </c>
      <c r="BT18" s="143" t="n">
        <v>-0.002287644512621633</v>
      </c>
      <c r="BU18" s="143" t="n">
        <v>0.0002121245509490949</v>
      </c>
      <c r="BV18" s="143" t="n">
        <v>0.09101244569731581</v>
      </c>
      <c r="BW18" s="143" t="n">
        <v>0.1428875191890225</v>
      </c>
      <c r="BX18" s="143" t="n">
        <v>0.02078854111822498</v>
      </c>
      <c r="BY18" s="143" t="n">
        <v>0.1341043758915117</v>
      </c>
      <c r="BZ18" s="143" t="n">
        <v>0.09637400892370554</v>
      </c>
      <c r="CA18" s="143" t="n">
        <v>0.01672819600058291</v>
      </c>
      <c r="CB18" s="143" t="n">
        <v>-0.06178965056960016</v>
      </c>
      <c r="CC18" s="143" t="n">
        <v>0.01724959771210561</v>
      </c>
      <c r="CD18" s="143" t="n">
        <v>-0.05062098192287026</v>
      </c>
      <c r="CE18" s="143" t="n">
        <v>0.006975838831590836</v>
      </c>
    </row>
    <row r="19">
      <c r="A19" s="251" t="n">
        <v>39995</v>
      </c>
      <c r="B19" s="3" t="n">
        <v>0</v>
      </c>
      <c r="C19" s="143" t="n">
        <v>0.01653417737651398</v>
      </c>
      <c r="D19" s="143" t="n">
        <v>0.002495481848002479</v>
      </c>
      <c r="E19" s="143" t="n">
        <v>0.01177149602533327</v>
      </c>
      <c r="F19" s="143" t="n">
        <v>0.003092897117506439</v>
      </c>
      <c r="G19" s="143" t="n">
        <v>0.01472783138447407</v>
      </c>
      <c r="H19" s="143" t="n">
        <v>0.01000248479501833</v>
      </c>
      <c r="I19" s="143" t="n">
        <v>0.0224773767636768</v>
      </c>
      <c r="J19" s="143" t="n">
        <v>0.008893299267521</v>
      </c>
      <c r="K19" s="143" t="n">
        <v>0.01871390118119446</v>
      </c>
      <c r="L19" s="143" t="n">
        <v>0.01326667203718741</v>
      </c>
      <c r="M19" s="143" t="n">
        <v>0.05073276474350667</v>
      </c>
      <c r="N19" s="143" t="n">
        <v>0.01344107554178028</v>
      </c>
      <c r="O19" s="143" t="n">
        <v>0.01830812036759984</v>
      </c>
      <c r="P19" s="143" t="n">
        <v>0.05278935299827568</v>
      </c>
      <c r="Q19" s="143" t="n">
        <v>0.08692022573330362</v>
      </c>
      <c r="R19" s="143" t="n">
        <v>0.04566273080150444</v>
      </c>
      <c r="S19" s="143" t="n">
        <v>0.07920969869099767</v>
      </c>
      <c r="T19" s="143" t="n">
        <v>0.08304002669978813</v>
      </c>
      <c r="U19" s="143" t="n">
        <v>-0.05269934774161941</v>
      </c>
      <c r="V19" s="143" t="n">
        <v>0.108039218442093</v>
      </c>
      <c r="W19" s="143" t="n">
        <v>0.04736448617768269</v>
      </c>
      <c r="X19" s="143" t="n">
        <v>0.05827364562243177</v>
      </c>
      <c r="Y19" s="143" t="n">
        <v>0.06433436480685564</v>
      </c>
      <c r="Z19" s="143" t="n">
        <v>0.01554752987538448</v>
      </c>
      <c r="AA19" s="143" t="n">
        <v>0.04035252164622549</v>
      </c>
      <c r="AB19" s="143" t="n">
        <v>0.008478346055467344</v>
      </c>
      <c r="AC19" s="143" t="n">
        <v>0.02331083498817254</v>
      </c>
      <c r="AD19" s="143" t="n">
        <v>0.01292690015439923</v>
      </c>
      <c r="AE19" s="143" t="n">
        <v>0.002646118638925041</v>
      </c>
      <c r="AF19" s="143" t="n">
        <v>0.00501433315216642</v>
      </c>
      <c r="AG19" s="143" t="n">
        <v>0.002753296622824209</v>
      </c>
      <c r="AH19" s="143" t="n">
        <v>-0.05652221395243073</v>
      </c>
      <c r="AI19" s="143" t="n">
        <v>-0.008544175704272789</v>
      </c>
      <c r="AJ19" s="143" t="n">
        <v>-0.01531856713708517</v>
      </c>
      <c r="AK19" s="143" t="n">
        <v>-0.009345445786378383</v>
      </c>
      <c r="AL19" s="143" t="n">
        <v>-0.008589278539747128</v>
      </c>
      <c r="AM19" s="143" t="n">
        <v>0.0124840374041908</v>
      </c>
      <c r="AN19" s="143" t="n">
        <v>0.07996595163151035</v>
      </c>
      <c r="AO19" s="143" t="n">
        <v>0.08671314438978384</v>
      </c>
      <c r="AP19" s="143" t="n">
        <v>0.07339701660867319</v>
      </c>
      <c r="AQ19" s="143" t="n">
        <v>0.08073680792048643</v>
      </c>
      <c r="AR19" s="143" t="n">
        <v>0.003060736103167377</v>
      </c>
      <c r="AS19" s="143" t="n">
        <v>0.02098448541269024</v>
      </c>
      <c r="AT19" s="143" t="n">
        <v>0.01726479978455659</v>
      </c>
      <c r="AU19" s="143" t="n">
        <v>0.01704655294998306</v>
      </c>
      <c r="AV19" s="143" t="n">
        <v>0.01795971807082481</v>
      </c>
      <c r="AW19" s="143" t="n">
        <v>0.02222560927793306</v>
      </c>
      <c r="AX19" s="143" t="n">
        <v>0.03508174692008038</v>
      </c>
      <c r="AY19" s="143" t="n">
        <v>0.01635373400849069</v>
      </c>
      <c r="AZ19" s="143" t="n">
        <v>0.0255071345957802</v>
      </c>
      <c r="BA19" s="143" t="n">
        <v>0.01847829539300451</v>
      </c>
      <c r="BB19" s="143" t="n">
        <v>0.07977240081796415</v>
      </c>
      <c r="BC19" s="143" t="n">
        <v>0.08463293326725857</v>
      </c>
      <c r="BD19" s="143" t="n">
        <v>0.03470800411309367</v>
      </c>
      <c r="BE19" s="143" t="n">
        <v>0.06827833315901585</v>
      </c>
      <c r="BF19" s="143" t="n">
        <v>0.05113802692260402</v>
      </c>
      <c r="BG19" s="143" t="n">
        <v>-0.01566709588545565</v>
      </c>
      <c r="BH19" s="143" t="n">
        <v>-0.0397169595779922</v>
      </c>
      <c r="BI19" s="143" t="n">
        <v>-0.0005985051089976985</v>
      </c>
      <c r="BJ19" s="143" t="n">
        <v>-0.01183046648681218</v>
      </c>
      <c r="BK19" s="143" t="n">
        <v>-0.0001856385545987551</v>
      </c>
      <c r="BL19" s="143" t="n">
        <v>0.1015028144477986</v>
      </c>
      <c r="BM19" s="143" t="n">
        <v>0.100233123189464</v>
      </c>
      <c r="BN19" s="143" t="n">
        <v>0.05957257725687363</v>
      </c>
      <c r="BO19" s="143" t="n">
        <v>0.0836532828045831</v>
      </c>
      <c r="BP19" s="143" t="n">
        <v>0.07336737055488374</v>
      </c>
      <c r="BQ19" s="143" t="n">
        <v>0.002138033402208771</v>
      </c>
      <c r="BR19" s="143" t="n">
        <v>0.02994926606132364</v>
      </c>
      <c r="BS19" s="143" t="n">
        <v>0.00870793202365332</v>
      </c>
      <c r="BT19" s="143" t="n">
        <v>0.01685841982434167</v>
      </c>
      <c r="BU19" s="143" t="n">
        <v>0.01395910146684402</v>
      </c>
      <c r="BV19" s="143" t="n">
        <v>0.07405013677220609</v>
      </c>
      <c r="BW19" s="143" t="n">
        <v>0.09338424534878162</v>
      </c>
      <c r="BX19" s="143" t="n">
        <v>0.1054667796603858</v>
      </c>
      <c r="BY19" s="143" t="n">
        <v>0.1025063756123439</v>
      </c>
      <c r="BZ19" s="143" t="n">
        <v>0.05683837687729187</v>
      </c>
      <c r="CA19" s="143" t="n">
        <v>0.007637327478865104</v>
      </c>
      <c r="CB19" s="143" t="n">
        <v>-0.05299383478174274</v>
      </c>
      <c r="CC19" s="143" t="n">
        <v>-0.02874284478024116</v>
      </c>
      <c r="CD19" s="143" t="n">
        <v>-0.08090920030697088</v>
      </c>
      <c r="CE19" s="143" t="n">
        <v>-0.008899623906541726</v>
      </c>
    </row>
    <row r="20">
      <c r="A20" s="251" t="n">
        <v>40087</v>
      </c>
      <c r="B20" s="3" t="n">
        <v>0</v>
      </c>
      <c r="C20" s="143" t="n">
        <v>0.0293892805833115</v>
      </c>
      <c r="D20" s="143" t="n">
        <v>0.04179890512315121</v>
      </c>
      <c r="E20" s="143" t="n">
        <v>0.007364854681250184</v>
      </c>
      <c r="F20" s="143" t="n">
        <v>0.02250851167619357</v>
      </c>
      <c r="G20" s="143" t="n">
        <v>0.022380993940419</v>
      </c>
      <c r="H20" s="143" t="n">
        <v>0.01336415088697969</v>
      </c>
      <c r="I20" s="143" t="n">
        <v>0.02642416933712861</v>
      </c>
      <c r="J20" s="143" t="n">
        <v>0.01014655955405602</v>
      </c>
      <c r="K20" s="143" t="n">
        <v>0.02076962412716031</v>
      </c>
      <c r="L20" s="143" t="n">
        <v>0.01456639941878174</v>
      </c>
      <c r="M20" s="143" t="n">
        <v>0.04066415399323371</v>
      </c>
      <c r="N20" s="143" t="n">
        <v>0.02150466163315417</v>
      </c>
      <c r="O20" s="143" t="n">
        <v>0.01520918867304838</v>
      </c>
      <c r="P20" s="143" t="n">
        <v>0.0186138386050163</v>
      </c>
      <c r="Q20" s="143" t="n">
        <v>0.04191644765554121</v>
      </c>
      <c r="R20" s="143" t="n">
        <v>0.03223739071104398</v>
      </c>
      <c r="S20" s="143" t="n">
        <v>0.02604046052394526</v>
      </c>
      <c r="T20" s="143" t="n">
        <v>0.03237872132327413</v>
      </c>
      <c r="U20" s="143" t="n">
        <v>-0.05269934774161941</v>
      </c>
      <c r="V20" s="143" t="n">
        <v>0.1139881456804326</v>
      </c>
      <c r="W20" s="143" t="n">
        <v>0.05101383949255268</v>
      </c>
      <c r="X20" s="143" t="n">
        <v>0.06132330450570501</v>
      </c>
      <c r="Y20" s="143" t="n">
        <v>0.06746155479630678</v>
      </c>
      <c r="Z20" s="143" t="n">
        <v>0.0185085641659552</v>
      </c>
      <c r="AA20" s="143" t="n">
        <v>0.03415452098845369</v>
      </c>
      <c r="AB20" s="143" t="n">
        <v>0.009313078589061661</v>
      </c>
      <c r="AC20" s="143" t="n">
        <v>0.02356271351655866</v>
      </c>
      <c r="AD20" s="143" t="n">
        <v>0.01363549004957786</v>
      </c>
      <c r="AE20" s="143" t="n">
        <v>-0.00749108218791609</v>
      </c>
      <c r="AF20" s="143" t="n">
        <v>0.01054960183635024</v>
      </c>
      <c r="AG20" s="143" t="n">
        <v>0.0003596982353228752</v>
      </c>
      <c r="AH20" s="143" t="n">
        <v>-0.05652221395243073</v>
      </c>
      <c r="AI20" s="143" t="n">
        <v>-0.01052683335804759</v>
      </c>
      <c r="AJ20" s="143" t="n">
        <v>-0.01969428648413926</v>
      </c>
      <c r="AK20" s="143" t="n">
        <v>-0.01188186286903098</v>
      </c>
      <c r="AL20" s="143" t="n">
        <v>-0.01016636953389772</v>
      </c>
      <c r="AM20" s="143" t="n">
        <v>-0.02424223212655389</v>
      </c>
      <c r="AN20" s="143" t="n">
        <v>0.0285526064011363</v>
      </c>
      <c r="AO20" s="143" t="n">
        <v>0.004548251723618422</v>
      </c>
      <c r="AP20" s="143" t="n">
        <v>0.01052270086223507</v>
      </c>
      <c r="AQ20" s="143" t="n">
        <v>0.02833832803664668</v>
      </c>
      <c r="AR20" s="143" t="n">
        <v>0.008758287335420896</v>
      </c>
      <c r="AS20" s="143" t="n">
        <v>0.02848074651126508</v>
      </c>
      <c r="AT20" s="143" t="n">
        <v>0.02313548532918918</v>
      </c>
      <c r="AU20" s="143" t="n">
        <v>0.02381825531412086</v>
      </c>
      <c r="AV20" s="143" t="n">
        <v>0.02786627991341967</v>
      </c>
      <c r="AW20" s="143" t="n">
        <v>0.02648630743559595</v>
      </c>
      <c r="AX20" s="143" t="n">
        <v>0.03857876891388175</v>
      </c>
      <c r="AY20" s="143" t="n">
        <v>0.01921105078490148</v>
      </c>
      <c r="AZ20" s="143" t="n">
        <v>0.0252649371473099</v>
      </c>
      <c r="BA20" s="143" t="n">
        <v>0.01878826139147814</v>
      </c>
      <c r="BB20" s="143" t="n">
        <v>0.07777720644111782</v>
      </c>
      <c r="BC20" s="143" t="n">
        <v>0.06514876997982803</v>
      </c>
      <c r="BD20" s="143" t="n">
        <v>0.03694188416313555</v>
      </c>
      <c r="BE20" s="143" t="n">
        <v>0.05414609697044567</v>
      </c>
      <c r="BF20" s="143" t="n">
        <v>0.04231117708943426</v>
      </c>
      <c r="BG20" s="143" t="n">
        <v>-0.01146153614030505</v>
      </c>
      <c r="BH20" s="143" t="n">
        <v>-0.003279761458853422</v>
      </c>
      <c r="BI20" s="143" t="n">
        <v>0.0001690683665495345</v>
      </c>
      <c r="BJ20" s="143" t="n">
        <v>-0.005304569531090771</v>
      </c>
      <c r="BK20" s="143" t="n">
        <v>0.003816325257809827</v>
      </c>
      <c r="BL20" s="143" t="n">
        <v>0.1031292209641802</v>
      </c>
      <c r="BM20" s="143" t="n">
        <v>0.08235638796628517</v>
      </c>
      <c r="BN20" s="143" t="n">
        <v>0.0577587063257731</v>
      </c>
      <c r="BO20" s="143" t="n">
        <v>0.07223175738160835</v>
      </c>
      <c r="BP20" s="143" t="n">
        <v>0.06426140295775937</v>
      </c>
      <c r="BQ20" s="143" t="n">
        <v>0.0206468027209694</v>
      </c>
      <c r="BR20" s="143" t="n">
        <v>0.07359957500198722</v>
      </c>
      <c r="BS20" s="143" t="n">
        <v>0.01906485447942575</v>
      </c>
      <c r="BT20" s="143" t="n">
        <v>0.04021118162236852</v>
      </c>
      <c r="BU20" s="143" t="n">
        <v>0.03167440498649993</v>
      </c>
      <c r="BV20" s="143" t="n">
        <v>0.04150663558860485</v>
      </c>
      <c r="BW20" s="143" t="n">
        <v>0.01499184225830835</v>
      </c>
      <c r="BX20" s="143" t="n">
        <v>0.06481770760968926</v>
      </c>
      <c r="BY20" s="143" t="n">
        <v>0.02621809554694144</v>
      </c>
      <c r="BZ20" s="143" t="n">
        <v>0.01516872177588906</v>
      </c>
      <c r="CA20" s="143" t="n">
        <v>-0.002856955769231563</v>
      </c>
      <c r="CB20" s="143" t="n">
        <v>-0.05137343829482151</v>
      </c>
      <c r="CC20" s="143" t="n">
        <v>-0.06856595462040313</v>
      </c>
      <c r="CD20" s="143" t="n">
        <v>-0.1020877625516368</v>
      </c>
      <c r="CE20" s="143" t="n">
        <v>-0.02542573805246899</v>
      </c>
    </row>
    <row r="21" customFormat="1" s="179">
      <c r="A21" s="251" t="n">
        <v>40179</v>
      </c>
      <c r="B21" s="77" t="n">
        <v>0</v>
      </c>
      <c r="C21" s="144" t="n">
        <v>0.0390794518906473</v>
      </c>
      <c r="D21" s="144" t="n">
        <v>0.05463628716337622</v>
      </c>
      <c r="E21" s="144" t="n">
        <v>0.002663235790772922</v>
      </c>
      <c r="F21" s="144" t="n">
        <v>0.03754893319841302</v>
      </c>
      <c r="G21" s="144" t="n">
        <v>0.02626343849706538</v>
      </c>
      <c r="H21" s="144" t="n">
        <v>0.0144100896057912</v>
      </c>
      <c r="I21" s="144" t="n">
        <v>0.01769901416932269</v>
      </c>
      <c r="J21" s="144" t="n">
        <v>0.0101431374215067</v>
      </c>
      <c r="K21" s="144" t="n">
        <v>0.01941182744853974</v>
      </c>
      <c r="L21" s="144" t="n">
        <v>0.01390531647146953</v>
      </c>
      <c r="M21" s="144" t="n">
        <v>0.02862315937309793</v>
      </c>
      <c r="N21" s="144" t="n">
        <v>0.0326161133883606</v>
      </c>
      <c r="O21" s="144" t="n">
        <v>0.01805712482894079</v>
      </c>
      <c r="P21" s="144" t="n">
        <v>0.01016595864263758</v>
      </c>
      <c r="Q21" s="144" t="n">
        <v>-0.01638659993332772</v>
      </c>
      <c r="R21" s="144" t="n">
        <v>0.02983408908991218</v>
      </c>
      <c r="S21" s="144" t="n">
        <v>0.007895246009919598</v>
      </c>
      <c r="T21" s="144" t="n">
        <v>0.01718297936018272</v>
      </c>
      <c r="U21" s="144" t="n">
        <v>-0.05269934774161941</v>
      </c>
      <c r="V21" s="144" t="n">
        <v>0.09771712865814011</v>
      </c>
      <c r="W21" s="144" t="n">
        <v>0.05379484572572753</v>
      </c>
      <c r="X21" s="144" t="n">
        <v>0.06027531595998042</v>
      </c>
      <c r="Y21" s="144" t="n">
        <v>0.06723507893045508</v>
      </c>
      <c r="Z21" s="144" t="n">
        <v>0.0241690709804161</v>
      </c>
      <c r="AA21" s="144" t="n">
        <v>0.0290019057881505</v>
      </c>
      <c r="AB21" s="144" t="n">
        <v>0.01226008994521904</v>
      </c>
      <c r="AC21" s="144" t="n">
        <v>0.02711714263402202</v>
      </c>
      <c r="AD21" s="144" t="n">
        <v>0.01626200716644281</v>
      </c>
      <c r="AE21" s="144" t="n">
        <v>0.004553871221137547</v>
      </c>
      <c r="AF21" s="144" t="n">
        <v>0.01872001822703793</v>
      </c>
      <c r="AG21" s="144" t="n">
        <v>0.004820518362106896</v>
      </c>
      <c r="AH21" s="144" t="n">
        <v>-0.05652221395243073</v>
      </c>
      <c r="AI21" s="144" t="n">
        <v>-0.0102326511917627</v>
      </c>
      <c r="AJ21" s="144" t="n">
        <v>-0.01875879642166626</v>
      </c>
      <c r="AK21" s="144" t="n">
        <v>-0.01088829898580718</v>
      </c>
      <c r="AL21" s="144" t="n">
        <v>-0.009704401189237391</v>
      </c>
      <c r="AM21" s="144" t="n">
        <v>0.00141398924219516</v>
      </c>
      <c r="AN21" s="144" t="n">
        <v>0.03128635331392332</v>
      </c>
      <c r="AO21" s="144" t="n">
        <v>0.03679241188108842</v>
      </c>
      <c r="AP21" s="144" t="n">
        <v>0.04352904307530903</v>
      </c>
      <c r="AQ21" s="144" t="n">
        <v>0.05991248024323454</v>
      </c>
      <c r="AR21" s="144" t="n">
        <v>0.008267909222826865</v>
      </c>
      <c r="AS21" s="144" t="n">
        <v>0.01202761629363092</v>
      </c>
      <c r="AT21" s="144" t="n">
        <v>0.0153753486163098</v>
      </c>
      <c r="AU21" s="144" t="n">
        <v>0.01943645692250616</v>
      </c>
      <c r="AV21" s="144" t="n">
        <v>0.02513351614236415</v>
      </c>
      <c r="AW21" s="144" t="n">
        <v>0.03643622255886272</v>
      </c>
      <c r="AX21" s="144" t="n">
        <v>0.02362511019551427</v>
      </c>
      <c r="AY21" s="144" t="n">
        <v>0.02584263808881737</v>
      </c>
      <c r="AZ21" s="144" t="n">
        <v>0.02875323132264369</v>
      </c>
      <c r="BA21" s="144" t="n">
        <v>0.02207029452461437</v>
      </c>
      <c r="BB21" s="144" t="n">
        <v>0.08276337201829924</v>
      </c>
      <c r="BC21" s="144" t="n">
        <v>0.03893018142690896</v>
      </c>
      <c r="BD21" s="144" t="n">
        <v>0.04345374904469469</v>
      </c>
      <c r="BE21" s="144" t="n">
        <v>0.05086993161572473</v>
      </c>
      <c r="BF21" s="144" t="n">
        <v>0.0409603641062689</v>
      </c>
      <c r="BG21" s="144" t="n">
        <v>-0.01189383772870665</v>
      </c>
      <c r="BH21" s="144" t="n">
        <v>0.02035089701697075</v>
      </c>
      <c r="BI21" s="144" t="n">
        <v>-0.007593757191890952</v>
      </c>
      <c r="BJ21" s="144" t="n">
        <v>-0.005998620194816181</v>
      </c>
      <c r="BK21" s="144" t="n">
        <v>0.0009375560419814446</v>
      </c>
      <c r="BL21" s="144" t="n">
        <v>0.08609368156704782</v>
      </c>
      <c r="BM21" s="144" t="n">
        <v>-0.004463738041158664</v>
      </c>
      <c r="BN21" s="144" t="n">
        <v>0.04889313769444787</v>
      </c>
      <c r="BO21" s="144" t="n">
        <v>0.02557355544093043</v>
      </c>
      <c r="BP21" s="144" t="n">
        <v>0.03254964233154429</v>
      </c>
      <c r="BQ21" s="144" t="n">
        <v>0.02239670421763022</v>
      </c>
      <c r="BR21" s="144" t="n">
        <v>0.07115248843904294</v>
      </c>
      <c r="BS21" s="144" t="n">
        <v>0.01568368613403829</v>
      </c>
      <c r="BT21" s="144" t="n">
        <v>0.03856804988344469</v>
      </c>
      <c r="BU21" s="144" t="n">
        <v>0.03038548831386562</v>
      </c>
      <c r="BV21" s="144" t="n">
        <v>-0.0175602973503578</v>
      </c>
      <c r="BW21" s="144" t="n">
        <v>-0.1232572146416898</v>
      </c>
      <c r="BX21" s="144" t="n">
        <v>0.002495515396705569</v>
      </c>
      <c r="BY21" s="144" t="n">
        <v>-0.08200499485021376</v>
      </c>
      <c r="BZ21" s="144" t="n">
        <v>-0.05870156935576348</v>
      </c>
      <c r="CA21" s="144" t="n">
        <v>-0.01625136208702389</v>
      </c>
      <c r="CB21" s="144" t="n">
        <v>-0.07597913412841099</v>
      </c>
      <c r="CC21" s="144" t="n">
        <v>-0.0936387760812394</v>
      </c>
      <c r="CD21" s="144" t="n">
        <v>-0.1200865880049143</v>
      </c>
      <c r="CE21" s="144" t="n">
        <v>-0.04416492396174276</v>
      </c>
    </row>
    <row r="22">
      <c r="A22" s="251" t="n">
        <v>40269</v>
      </c>
      <c r="B22" s="3" t="n">
        <v>0</v>
      </c>
      <c r="C22" s="143" t="n">
        <v>0.05408062750404809</v>
      </c>
      <c r="D22" s="143" t="n">
        <v>0.07291019301296897</v>
      </c>
      <c r="E22" s="143" t="n">
        <v>0.02234246371572635</v>
      </c>
      <c r="F22" s="143" t="n">
        <v>0.06317840094498725</v>
      </c>
      <c r="G22" s="143" t="n">
        <v>0.03454916851817812</v>
      </c>
      <c r="H22" s="143" t="n">
        <v>0.0105576021013053</v>
      </c>
      <c r="I22" s="143" t="n">
        <v>0.005850311724328172</v>
      </c>
      <c r="J22" s="143" t="n">
        <v>0.009598761891318641</v>
      </c>
      <c r="K22" s="143" t="n">
        <v>0.0115519304593403</v>
      </c>
      <c r="L22" s="143" t="n">
        <v>0.009144726352518949</v>
      </c>
      <c r="M22" s="143" t="n">
        <v>0.004754372012975875</v>
      </c>
      <c r="N22" s="143" t="n">
        <v>0.02765049689299549</v>
      </c>
      <c r="O22" s="143" t="n">
        <v>0.009481378940313784</v>
      </c>
      <c r="P22" s="143" t="n">
        <v>0.0009500895927698626</v>
      </c>
      <c r="Q22" s="143" t="n">
        <v>-0.06390464157955389</v>
      </c>
      <c r="R22" s="143" t="n">
        <v>0.02411588868101233</v>
      </c>
      <c r="S22" s="143" t="n">
        <v>-0.01062593259981659</v>
      </c>
      <c r="T22" s="143" t="n">
        <v>0.003153083336718165</v>
      </c>
      <c r="U22" s="143" t="n">
        <v>-0.05269934774161941</v>
      </c>
      <c r="V22" s="143" t="n">
        <v>0.06393017113332855</v>
      </c>
      <c r="W22" s="143" t="n">
        <v>0.05191581226861525</v>
      </c>
      <c r="X22" s="143" t="n">
        <v>0.0476601391622436</v>
      </c>
      <c r="Y22" s="143" t="n">
        <v>0.05729243862823789</v>
      </c>
      <c r="Z22" s="143" t="n">
        <v>0.02974422402448321</v>
      </c>
      <c r="AA22" s="143" t="n">
        <v>0.02893621325865393</v>
      </c>
      <c r="AB22" s="143" t="n">
        <v>0.01456483910676967</v>
      </c>
      <c r="AC22" s="143" t="n">
        <v>0.02924191954736001</v>
      </c>
      <c r="AD22" s="143" t="n">
        <v>0.01848400257310764</v>
      </c>
      <c r="AE22" s="143" t="n">
        <v>0.01476095110167579</v>
      </c>
      <c r="AF22" s="143" t="n">
        <v>0.0211711556973794</v>
      </c>
      <c r="AG22" s="143" t="n">
        <v>0.01024054596291013</v>
      </c>
      <c r="AH22" s="143" t="n">
        <v>-0.05652221395243073</v>
      </c>
      <c r="AI22" s="143" t="n">
        <v>-0.01003598978154219</v>
      </c>
      <c r="AJ22" s="143" t="n">
        <v>-0.01817351047987817</v>
      </c>
      <c r="AK22" s="143" t="n">
        <v>-0.0105628976626218</v>
      </c>
      <c r="AL22" s="143" t="n">
        <v>-0.009637256569859934</v>
      </c>
      <c r="AM22" s="143" t="n">
        <v>-0.00168884215650843</v>
      </c>
      <c r="AN22" s="143" t="n">
        <v>-0.006116298573745627</v>
      </c>
      <c r="AO22" s="143" t="n">
        <v>0.05215601584406622</v>
      </c>
      <c r="AP22" s="143" t="n">
        <v>0.03327781582796705</v>
      </c>
      <c r="AQ22" s="143" t="n">
        <v>0.04629425037292726</v>
      </c>
      <c r="AR22" s="143" t="n">
        <v>0.005900432853488072</v>
      </c>
      <c r="AS22" s="143" t="n">
        <v>0.00907926042296745</v>
      </c>
      <c r="AT22" s="143" t="n">
        <v>0.018230620132426</v>
      </c>
      <c r="AU22" s="143" t="n">
        <v>0.01314339297501339</v>
      </c>
      <c r="AV22" s="143" t="n">
        <v>0.01862476955214053</v>
      </c>
      <c r="AW22" s="143" t="n">
        <v>0.0435513356605608</v>
      </c>
      <c r="AX22" s="143" t="n">
        <v>0.02513922358724415</v>
      </c>
      <c r="AY22" s="143" t="n">
        <v>0.02758572585134667</v>
      </c>
      <c r="AZ22" s="143" t="n">
        <v>0.02866214496316605</v>
      </c>
      <c r="BA22" s="143" t="n">
        <v>0.02383725323496888</v>
      </c>
      <c r="BB22" s="143" t="n">
        <v>0.09471177390774564</v>
      </c>
      <c r="BC22" s="143" t="n">
        <v>0.05373501693947094</v>
      </c>
      <c r="BD22" s="143" t="n">
        <v>0.04522900908168052</v>
      </c>
      <c r="BE22" s="143" t="n">
        <v>0.05708326419359139</v>
      </c>
      <c r="BF22" s="143" t="n">
        <v>0.04748013137929465</v>
      </c>
      <c r="BG22" s="143" t="n">
        <v>-0.002327636018908214</v>
      </c>
      <c r="BH22" s="143" t="n">
        <v>0.02442722833909698</v>
      </c>
      <c r="BI22" s="143" t="n">
        <v>-0.01057836097810846</v>
      </c>
      <c r="BJ22" s="143" t="n">
        <v>0.01019202705143541</v>
      </c>
      <c r="BK22" s="143" t="n">
        <v>0.01207206262525385</v>
      </c>
      <c r="BL22" s="143" t="n">
        <v>0.08958528224643182</v>
      </c>
      <c r="BM22" s="143" t="n">
        <v>-0.03276077441016533</v>
      </c>
      <c r="BN22" s="143" t="n">
        <v>0.05075081316883198</v>
      </c>
      <c r="BO22" s="143" t="n">
        <v>0.02032296725802989</v>
      </c>
      <c r="BP22" s="143" t="n">
        <v>0.03111754914156525</v>
      </c>
      <c r="BQ22" s="143" t="n">
        <v>0.01519321228621503</v>
      </c>
      <c r="BR22" s="143" t="n">
        <v>0.04515741967380852</v>
      </c>
      <c r="BS22" s="143" t="n">
        <v>0.01518990562057018</v>
      </c>
      <c r="BT22" s="143" t="n">
        <v>0.02545282840314764</v>
      </c>
      <c r="BU22" s="143" t="n">
        <v>0.01982995811757182</v>
      </c>
      <c r="BV22" s="143" t="n">
        <v>-0.04047187169990894</v>
      </c>
      <c r="BW22" s="143" t="n">
        <v>-0.1260444073993549</v>
      </c>
      <c r="BX22" s="143" t="n">
        <v>-0.01849253666296937</v>
      </c>
      <c r="BY22" s="143" t="n">
        <v>-0.118574411420499</v>
      </c>
      <c r="BZ22" s="143" t="n">
        <v>-0.079739673939362</v>
      </c>
      <c r="CA22" s="143" t="n">
        <v>-0.01875390396633869</v>
      </c>
      <c r="CB22" s="143" t="n">
        <v>-0.06746847204678344</v>
      </c>
      <c r="CC22" s="143" t="n">
        <v>-0.08379740260450028</v>
      </c>
      <c r="CD22" s="143" t="n">
        <v>-0.100548467626404</v>
      </c>
      <c r="CE22" s="143" t="n">
        <v>-0.04805200037243523</v>
      </c>
    </row>
    <row r="23">
      <c r="A23" s="251" t="n">
        <v>40360</v>
      </c>
      <c r="B23" s="3" t="n">
        <v>0</v>
      </c>
      <c r="C23" s="143" t="n">
        <v>0.05611716458045364</v>
      </c>
      <c r="D23" s="143" t="n">
        <v>0.06416722756117883</v>
      </c>
      <c r="E23" s="143" t="n">
        <v>0.0336282622837838</v>
      </c>
      <c r="F23" s="143" t="n">
        <v>0.06075727265951635</v>
      </c>
      <c r="G23" s="143" t="n">
        <v>0.03126621385503562</v>
      </c>
      <c r="H23" s="143" t="n">
        <v>0.01160337740845525</v>
      </c>
      <c r="I23" s="143" t="n">
        <v>0.001753010334531877</v>
      </c>
      <c r="J23" s="143" t="n">
        <v>0.01356652562495821</v>
      </c>
      <c r="K23" s="143" t="n">
        <v>0.01034218864731284</v>
      </c>
      <c r="L23" s="143" t="n">
        <v>0.00903037411217966</v>
      </c>
      <c r="M23" s="143" t="n">
        <v>-0.003337758105719316</v>
      </c>
      <c r="N23" s="143" t="n">
        <v>0.02209649002013422</v>
      </c>
      <c r="O23" s="143" t="n">
        <v>0.005855086875480911</v>
      </c>
      <c r="P23" s="143" t="n">
        <v>-0.02055360485692142</v>
      </c>
      <c r="Q23" s="143" t="n">
        <v>-0.06390464157955389</v>
      </c>
      <c r="R23" s="143" t="n">
        <v>0.01317672268137788</v>
      </c>
      <c r="S23" s="143" t="n">
        <v>-0.04297863241490058</v>
      </c>
      <c r="T23" s="143" t="n">
        <v>-0.02474772971844357</v>
      </c>
      <c r="U23" s="143" t="n">
        <v>-0.05269934774161941</v>
      </c>
      <c r="V23" s="143" t="n">
        <v>0.02023783151236481</v>
      </c>
      <c r="W23" s="143" t="n">
        <v>0.04669263893492127</v>
      </c>
      <c r="X23" s="143" t="n">
        <v>0.02760904953581141</v>
      </c>
      <c r="Y23" s="143" t="n">
        <v>0.04120175722391972</v>
      </c>
      <c r="Z23" s="143" t="n">
        <v>0.03761330686882306</v>
      </c>
      <c r="AA23" s="143" t="n">
        <v>0.04076538603486021</v>
      </c>
      <c r="AB23" s="143" t="n">
        <v>0.01676280611449864</v>
      </c>
      <c r="AC23" s="143" t="n">
        <v>0.03346203438203479</v>
      </c>
      <c r="AD23" s="143" t="n">
        <v>0.02186233276862803</v>
      </c>
      <c r="AE23" s="143" t="n">
        <v>0.03783198381453462</v>
      </c>
      <c r="AF23" s="143" t="n">
        <v>0.02022067659273649</v>
      </c>
      <c r="AG23" s="143" t="n">
        <v>0.01813840430630458</v>
      </c>
      <c r="AH23" s="143" t="n">
        <v>-0.05652221395243073</v>
      </c>
      <c r="AI23" s="143" t="n">
        <v>-0.004107885878565772</v>
      </c>
      <c r="AJ23" s="143" t="n">
        <v>-0.01043499027495682</v>
      </c>
      <c r="AK23" s="143" t="n">
        <v>-0.003240268941905037</v>
      </c>
      <c r="AL23" s="143" t="n">
        <v>-0.005172161850179144</v>
      </c>
      <c r="AM23" s="143" t="n">
        <v>0.01533009912629492</v>
      </c>
      <c r="AN23" s="143" t="n">
        <v>0.002745759154682897</v>
      </c>
      <c r="AO23" s="143" t="n">
        <v>0.08414837217185007</v>
      </c>
      <c r="AP23" s="143" t="n">
        <v>0.04693557669063249</v>
      </c>
      <c r="AQ23" s="143" t="n">
        <v>0.06080542203602371</v>
      </c>
      <c r="AR23" s="143" t="n">
        <v>0.003003730018089198</v>
      </c>
      <c r="AS23" s="143" t="n">
        <v>-7.35813095455638e-05</v>
      </c>
      <c r="AT23" s="143" t="n">
        <v>0.02173523479341367</v>
      </c>
      <c r="AU23" s="143" t="n">
        <v>0.005533334955376622</v>
      </c>
      <c r="AV23" s="143" t="n">
        <v>0.01087911259817258</v>
      </c>
      <c r="AW23" s="143" t="n">
        <v>0.05324093143882153</v>
      </c>
      <c r="AX23" s="143" t="n">
        <v>0.02570184503149828</v>
      </c>
      <c r="AY23" s="143" t="n">
        <v>0.03275193987312811</v>
      </c>
      <c r="AZ23" s="143" t="n">
        <v>0.03016304194676842</v>
      </c>
      <c r="BA23" s="143" t="n">
        <v>0.02662572481878965</v>
      </c>
      <c r="BB23" s="143" t="n">
        <v>0.09657552182695754</v>
      </c>
      <c r="BC23" s="143" t="n">
        <v>0.03392562941647813</v>
      </c>
      <c r="BD23" s="143" t="n">
        <v>0.03892665982701341</v>
      </c>
      <c r="BE23" s="143" t="n">
        <v>0.04605398800129618</v>
      </c>
      <c r="BF23" s="143" t="n">
        <v>0.0434772025086851</v>
      </c>
      <c r="BG23" s="143" t="n">
        <v>0.0153146967442028</v>
      </c>
      <c r="BH23" s="143" t="n">
        <v>0.03562818326648971</v>
      </c>
      <c r="BI23" s="143" t="n">
        <v>-0.003128924646256787</v>
      </c>
      <c r="BJ23" s="143" t="n">
        <v>0.0393111581247569</v>
      </c>
      <c r="BK23" s="143" t="n">
        <v>0.03478652549547172</v>
      </c>
      <c r="BL23" s="143" t="n">
        <v>0.1085126724847558</v>
      </c>
      <c r="BM23" s="143" t="n">
        <v>0.0132028008833231</v>
      </c>
      <c r="BN23" s="143" t="n">
        <v>0.0590081494274624</v>
      </c>
      <c r="BO23" s="143" t="n">
        <v>0.04413039597710207</v>
      </c>
      <c r="BP23" s="143" t="n">
        <v>0.0498039667732364</v>
      </c>
      <c r="BQ23" s="143" t="n">
        <v>0.01411981357628122</v>
      </c>
      <c r="BR23" s="143" t="n">
        <v>0.02026955161347444</v>
      </c>
      <c r="BS23" s="143" t="n">
        <v>0.02392276604497792</v>
      </c>
      <c r="BT23" s="143" t="n">
        <v>0.02078512909942551</v>
      </c>
      <c r="BU23" s="143" t="n">
        <v>0.01667530439227125</v>
      </c>
      <c r="BV23" s="143" t="n">
        <v>-0.0286222019528218</v>
      </c>
      <c r="BW23" s="143" t="n">
        <v>-0.1260444073993549</v>
      </c>
      <c r="BX23" s="143" t="n">
        <v>-0.02584088916628015</v>
      </c>
      <c r="BY23" s="143" t="n">
        <v>-0.09555216352216998</v>
      </c>
      <c r="BZ23" s="143" t="n">
        <v>-0.05221177539625147</v>
      </c>
      <c r="CA23" s="143" t="n">
        <v>-0.02088275751953003</v>
      </c>
      <c r="CB23" s="143" t="n">
        <v>-0.05423034598515767</v>
      </c>
      <c r="CC23" s="143" t="n">
        <v>-0.06951290690897595</v>
      </c>
      <c r="CD23" s="143" t="n">
        <v>-0.08275455831441501</v>
      </c>
      <c r="CE23" s="143" t="n">
        <v>-0.04843497610195461</v>
      </c>
    </row>
    <row r="24">
      <c r="A24" s="251" t="n">
        <v>40452</v>
      </c>
      <c r="B24" s="3" t="n">
        <v>0</v>
      </c>
      <c r="C24" s="143" t="n">
        <v>0.06616502891339708</v>
      </c>
      <c r="D24" s="143" t="n">
        <v>0.05961646602544375</v>
      </c>
      <c r="E24" s="143" t="n">
        <v>0.05115937727131328</v>
      </c>
      <c r="F24" s="143" t="n">
        <v>0.0693757192484544</v>
      </c>
      <c r="G24" s="143" t="n">
        <v>0.03626989314695598</v>
      </c>
      <c r="H24" s="143" t="n">
        <v>0.01629136486380942</v>
      </c>
      <c r="I24" s="143" t="n">
        <v>0.003205359503628482</v>
      </c>
      <c r="J24" s="143" t="n">
        <v>0.01658948990968809</v>
      </c>
      <c r="K24" s="143" t="n">
        <v>0.01289380505675209</v>
      </c>
      <c r="L24" s="143" t="n">
        <v>0.01196239860486289</v>
      </c>
      <c r="M24" s="143" t="n">
        <v>0.003611500679453882</v>
      </c>
      <c r="N24" s="143" t="n">
        <v>0.02064218640344987</v>
      </c>
      <c r="O24" s="143" t="n">
        <v>0.01142370988877851</v>
      </c>
      <c r="P24" s="143" t="n">
        <v>-0.01709765396322105</v>
      </c>
      <c r="Q24" s="143" t="n">
        <v>-0.03312943029998869</v>
      </c>
      <c r="R24" s="143" t="n">
        <v>0.006132562757370818</v>
      </c>
      <c r="S24" s="143" t="n">
        <v>-0.0418507401277692</v>
      </c>
      <c r="T24" s="143" t="n">
        <v>-0.02016383545581966</v>
      </c>
      <c r="U24" s="143" t="n">
        <v>-0.05269934774161941</v>
      </c>
      <c r="V24" s="143" t="n">
        <v>-0.01529602578663456</v>
      </c>
      <c r="W24" s="143" t="n">
        <v>0.03592377219119958</v>
      </c>
      <c r="X24" s="143" t="n">
        <v>0.008941550258170235</v>
      </c>
      <c r="Y24" s="143" t="n">
        <v>0.02657700946531489</v>
      </c>
      <c r="Z24" s="143" t="n">
        <v>0.04967406988833745</v>
      </c>
      <c r="AA24" s="143" t="n">
        <v>0.05757666598925305</v>
      </c>
      <c r="AB24" s="143" t="n">
        <v>0.01895601286963003</v>
      </c>
      <c r="AC24" s="143" t="n">
        <v>0.04240834233131958</v>
      </c>
      <c r="AD24" s="143" t="n">
        <v>0.02770311764287698</v>
      </c>
      <c r="AE24" s="143" t="n">
        <v>0.05961435391799431</v>
      </c>
      <c r="AF24" s="143" t="n">
        <v>0.02603797502170593</v>
      </c>
      <c r="AG24" s="143" t="n">
        <v>0.03059056090745824</v>
      </c>
      <c r="AH24" s="143" t="n">
        <v>-0.05652221395243073</v>
      </c>
      <c r="AI24" s="143" t="n">
        <v>0.005678332655583973</v>
      </c>
      <c r="AJ24" s="143" t="n">
        <v>-0.003998878550113571</v>
      </c>
      <c r="AK24" s="143" t="n">
        <v>0.002349853927544137</v>
      </c>
      <c r="AL24" s="143" t="n">
        <v>-0.001515065307880708</v>
      </c>
      <c r="AM24" s="143" t="n">
        <v>0.01921964614023429</v>
      </c>
      <c r="AN24" s="143" t="n">
        <v>0.04193016940002302</v>
      </c>
      <c r="AO24" s="143" t="n">
        <v>0.07170702665251925</v>
      </c>
      <c r="AP24" s="143" t="n">
        <v>0.03794974397362053</v>
      </c>
      <c r="AQ24" s="143" t="n">
        <v>0.05581328161639392</v>
      </c>
      <c r="AR24" s="143" t="n">
        <v>-5.513661967513847e-05</v>
      </c>
      <c r="AS24" s="143" t="n">
        <v>-0.0113760360022416</v>
      </c>
      <c r="AT24" s="143" t="n">
        <v>0.01777899688857003</v>
      </c>
      <c r="AU24" s="143" t="n">
        <v>-0.002886023971668903</v>
      </c>
      <c r="AV24" s="143" t="n">
        <v>0.00294737646247942</v>
      </c>
      <c r="AW24" s="143" t="n">
        <v>0.06482918276929032</v>
      </c>
      <c r="AX24" s="143" t="n">
        <v>0.03177405782782432</v>
      </c>
      <c r="AY24" s="143" t="n">
        <v>0.03790811759174282</v>
      </c>
      <c r="AZ24" s="143" t="n">
        <v>0.03200911737301345</v>
      </c>
      <c r="BA24" s="143" t="n">
        <v>0.02979590094939207</v>
      </c>
      <c r="BB24" s="143" t="n">
        <v>0.0938688478017865</v>
      </c>
      <c r="BC24" s="143" t="n">
        <v>0.0324891465825146</v>
      </c>
      <c r="BD24" s="143" t="n">
        <v>0.03205772639450186</v>
      </c>
      <c r="BE24" s="143" t="n">
        <v>0.02942794303329785</v>
      </c>
      <c r="BF24" s="143" t="n">
        <v>0.03490946361103395</v>
      </c>
      <c r="BG24" s="143" t="n">
        <v>0.02437984890099665</v>
      </c>
      <c r="BH24" s="143" t="n">
        <v>0.04121657678238734</v>
      </c>
      <c r="BI24" s="143" t="n">
        <v>0.02903104191157838</v>
      </c>
      <c r="BJ24" s="143" t="n">
        <v>0.05377510793136495</v>
      </c>
      <c r="BK24" s="143" t="n">
        <v>0.04425804591994913</v>
      </c>
      <c r="BL24" s="143" t="n">
        <v>0.1237024502304422</v>
      </c>
      <c r="BM24" s="143" t="n">
        <v>0.03874889449934087</v>
      </c>
      <c r="BN24" s="143" t="n">
        <v>0.06299766729630804</v>
      </c>
      <c r="BO24" s="143" t="n">
        <v>0.05877787830268376</v>
      </c>
      <c r="BP24" s="143" t="n">
        <v>0.06220078235612096</v>
      </c>
      <c r="BQ24" s="143" t="n">
        <v>0.01765146743888749</v>
      </c>
      <c r="BR24" s="143" t="n">
        <v>-0.005067202220184319</v>
      </c>
      <c r="BS24" s="143" t="n">
        <v>0.03264680445451915</v>
      </c>
      <c r="BT24" s="143" t="n">
        <v>0.02054146571333045</v>
      </c>
      <c r="BU24" s="143" t="n">
        <v>0.01838538175421349</v>
      </c>
      <c r="BV24" s="143" t="n">
        <v>0.009068183978549211</v>
      </c>
      <c r="BW24" s="143" t="n">
        <v>-0.04253201187710534</v>
      </c>
      <c r="BX24" s="143" t="n">
        <v>-0.01725842519234636</v>
      </c>
      <c r="BY24" s="143" t="n">
        <v>-0.03020231582009236</v>
      </c>
      <c r="BZ24" s="143" t="n">
        <v>-0.004931909040221576</v>
      </c>
      <c r="CA24" s="143" t="n">
        <v>-0.02454025443137934</v>
      </c>
      <c r="CB24" s="143" t="n">
        <v>-0.04123033955242243</v>
      </c>
      <c r="CC24" s="143" t="n">
        <v>-0.06003457189296685</v>
      </c>
      <c r="CD24" s="143" t="n">
        <v>-0.07327905305463356</v>
      </c>
      <c r="CE24" s="143" t="n">
        <v>-0.04768486358098797</v>
      </c>
    </row>
    <row r="25">
      <c r="A25" s="251" t="n">
        <v>40544</v>
      </c>
      <c r="B25" s="3" t="n">
        <v>0</v>
      </c>
      <c r="C25" s="143" t="n">
        <v>0.05995642781921749</v>
      </c>
      <c r="D25" s="143" t="n">
        <v>0.03384326853089262</v>
      </c>
      <c r="E25" s="143" t="n">
        <v>0.0446338549994449</v>
      </c>
      <c r="F25" s="143" t="n">
        <v>0.04473925101446324</v>
      </c>
      <c r="G25" s="143" t="n">
        <v>0.02723237332173191</v>
      </c>
      <c r="H25" s="143" t="n">
        <v>0.01751135600606441</v>
      </c>
      <c r="I25" s="143" t="n">
        <v>0.003395950486737394</v>
      </c>
      <c r="J25" s="143" t="n">
        <v>0.01181101141323426</v>
      </c>
      <c r="K25" s="143" t="n">
        <v>0.01002317489485158</v>
      </c>
      <c r="L25" s="143" t="n">
        <v>0.01160916723467943</v>
      </c>
      <c r="M25" s="143" t="n">
        <v>-0.01394566011622118</v>
      </c>
      <c r="N25" s="143" t="n">
        <v>0.006842940614582127</v>
      </c>
      <c r="O25" s="143" t="n">
        <v>0.01286517418273426</v>
      </c>
      <c r="P25" s="143" t="n">
        <v>-0.01863363213819898</v>
      </c>
      <c r="Q25" s="143" t="n">
        <v>-0.02671728249999087</v>
      </c>
      <c r="R25" s="143" t="n">
        <v>-0.03008270649899477</v>
      </c>
      <c r="S25" s="143" t="n">
        <v>-0.0452146294051785</v>
      </c>
      <c r="T25" s="143" t="n">
        <v>-0.02352889078156089</v>
      </c>
      <c r="U25" s="143" t="n">
        <v>-0.05269934774161941</v>
      </c>
      <c r="V25" s="143" t="n">
        <v>-0.04247134646628862</v>
      </c>
      <c r="W25" s="143" t="n">
        <v>0.02010937546098269</v>
      </c>
      <c r="X25" s="143" t="n">
        <v>-0.005635866821763875</v>
      </c>
      <c r="Y25" s="143" t="n">
        <v>0.01471818262595805</v>
      </c>
      <c r="Z25" s="143" t="n">
        <v>0.05843579834160187</v>
      </c>
      <c r="AA25" s="143" t="n">
        <v>0.06330601317349584</v>
      </c>
      <c r="AB25" s="143" t="n">
        <v>0.01907519304455291</v>
      </c>
      <c r="AC25" s="143" t="n">
        <v>0.04588642581792612</v>
      </c>
      <c r="AD25" s="143" t="n">
        <v>0.03058589643686753</v>
      </c>
      <c r="AE25" s="143" t="n">
        <v>0.07753818534217989</v>
      </c>
      <c r="AF25" s="143" t="n">
        <v>0.04100876340505425</v>
      </c>
      <c r="AG25" s="143" t="n">
        <v>0.04357946304767205</v>
      </c>
      <c r="AH25" s="143" t="n">
        <v>-0.05652221395243073</v>
      </c>
      <c r="AI25" s="143" t="n">
        <v>0.005315131815994459</v>
      </c>
      <c r="AJ25" s="143" t="n">
        <v>-0.004055802805501414</v>
      </c>
      <c r="AK25" s="143" t="n">
        <v>0.0008801710183502885</v>
      </c>
      <c r="AL25" s="143" t="n">
        <v>-0.001921217599947994</v>
      </c>
      <c r="AM25" s="143" t="n">
        <v>-0.001597387235711942</v>
      </c>
      <c r="AN25" s="143" t="n">
        <v>-0.002905247791427782</v>
      </c>
      <c r="AO25" s="143" t="n">
        <v>0.02887407124644025</v>
      </c>
      <c r="AP25" s="143" t="n">
        <v>-0.001469443637276447</v>
      </c>
      <c r="AQ25" s="143" t="n">
        <v>0.02240728430611015</v>
      </c>
      <c r="AR25" s="143" t="n">
        <v>-0.001900114730497992</v>
      </c>
      <c r="AS25" s="143" t="n">
        <v>-0.01312450270791701</v>
      </c>
      <c r="AT25" s="143" t="n">
        <v>-0.001140126875366835</v>
      </c>
      <c r="AU25" s="143" t="n">
        <v>-0.008684662481959001</v>
      </c>
      <c r="AV25" s="143" t="n">
        <v>-0.001949381589530171</v>
      </c>
      <c r="AW25" s="143" t="n">
        <v>0.06901798227471508</v>
      </c>
      <c r="AX25" s="143" t="n">
        <v>0.02699992393199641</v>
      </c>
      <c r="AY25" s="143" t="n">
        <v>0.02727821802864391</v>
      </c>
      <c r="AZ25" s="143" t="n">
        <v>0.02710818376008401</v>
      </c>
      <c r="BA25" s="143" t="n">
        <v>0.02841535015018863</v>
      </c>
      <c r="BB25" s="143" t="n">
        <v>0.1029266436672781</v>
      </c>
      <c r="BC25" s="143" t="n">
        <v>0.04070979917486259</v>
      </c>
      <c r="BD25" s="143" t="n">
        <v>0.02614841444885673</v>
      </c>
      <c r="BE25" s="143" t="n">
        <v>0.03441381774064767</v>
      </c>
      <c r="BF25" s="143" t="n">
        <v>0.0380178028489041</v>
      </c>
      <c r="BG25" s="143" t="n">
        <v>0.03692236414390864</v>
      </c>
      <c r="BH25" s="143" t="n">
        <v>0.05613724833425397</v>
      </c>
      <c r="BI25" s="143" t="n">
        <v>0.05853233948324619</v>
      </c>
      <c r="BJ25" s="143" t="n">
        <v>0.06658004569827228</v>
      </c>
      <c r="BK25" s="143" t="n">
        <v>0.05807387433158817</v>
      </c>
      <c r="BL25" s="143" t="n">
        <v>0.1486160439736408</v>
      </c>
      <c r="BM25" s="143" t="n">
        <v>0.1177584905795789</v>
      </c>
      <c r="BN25" s="143" t="n">
        <v>0.05893471351143389</v>
      </c>
      <c r="BO25" s="143" t="n">
        <v>0.09104285549115722</v>
      </c>
      <c r="BP25" s="143" t="n">
        <v>0.08596658792573648</v>
      </c>
      <c r="BQ25" s="143" t="n">
        <v>0.01903180803890547</v>
      </c>
      <c r="BR25" s="143" t="n">
        <v>-0.00569238758997048</v>
      </c>
      <c r="BS25" s="143" t="n">
        <v>0.03118326456894861</v>
      </c>
      <c r="BT25" s="143" t="n">
        <v>0.0155280415115177</v>
      </c>
      <c r="BU25" s="143" t="n">
        <v>0.01802770698223045</v>
      </c>
      <c r="BV25" s="143" t="n">
        <v>0.003448953930326642</v>
      </c>
      <c r="BW25" s="143" t="n">
        <v>0.02754649746358928</v>
      </c>
      <c r="BX25" s="143" t="n">
        <v>-0.05997843424307212</v>
      </c>
      <c r="BY25" s="143" t="n">
        <v>-0.0349026712239001</v>
      </c>
      <c r="BZ25" s="143" t="n">
        <v>-0.0175531046063457</v>
      </c>
      <c r="CA25" s="143" t="n">
        <v>-0.03354838286216393</v>
      </c>
      <c r="CB25" s="143" t="n">
        <v>-0.03288992375727803</v>
      </c>
      <c r="CC25" s="143" t="n">
        <v>-0.07057927262254224</v>
      </c>
      <c r="CD25" s="143" t="n">
        <v>-0.08143930058832859</v>
      </c>
      <c r="CE25" s="143" t="n">
        <v>-0.05059144976214057</v>
      </c>
    </row>
    <row r="26">
      <c r="A26" s="251" t="n">
        <v>40634</v>
      </c>
      <c r="B26" s="3" t="n">
        <v>1</v>
      </c>
      <c r="C26" s="143" t="n">
        <v>0.04829601613612778</v>
      </c>
      <c r="D26" s="143" t="n">
        <v>-0.009377323446709994</v>
      </c>
      <c r="E26" s="143" t="n">
        <v>0.03204940243729917</v>
      </c>
      <c r="F26" s="143" t="n">
        <v>0.01228026847620834</v>
      </c>
      <c r="G26" s="143" t="n">
        <v>0.01490596266269644</v>
      </c>
      <c r="H26" s="143" t="n">
        <v>0.0250156866436091</v>
      </c>
      <c r="I26" s="143" t="n">
        <v>0.01583189990850241</v>
      </c>
      <c r="J26" s="143" t="n">
        <v>0.01213980934478382</v>
      </c>
      <c r="K26" s="143" t="n">
        <v>0.01678886032924053</v>
      </c>
      <c r="L26" s="143" t="n">
        <v>0.01675080525848066</v>
      </c>
      <c r="M26" s="143" t="n">
        <v>-0.02014933372940617</v>
      </c>
      <c r="N26" s="143" t="n">
        <v>-0.00717743581148133</v>
      </c>
      <c r="O26" s="143" t="n">
        <v>0.008994004958493495</v>
      </c>
      <c r="P26" s="143" t="n">
        <v>-0.02964147572554096</v>
      </c>
      <c r="Q26" s="143" t="n">
        <v>-0.02837969118887918</v>
      </c>
      <c r="R26" s="143" t="n">
        <v>-0.0503491115475273</v>
      </c>
      <c r="S26" s="143" t="n">
        <v>-0.05164559420022585</v>
      </c>
      <c r="T26" s="143" t="n">
        <v>-0.03898959773093121</v>
      </c>
      <c r="U26" s="143" t="n">
        <v>-0.05269934774161941</v>
      </c>
      <c r="V26" s="143" t="n">
        <v>-0.05251447657823712</v>
      </c>
      <c r="W26" s="143" t="n">
        <v>0.004155294374492334</v>
      </c>
      <c r="X26" s="143" t="n">
        <v>-0.01731308495448222</v>
      </c>
      <c r="Y26" s="143" t="n">
        <v>0.003356089538059515</v>
      </c>
      <c r="Z26" s="143" t="n">
        <v>0.05278360250194303</v>
      </c>
      <c r="AA26" s="143" t="n">
        <v>0.04256406461083061</v>
      </c>
      <c r="AB26" s="143" t="n">
        <v>0.01477534775392651</v>
      </c>
      <c r="AC26" s="143" t="n">
        <v>0.02969081454241153</v>
      </c>
      <c r="AD26" s="143" t="n">
        <v>0.02278269962343467</v>
      </c>
      <c r="AE26" s="143" t="n">
        <v>0.03246662695202272</v>
      </c>
      <c r="AF26" s="143" t="n">
        <v>0.02359235053520735</v>
      </c>
      <c r="AG26" s="143" t="n">
        <v>0.02836054711133547</v>
      </c>
      <c r="AH26" s="143" t="n">
        <v>-0.05652221395243073</v>
      </c>
      <c r="AI26" s="143" t="n">
        <v>0.006846346978628225</v>
      </c>
      <c r="AJ26" s="143" t="n">
        <v>-0.002630708948977929</v>
      </c>
      <c r="AK26" s="143" t="n">
        <v>0.0005792937294294442</v>
      </c>
      <c r="AL26" s="143" t="n">
        <v>-0.001639665788493954</v>
      </c>
      <c r="AM26" s="143" t="n">
        <v>-0.04072210368529323</v>
      </c>
      <c r="AN26" s="143" t="n">
        <v>-0.03765762855647282</v>
      </c>
      <c r="AO26" s="143" t="n">
        <v>-0.04453425852959073</v>
      </c>
      <c r="AP26" s="143" t="n">
        <v>-0.05780540038676953</v>
      </c>
      <c r="AQ26" s="143" t="n">
        <v>-0.0341070775341232</v>
      </c>
      <c r="AR26" s="143" t="n">
        <v>0.005301649959995538</v>
      </c>
      <c r="AS26" s="143" t="n">
        <v>-0.0007728864274092716</v>
      </c>
      <c r="AT26" s="143" t="n">
        <v>0.008633820335305926</v>
      </c>
      <c r="AU26" s="143" t="n">
        <v>0.003417924164163674</v>
      </c>
      <c r="AV26" s="143" t="n">
        <v>0.01168656842841307</v>
      </c>
      <c r="AW26" s="143" t="n">
        <v>0.08056896651823334</v>
      </c>
      <c r="AX26" s="143" t="n">
        <v>0.03067585133572749</v>
      </c>
      <c r="AY26" s="143" t="n">
        <v>0.03007476062532743</v>
      </c>
      <c r="AZ26" s="143" t="n">
        <v>0.03009497687150451</v>
      </c>
      <c r="BA26" s="143" t="n">
        <v>0.03055284482082406</v>
      </c>
      <c r="BB26" s="143" t="n">
        <v>0.1048968243934488</v>
      </c>
      <c r="BC26" s="143" t="n">
        <v>0.020563694576808</v>
      </c>
      <c r="BD26" s="143" t="n">
        <v>0.02439470084075447</v>
      </c>
      <c r="BE26" s="143" t="n">
        <v>0.02951468670354987</v>
      </c>
      <c r="BF26" s="143" t="n">
        <v>0.03278551951797145</v>
      </c>
      <c r="BG26" s="143" t="n">
        <v>0.07591376710857282</v>
      </c>
      <c r="BH26" s="143" t="n">
        <v>0.08997539564526892</v>
      </c>
      <c r="BI26" s="143" t="n">
        <v>0.08754628830492159</v>
      </c>
      <c r="BJ26" s="143" t="n">
        <v>0.1132397054066925</v>
      </c>
      <c r="BK26" s="143" t="n">
        <v>0.1096928159110386</v>
      </c>
      <c r="BL26" s="143" t="n">
        <v>0.1219924545601942</v>
      </c>
      <c r="BM26" s="143" t="n">
        <v>0.06103767594070554</v>
      </c>
      <c r="BN26" s="143" t="n">
        <v>0.01470934048890109</v>
      </c>
      <c r="BO26" s="143" t="n">
        <v>0.02576674552975604</v>
      </c>
      <c r="BP26" s="143" t="n">
        <v>0.03918950574748732</v>
      </c>
      <c r="BQ26" s="143" t="n">
        <v>0.01632757465033245</v>
      </c>
      <c r="BR26" s="143" t="n">
        <v>0.001918998358659253</v>
      </c>
      <c r="BS26" s="143" t="n">
        <v>0.02242581938346748</v>
      </c>
      <c r="BT26" s="143" t="n">
        <v>0.005264334028715899</v>
      </c>
      <c r="BU26" s="143" t="n">
        <v>0.0137903655213716</v>
      </c>
      <c r="BV26" s="143" t="n">
        <v>0.006221157803491687</v>
      </c>
      <c r="BW26" s="143" t="n">
        <v>0.06122204935333716</v>
      </c>
      <c r="BX26" s="143" t="n">
        <v>-0.06966932393282789</v>
      </c>
      <c r="BY26" s="143" t="n">
        <v>-0.0162235349202733</v>
      </c>
      <c r="BZ26" s="143" t="n">
        <v>-0.01653125024661252</v>
      </c>
      <c r="CA26" s="143" t="n">
        <v>-0.0308478930283743</v>
      </c>
      <c r="CB26" s="143" t="n">
        <v>-0.02299646761963752</v>
      </c>
      <c r="CC26" s="143" t="n">
        <v>-0.05864797366210579</v>
      </c>
      <c r="CD26" s="143" t="n">
        <v>-0.05389672567477666</v>
      </c>
      <c r="CE26" s="143" t="n">
        <v>-0.03872970297979377</v>
      </c>
    </row>
    <row r="27">
      <c r="A27" s="251" t="n">
        <v>40725</v>
      </c>
      <c r="B27" s="3" t="n">
        <v>0</v>
      </c>
      <c r="C27" s="143" t="n">
        <v>0.0560104042359292</v>
      </c>
      <c r="D27" s="143" t="n">
        <v>-0.0001730671635850601</v>
      </c>
      <c r="E27" s="143" t="n">
        <v>0.03228210238608186</v>
      </c>
      <c r="F27" s="143" t="n">
        <v>0.0172245982442834</v>
      </c>
      <c r="G27" s="143" t="n">
        <v>0.02024317431443553</v>
      </c>
      <c r="H27" s="143" t="n">
        <v>0.02342429480648392</v>
      </c>
      <c r="I27" s="143" t="n">
        <v>0.012944147651418</v>
      </c>
      <c r="J27" s="143" t="n">
        <v>0.008228897442797719</v>
      </c>
      <c r="K27" s="143" t="n">
        <v>0.01139029961881582</v>
      </c>
      <c r="L27" s="143" t="n">
        <v>0.0131570432001874</v>
      </c>
      <c r="M27" s="143" t="n">
        <v>-0.03179479749350807</v>
      </c>
      <c r="N27" s="143" t="n">
        <v>-0.01637949267763581</v>
      </c>
      <c r="O27" s="143" t="n">
        <v>0.003583085992392796</v>
      </c>
      <c r="P27" s="143" t="n">
        <v>-0.02938547936304464</v>
      </c>
      <c r="Q27" s="143" t="n">
        <v>-0.008193299966663873</v>
      </c>
      <c r="R27" s="143" t="n">
        <v>-0.0503491115475273</v>
      </c>
      <c r="S27" s="143" t="n">
        <v>-0.03581552701241714</v>
      </c>
      <c r="T27" s="143" t="n">
        <v>-0.03936054871172159</v>
      </c>
      <c r="U27" s="143" t="n">
        <v>-0.05269934774161941</v>
      </c>
      <c r="V27" s="143" t="n">
        <v>-0.04143979728787641</v>
      </c>
      <c r="W27" s="143" t="n">
        <v>-0.007717481287712744</v>
      </c>
      <c r="X27" s="143" t="n">
        <v>-0.02046195930137265</v>
      </c>
      <c r="Y27" s="143" t="n">
        <v>-0.002747015759954024</v>
      </c>
      <c r="Z27" s="143" t="n">
        <v>0.03821193944705854</v>
      </c>
      <c r="AA27" s="143" t="n">
        <v>0.001105942843167038</v>
      </c>
      <c r="AB27" s="143" t="n">
        <v>0.008652601969200405</v>
      </c>
      <c r="AC27" s="143" t="n">
        <v>0.00327022940126908</v>
      </c>
      <c r="AD27" s="143" t="n">
        <v>0.009058024158475668</v>
      </c>
      <c r="AE27" s="143" t="n">
        <v>-0.04971448402328244</v>
      </c>
      <c r="AF27" s="143" t="n">
        <v>-0.005935856161006322</v>
      </c>
      <c r="AG27" s="143" t="n">
        <v>-0.003499771295513741</v>
      </c>
      <c r="AH27" s="143" t="n">
        <v>-0.05312373022940832</v>
      </c>
      <c r="AI27" s="143" t="n">
        <v>0.01793402086342478</v>
      </c>
      <c r="AJ27" s="143" t="n">
        <v>0.01140332610322902</v>
      </c>
      <c r="AK27" s="143" t="n">
        <v>0.01574634733984407</v>
      </c>
      <c r="AL27" s="143" t="n">
        <v>0.008299379735971849</v>
      </c>
      <c r="AM27" s="143" t="n">
        <v>-0.05734753464937228</v>
      </c>
      <c r="AN27" s="143" t="n">
        <v>-0.07011628621065027</v>
      </c>
      <c r="AO27" s="143" t="n">
        <v>-0.06854071969051284</v>
      </c>
      <c r="AP27" s="143" t="n">
        <v>-0.07222280946661294</v>
      </c>
      <c r="AQ27" s="143" t="n">
        <v>-0.05806094528043628</v>
      </c>
      <c r="AR27" s="143" t="n">
        <v>0.002487202701262306</v>
      </c>
      <c r="AS27" s="143" t="n">
        <v>-0.0006667140242319079</v>
      </c>
      <c r="AT27" s="143" t="n">
        <v>-0.000769478584797399</v>
      </c>
      <c r="AU27" s="143" t="n">
        <v>-0.002575171977018364</v>
      </c>
      <c r="AV27" s="143" t="n">
        <v>0.00419611617745784</v>
      </c>
      <c r="AW27" s="143" t="n">
        <v>0.06917071921148894</v>
      </c>
      <c r="AX27" s="143" t="n">
        <v>0.01320073138669684</v>
      </c>
      <c r="AY27" s="143" t="n">
        <v>0.02096182214393479</v>
      </c>
      <c r="AZ27" s="143" t="n">
        <v>0.01497449062004386</v>
      </c>
      <c r="BA27" s="143" t="n">
        <v>0.02009593435216983</v>
      </c>
      <c r="BB27" s="143" t="n">
        <v>0.08676666472668117</v>
      </c>
      <c r="BC27" s="143" t="n">
        <v>-0.01980415726370476</v>
      </c>
      <c r="BD27" s="143" t="n">
        <v>0.004636541893764515</v>
      </c>
      <c r="BE27" s="143" t="n">
        <v>-0.008100368138351648</v>
      </c>
      <c r="BF27" s="143" t="n">
        <v>0.007836425745653934</v>
      </c>
      <c r="BG27" s="143" t="n">
        <v>0.1140997016609004</v>
      </c>
      <c r="BH27" s="143" t="n">
        <v>0.1135999553422867</v>
      </c>
      <c r="BI27" s="143" t="n">
        <v>0.1141964160510523</v>
      </c>
      <c r="BJ27" s="143" t="n">
        <v>0.1524059157051125</v>
      </c>
      <c r="BK27" s="143" t="n">
        <v>0.1570033247515367</v>
      </c>
      <c r="BL27" s="143" t="n">
        <v>0.08675499876515688</v>
      </c>
      <c r="BM27" s="143" t="n">
        <v>-0.04097975055838198</v>
      </c>
      <c r="BN27" s="143" t="n">
        <v>-0.01444927090304529</v>
      </c>
      <c r="BO27" s="143" t="n">
        <v>-0.04519042095425922</v>
      </c>
      <c r="BP27" s="143" t="n">
        <v>-0.01572626197611635</v>
      </c>
      <c r="BQ27" s="143" t="n">
        <v>0.01468953364124367</v>
      </c>
      <c r="BR27" s="143" t="n">
        <v>0.0009637942020482924</v>
      </c>
      <c r="BS27" s="143" t="n">
        <v>0.0101149407297133</v>
      </c>
      <c r="BT27" s="143" t="n">
        <v>-0.001699448994329382</v>
      </c>
      <c r="BU27" s="143" t="n">
        <v>0.01033051453168656</v>
      </c>
      <c r="BV27" s="143" t="n">
        <v>-0.01876333402330695</v>
      </c>
      <c r="BW27" s="143" t="n">
        <v>0.01292655681946773</v>
      </c>
      <c r="BX27" s="143" t="n">
        <v>-0.07626080370756623</v>
      </c>
      <c r="BY27" s="143" t="n">
        <v>-0.03881025511988584</v>
      </c>
      <c r="BZ27" s="143" t="n">
        <v>-0.05244021378584349</v>
      </c>
      <c r="CA27" s="143" t="n">
        <v>-0.02751813753147532</v>
      </c>
      <c r="CB27" s="143" t="n">
        <v>-0.01261703651342698</v>
      </c>
      <c r="CC27" s="143" t="n">
        <v>-0.04333682797572144</v>
      </c>
      <c r="CD27" s="143" t="n">
        <v>-0.02797638452878242</v>
      </c>
      <c r="CE27" s="143" t="n">
        <v>-0.02739988729757345</v>
      </c>
    </row>
    <row r="28">
      <c r="A28" s="251" t="n">
        <v>40817</v>
      </c>
      <c r="B28" s="3" t="n">
        <v>0</v>
      </c>
      <c r="C28" s="143" t="n">
        <v>0.0581021646497766</v>
      </c>
      <c r="D28" s="143" t="n">
        <v>-0.01307055587626642</v>
      </c>
      <c r="E28" s="143" t="n">
        <v>0.02348026488281904</v>
      </c>
      <c r="F28" s="143" t="n">
        <v>0.0122322578266061</v>
      </c>
      <c r="G28" s="143" t="n">
        <v>0.01904745194540541</v>
      </c>
      <c r="H28" s="143" t="n">
        <v>0.02292560230790648</v>
      </c>
      <c r="I28" s="143" t="n">
        <v>0.007264626436293283</v>
      </c>
      <c r="J28" s="143" t="n">
        <v>0.00586211569675673</v>
      </c>
      <c r="K28" s="143" t="n">
        <v>0.008500941215599859</v>
      </c>
      <c r="L28" s="143" t="n">
        <v>0.01024082553397818</v>
      </c>
      <c r="M28" s="143" t="n">
        <v>-0.09929812915510645</v>
      </c>
      <c r="N28" s="143" t="n">
        <v>-0.04461099979015123</v>
      </c>
      <c r="O28" s="143" t="n">
        <v>-0.01263766759544</v>
      </c>
      <c r="P28" s="143" t="n">
        <v>-0.02490554301935895</v>
      </c>
      <c r="Q28" s="143" t="n">
        <v>-0.007243352144441963</v>
      </c>
      <c r="R28" s="143" t="n">
        <v>-0.02817663969602817</v>
      </c>
      <c r="S28" s="143" t="n">
        <v>-0.01757137457846765</v>
      </c>
      <c r="T28" s="143" t="n">
        <v>-0.03498862643812069</v>
      </c>
      <c r="U28" s="143" t="n">
        <v>-0.05269934774161941</v>
      </c>
      <c r="V28" s="143" t="n">
        <v>-0.03847357582342662</v>
      </c>
      <c r="W28" s="143" t="n">
        <v>-0.01957204811417554</v>
      </c>
      <c r="X28" s="143" t="n">
        <v>-0.02581052050128178</v>
      </c>
      <c r="Y28" s="143" t="n">
        <v>-0.01287127228491497</v>
      </c>
      <c r="Z28" s="143" t="n">
        <v>0.007962913940733167</v>
      </c>
      <c r="AA28" s="143" t="n">
        <v>-0.07705921140551551</v>
      </c>
      <c r="AB28" s="143" t="n">
        <v>-0.004026017691601179</v>
      </c>
      <c r="AC28" s="143" t="n">
        <v>-0.04176188080608301</v>
      </c>
      <c r="AD28" s="143" t="n">
        <v>-0.01463498239115602</v>
      </c>
      <c r="AE28" s="143" t="n">
        <v>-0.1241766239888734</v>
      </c>
      <c r="AF28" s="143" t="n">
        <v>-0.04595380251268209</v>
      </c>
      <c r="AG28" s="143" t="n">
        <v>-0.03769495227147783</v>
      </c>
      <c r="AH28" s="143" t="n">
        <v>-0.05652221395243073</v>
      </c>
      <c r="AI28" s="143" t="n">
        <v>0.008525530697966894</v>
      </c>
      <c r="AJ28" s="143" t="n">
        <v>0.01171486362049982</v>
      </c>
      <c r="AK28" s="143" t="n">
        <v>0.009911016343122626</v>
      </c>
      <c r="AL28" s="143" t="n">
        <v>0.005383494015452776</v>
      </c>
      <c r="AM28" s="143" t="n">
        <v>-0.07697433084311288</v>
      </c>
      <c r="AN28" s="143" t="n">
        <v>-0.09447966692780954</v>
      </c>
      <c r="AO28" s="143" t="n">
        <v>-0.05444409173078595</v>
      </c>
      <c r="AP28" s="143" t="n">
        <v>-0.09016948008103952</v>
      </c>
      <c r="AQ28" s="143" t="n">
        <v>-0.08961948800816311</v>
      </c>
      <c r="AR28" s="143" t="n">
        <v>0.01909641196192276</v>
      </c>
      <c r="AS28" s="143" t="n">
        <v>0.02472009825840301</v>
      </c>
      <c r="AT28" s="143" t="n">
        <v>0.01387009977210791</v>
      </c>
      <c r="AU28" s="143" t="n">
        <v>0.02504966969467719</v>
      </c>
      <c r="AV28" s="143" t="n">
        <v>0.03360935190813608</v>
      </c>
      <c r="AW28" s="143" t="n">
        <v>0.04364062185650991</v>
      </c>
      <c r="AX28" s="143" t="n">
        <v>-0.01755858301892757</v>
      </c>
      <c r="AY28" s="143" t="n">
        <v>0.007659704885157935</v>
      </c>
      <c r="AZ28" s="143" t="n">
        <v>-0.008981942237530349</v>
      </c>
      <c r="BA28" s="143" t="n">
        <v>0.002533984801486871</v>
      </c>
      <c r="BB28" s="143" t="n">
        <v>0.0590579646926051</v>
      </c>
      <c r="BC28" s="143" t="n">
        <v>-0.07028343837971165</v>
      </c>
      <c r="BD28" s="143" t="n">
        <v>-0.01240910404857823</v>
      </c>
      <c r="BE28" s="143" t="n">
        <v>-0.05540107969431982</v>
      </c>
      <c r="BF28" s="143" t="n">
        <v>-0.02431491106675395</v>
      </c>
      <c r="BG28" s="143" t="n">
        <v>0.05540021893153138</v>
      </c>
      <c r="BH28" s="143" t="n">
        <v>0.03567254618392299</v>
      </c>
      <c r="BI28" s="143" t="n">
        <v>0.05883918648265506</v>
      </c>
      <c r="BJ28" s="143" t="n">
        <v>0.03845322989894288</v>
      </c>
      <c r="BK28" s="143" t="n">
        <v>0.06049932156185275</v>
      </c>
      <c r="BL28" s="143" t="n">
        <v>0.05749304379523782</v>
      </c>
      <c r="BM28" s="143" t="n">
        <v>-0.1247028977132406</v>
      </c>
      <c r="BN28" s="143" t="n">
        <v>-0.04471234934604926</v>
      </c>
      <c r="BO28" s="143" t="n">
        <v>-0.09761084392930922</v>
      </c>
      <c r="BP28" s="143" t="n">
        <v>-0.05792259245637745</v>
      </c>
      <c r="BQ28" s="143" t="n">
        <v>0.01910267571792129</v>
      </c>
      <c r="BR28" s="143" t="n">
        <v>0.002455005907839086</v>
      </c>
      <c r="BS28" s="143" t="n">
        <v>-0.001244373406965924</v>
      </c>
      <c r="BT28" s="143" t="n">
        <v>0.002171616640588385</v>
      </c>
      <c r="BU28" s="143" t="n">
        <v>0.01231204189411896</v>
      </c>
      <c r="BV28" s="143" t="n">
        <v>-0.05569344564055274</v>
      </c>
      <c r="BW28" s="143" t="n">
        <v>-0.08491288157806177</v>
      </c>
      <c r="BX28" s="143" t="n">
        <v>-0.0798650912571479</v>
      </c>
      <c r="BY28" s="143" t="n">
        <v>-0.0785782782152076</v>
      </c>
      <c r="BZ28" s="143" t="n">
        <v>-0.09916284913863603</v>
      </c>
      <c r="CA28" s="143" t="n">
        <v>-0.01200412289788905</v>
      </c>
      <c r="CB28" s="143" t="n">
        <v>0.0238371922950047</v>
      </c>
      <c r="CC28" s="143" t="n">
        <v>-0.01127589147813024</v>
      </c>
      <c r="CD28" s="143" t="n">
        <v>0.02765008301689802</v>
      </c>
      <c r="CE28" s="143" t="n">
        <v>-0.003877887300633403</v>
      </c>
    </row>
    <row r="29">
      <c r="A29" s="251" t="n">
        <v>40909</v>
      </c>
      <c r="B29" s="3" t="n">
        <v>0</v>
      </c>
      <c r="C29" s="143" t="n">
        <v>0.05006036529964342</v>
      </c>
      <c r="D29" s="143" t="n">
        <v>-0.01604231869569361</v>
      </c>
      <c r="E29" s="143" t="n">
        <v>0.008979758177607232</v>
      </c>
      <c r="F29" s="143" t="n">
        <v>-0.008193419728890834</v>
      </c>
      <c r="G29" s="143" t="n">
        <v>0.007702263040724299</v>
      </c>
      <c r="H29" s="143" t="n">
        <v>0.01245569918139429</v>
      </c>
      <c r="I29" s="143" t="n">
        <v>-0.005536048194054932</v>
      </c>
      <c r="J29" s="143" t="n">
        <v>-0.001198234690537986</v>
      </c>
      <c r="K29" s="143" t="n">
        <v>-0.006985329558592787</v>
      </c>
      <c r="L29" s="143" t="n">
        <v>-0.001394791716659299</v>
      </c>
      <c r="M29" s="143" t="n">
        <v>-0.05911433275124008</v>
      </c>
      <c r="N29" s="143" t="n">
        <v>-0.03406201449879788</v>
      </c>
      <c r="O29" s="143" t="n">
        <v>-0.01020633724633953</v>
      </c>
      <c r="P29" s="143" t="n">
        <v>-0.03386541570673032</v>
      </c>
      <c r="Q29" s="143" t="n">
        <v>-0.01413047385555073</v>
      </c>
      <c r="R29" s="143" t="n">
        <v>-0.02850812957480498</v>
      </c>
      <c r="S29" s="143" t="n">
        <v>-0.02192464305511502</v>
      </c>
      <c r="T29" s="143" t="n">
        <v>-0.04628938310291317</v>
      </c>
      <c r="U29" s="143" t="n">
        <v>-0.05269934774161941</v>
      </c>
      <c r="V29" s="143" t="n">
        <v>-0.06019780453042288</v>
      </c>
      <c r="W29" s="143" t="n">
        <v>-0.03737140508724153</v>
      </c>
      <c r="X29" s="143" t="n">
        <v>-0.04202827599438522</v>
      </c>
      <c r="Y29" s="143" t="n">
        <v>-0.03363213075241069</v>
      </c>
      <c r="Z29" s="143" t="n">
        <v>-0.01490726678108609</v>
      </c>
      <c r="AA29" s="143" t="n">
        <v>-0.1042629336784626</v>
      </c>
      <c r="AB29" s="143" t="n">
        <v>-0.01491819127231471</v>
      </c>
      <c r="AC29" s="143" t="n">
        <v>-0.07109894138582383</v>
      </c>
      <c r="AD29" s="143" t="n">
        <v>-0.03105364720382632</v>
      </c>
      <c r="AE29" s="143" t="n">
        <v>-0.1241766239888734</v>
      </c>
      <c r="AF29" s="143" t="n">
        <v>-0.05400051625179961</v>
      </c>
      <c r="AG29" s="143" t="n">
        <v>-0.03923450696832929</v>
      </c>
      <c r="AH29" s="143" t="n">
        <v>-0.05543768187104655</v>
      </c>
      <c r="AI29" s="143" t="n">
        <v>0.0130435455487408</v>
      </c>
      <c r="AJ29" s="143" t="n">
        <v>0.01514161297016877</v>
      </c>
      <c r="AK29" s="143" t="n">
        <v>0.01036063079324971</v>
      </c>
      <c r="AL29" s="143" t="n">
        <v>0.00648632356352829</v>
      </c>
      <c r="AM29" s="143" t="n">
        <v>-0.07697433084311288</v>
      </c>
      <c r="AN29" s="143" t="n">
        <v>-0.08440584043714615</v>
      </c>
      <c r="AO29" s="143" t="n">
        <v>-0.08882763851879726</v>
      </c>
      <c r="AP29" s="143" t="n">
        <v>-0.09338259076221898</v>
      </c>
      <c r="AQ29" s="143" t="n">
        <v>-0.0993334362159764</v>
      </c>
      <c r="AR29" s="143" t="n">
        <v>0.01703417358456893</v>
      </c>
      <c r="AS29" s="143" t="n">
        <v>0.02443966688161851</v>
      </c>
      <c r="AT29" s="143" t="n">
        <v>0.0117612203101462</v>
      </c>
      <c r="AU29" s="143" t="n">
        <v>0.01949435580494968</v>
      </c>
      <c r="AV29" s="143" t="n">
        <v>0.02445508121484317</v>
      </c>
      <c r="AW29" s="143" t="n">
        <v>-0.0121983518012056</v>
      </c>
      <c r="AX29" s="143" t="n">
        <v>-0.06730252942779399</v>
      </c>
      <c r="AY29" s="143" t="n">
        <v>-0.02171619790058297</v>
      </c>
      <c r="AZ29" s="143" t="n">
        <v>-0.0532223938888693</v>
      </c>
      <c r="BA29" s="143" t="n">
        <v>-0.03003734756478125</v>
      </c>
      <c r="BB29" s="143" t="n">
        <v>0.02419800694749562</v>
      </c>
      <c r="BC29" s="143" t="n">
        <v>-0.09411426761050605</v>
      </c>
      <c r="BD29" s="143" t="n">
        <v>-0.03882335185207553</v>
      </c>
      <c r="BE29" s="143" t="n">
        <v>-0.07022019449038519</v>
      </c>
      <c r="BF29" s="143" t="n">
        <v>-0.05113861990060661</v>
      </c>
      <c r="BG29" s="143" t="n">
        <v>0.007298137819960528</v>
      </c>
      <c r="BH29" s="143" t="n">
        <v>-0.03406702049858849</v>
      </c>
      <c r="BI29" s="143" t="n">
        <v>0.01688918017580194</v>
      </c>
      <c r="BJ29" s="143" t="n">
        <v>-0.04742126769741661</v>
      </c>
      <c r="BK29" s="143" t="n">
        <v>-0.01688926680495247</v>
      </c>
      <c r="BL29" s="143" t="n">
        <v>0.00604847818874643</v>
      </c>
      <c r="BM29" s="143" t="n">
        <v>-0.1595537466964546</v>
      </c>
      <c r="BN29" s="143" t="n">
        <v>-0.07842482256296134</v>
      </c>
      <c r="BO29" s="143" t="n">
        <v>-0.128199750559594</v>
      </c>
      <c r="BP29" s="143" t="n">
        <v>-0.09431160485611609</v>
      </c>
      <c r="BQ29" s="143" t="n">
        <v>0.02606017763562737</v>
      </c>
      <c r="BR29" s="143" t="n">
        <v>0.01188987765003438</v>
      </c>
      <c r="BS29" s="143" t="n">
        <v>0.002952301779246957</v>
      </c>
      <c r="BT29" s="143" t="n">
        <v>0.01190373092605609</v>
      </c>
      <c r="BU29" s="143" t="n">
        <v>0.01593668173369267</v>
      </c>
      <c r="BV29" s="143" t="n">
        <v>-0.05887621317770261</v>
      </c>
      <c r="BW29" s="143" t="n">
        <v>-0.08171828851595203</v>
      </c>
      <c r="BX29" s="143" t="n">
        <v>-0.03394749619750016</v>
      </c>
      <c r="BY29" s="143" t="n">
        <v>-0.064498860623904</v>
      </c>
      <c r="BZ29" s="143" t="n">
        <v>-0.09389035298193225</v>
      </c>
      <c r="CA29" s="143" t="n">
        <v>-0.0005725764220352426</v>
      </c>
      <c r="CB29" s="143" t="n">
        <v>0.06270280724929113</v>
      </c>
      <c r="CC29" s="143" t="n">
        <v>0.01932754514929514</v>
      </c>
      <c r="CD29" s="143" t="n">
        <v>0.06278590233842535</v>
      </c>
      <c r="CE29" s="143" t="n">
        <v>0.01248443022738632</v>
      </c>
    </row>
    <row r="30">
      <c r="A30" s="251" t="n">
        <v>41000</v>
      </c>
      <c r="B30" s="3" t="n">
        <v>0</v>
      </c>
      <c r="C30" s="143" t="n">
        <v>0.04302802295496565</v>
      </c>
      <c r="D30" s="143" t="n">
        <v>-0.008539843531887987</v>
      </c>
      <c r="E30" s="143" t="n">
        <v>-0.009038384366292482</v>
      </c>
      <c r="F30" s="143" t="n">
        <v>-0.02295382401809458</v>
      </c>
      <c r="G30" s="143" t="n">
        <v>-0.001995501890888263</v>
      </c>
      <c r="H30" s="143" t="n">
        <v>-0.01083184341937219</v>
      </c>
      <c r="I30" s="143" t="n">
        <v>-0.03925378263376223</v>
      </c>
      <c r="J30" s="143" t="n">
        <v>-0.01311384629924029</v>
      </c>
      <c r="K30" s="143" t="n">
        <v>-0.03757695633260497</v>
      </c>
      <c r="L30" s="143" t="n">
        <v>-0.02284006325453901</v>
      </c>
      <c r="M30" s="143" t="n">
        <v>-0.09641587770369843</v>
      </c>
      <c r="N30" s="143" t="n">
        <v>-0.05434500834256401</v>
      </c>
      <c r="O30" s="143" t="n">
        <v>-0.02568092830158349</v>
      </c>
      <c r="P30" s="143" t="n">
        <v>-0.04359327748159066</v>
      </c>
      <c r="Q30" s="143" t="n">
        <v>-0.01294303907777334</v>
      </c>
      <c r="R30" s="143" t="n">
        <v>-0.02883961945358176</v>
      </c>
      <c r="S30" s="143" t="n">
        <v>-0.0271485652270919</v>
      </c>
      <c r="T30" s="143" t="n">
        <v>-0.05198613030790822</v>
      </c>
      <c r="U30" s="143" t="n">
        <v>-0.05269934774161941</v>
      </c>
      <c r="V30" s="143" t="n">
        <v>-0.0951853817705693</v>
      </c>
      <c r="W30" s="143" t="n">
        <v>-0.05376250981035419</v>
      </c>
      <c r="X30" s="143" t="n">
        <v>-0.06308561741809962</v>
      </c>
      <c r="Y30" s="143" t="n">
        <v>-0.0590508904473625</v>
      </c>
      <c r="Z30" s="143" t="n">
        <v>-0.03627042106723717</v>
      </c>
      <c r="AA30" s="143" t="n">
        <v>-0.1042629336784626</v>
      </c>
      <c r="AB30" s="143" t="n">
        <v>-0.02520244113619304</v>
      </c>
      <c r="AC30" s="143" t="n">
        <v>-0.07315771521862184</v>
      </c>
      <c r="AD30" s="143" t="n">
        <v>-0.04459980950510786</v>
      </c>
      <c r="AE30" s="143" t="n">
        <v>-0.1241766239888734</v>
      </c>
      <c r="AF30" s="143" t="n">
        <v>-0.0625337055160244</v>
      </c>
      <c r="AG30" s="143" t="n">
        <v>-0.04183945045847076</v>
      </c>
      <c r="AH30" s="143" t="n">
        <v>-0.05033704702532291</v>
      </c>
      <c r="AI30" s="143" t="n">
        <v>0.01948487584854396</v>
      </c>
      <c r="AJ30" s="143" t="n">
        <v>0.02171709743350913</v>
      </c>
      <c r="AK30" s="143" t="n">
        <v>0.01323255136698052</v>
      </c>
      <c r="AL30" s="143" t="n">
        <v>0.009182177726148546</v>
      </c>
      <c r="AM30" s="143" t="n">
        <v>-0.06603029471117916</v>
      </c>
      <c r="AN30" s="143" t="n">
        <v>-0.02441626499456762</v>
      </c>
      <c r="AO30" s="143" t="n">
        <v>-0.06315208628909996</v>
      </c>
      <c r="AP30" s="143" t="n">
        <v>-0.04814628851808921</v>
      </c>
      <c r="AQ30" s="143" t="n">
        <v>-0.06179554206702631</v>
      </c>
      <c r="AR30" s="143" t="n">
        <v>0.0105294567287909</v>
      </c>
      <c r="AS30" s="143" t="n">
        <v>0.006747856260811215</v>
      </c>
      <c r="AT30" s="143" t="n">
        <v>0.006210509673420813</v>
      </c>
      <c r="AU30" s="143" t="n">
        <v>0.00690734943175733</v>
      </c>
      <c r="AV30" s="143" t="n">
        <v>0.009055239942674832</v>
      </c>
      <c r="AW30" s="143" t="n">
        <v>-0.049808991440946</v>
      </c>
      <c r="AX30" s="143" t="n">
        <v>-0.07305517128658089</v>
      </c>
      <c r="AY30" s="143" t="n">
        <v>-0.04168703779309962</v>
      </c>
      <c r="AZ30" s="143" t="n">
        <v>-0.06277333236476577</v>
      </c>
      <c r="BA30" s="143" t="n">
        <v>-0.0491778323213095</v>
      </c>
      <c r="BB30" s="143" t="n">
        <v>0.01933945790686453</v>
      </c>
      <c r="BC30" s="143" t="n">
        <v>-0.09411426761050605</v>
      </c>
      <c r="BD30" s="143" t="n">
        <v>-0.04512231167700582</v>
      </c>
      <c r="BE30" s="143" t="n">
        <v>-0.07022019449038519</v>
      </c>
      <c r="BF30" s="143" t="n">
        <v>-0.05113861990060661</v>
      </c>
      <c r="BG30" s="143" t="n">
        <v>-0.002599270063574681</v>
      </c>
      <c r="BH30" s="143" t="n">
        <v>-0.07102586097306472</v>
      </c>
      <c r="BI30" s="143" t="n">
        <v>-0.0002390413801132837</v>
      </c>
      <c r="BJ30" s="143" t="n">
        <v>-0.06612391236675935</v>
      </c>
      <c r="BK30" s="143" t="n">
        <v>-0.03567510733034902</v>
      </c>
      <c r="BL30" s="143" t="n">
        <v>-0.02037643374887844</v>
      </c>
      <c r="BM30" s="143" t="n">
        <v>-0.1595537466964546</v>
      </c>
      <c r="BN30" s="143" t="n">
        <v>-0.09597760429954079</v>
      </c>
      <c r="BO30" s="143" t="n">
        <v>-0.128199750559594</v>
      </c>
      <c r="BP30" s="143" t="n">
        <v>-0.09431160485611609</v>
      </c>
      <c r="BQ30" s="143" t="n">
        <v>0.02034014703194129</v>
      </c>
      <c r="BR30" s="143" t="n">
        <v>0.006788060021984059</v>
      </c>
      <c r="BS30" s="143" t="n">
        <v>0.004147786232821375</v>
      </c>
      <c r="BT30" s="143" t="n">
        <v>0.003495296594518927</v>
      </c>
      <c r="BU30" s="143" t="n">
        <v>0.005954768301246319</v>
      </c>
      <c r="BV30" s="143" t="n">
        <v>-0.05893238257450442</v>
      </c>
      <c r="BW30" s="143" t="n">
        <v>-0.08542673942961483</v>
      </c>
      <c r="BX30" s="143" t="n">
        <v>-0.01516820116824009</v>
      </c>
      <c r="BY30" s="143" t="n">
        <v>-0.05647831577025852</v>
      </c>
      <c r="BZ30" s="143" t="n">
        <v>-0.0789673111171644</v>
      </c>
      <c r="CA30" s="143" t="n">
        <v>-0.002518070055778054</v>
      </c>
      <c r="CB30" s="143" t="n">
        <v>0.05386856671670558</v>
      </c>
      <c r="CC30" s="143" t="n">
        <v>0.02001422939555473</v>
      </c>
      <c r="CD30" s="143" t="n">
        <v>0.05187393301557488</v>
      </c>
      <c r="CE30" s="143" t="n">
        <v>0.01257251754733202</v>
      </c>
    </row>
    <row r="31">
      <c r="A31" s="251" t="n">
        <v>41091</v>
      </c>
      <c r="B31" s="3" t="n">
        <v>0</v>
      </c>
      <c r="C31" s="143" t="n">
        <v>0.02601908567719491</v>
      </c>
      <c r="D31" s="143" t="n">
        <v>-0.04861835598467843</v>
      </c>
      <c r="E31" s="143" t="n">
        <v>-0.02461302262345349</v>
      </c>
      <c r="F31" s="143" t="n">
        <v>-0.05039788946085579</v>
      </c>
      <c r="G31" s="143" t="n">
        <v>-0.01987975703296467</v>
      </c>
      <c r="H31" s="143" t="n">
        <v>-0.0184540116919298</v>
      </c>
      <c r="I31" s="143" t="n">
        <v>-0.04518510010675528</v>
      </c>
      <c r="J31" s="143" t="n">
        <v>-0.01842815328886678</v>
      </c>
      <c r="K31" s="143" t="n">
        <v>-0.04414644310051578</v>
      </c>
      <c r="L31" s="143" t="n">
        <v>-0.02834775782378981</v>
      </c>
      <c r="M31" s="143" t="n">
        <v>-0.03456403130086538</v>
      </c>
      <c r="N31" s="143" t="n">
        <v>-0.03093779919493904</v>
      </c>
      <c r="O31" s="143" t="n">
        <v>-0.01600804591333874</v>
      </c>
      <c r="P31" s="143" t="n">
        <v>-0.03373741752548216</v>
      </c>
      <c r="Q31" s="143" t="n">
        <v>-0.004037278244443072</v>
      </c>
      <c r="R31" s="143" t="n">
        <v>-0.008535864378502662</v>
      </c>
      <c r="S31" s="143" t="n">
        <v>-0.008073334265782418</v>
      </c>
      <c r="T31" s="143" t="n">
        <v>-0.02791406130447568</v>
      </c>
      <c r="U31" s="143" t="n">
        <v>-0.05269934774161941</v>
      </c>
      <c r="V31" s="143" t="n">
        <v>-0.1074057730606345</v>
      </c>
      <c r="W31" s="143" t="n">
        <v>-0.05951210764781629</v>
      </c>
      <c r="X31" s="143" t="n">
        <v>-0.06541987995511377</v>
      </c>
      <c r="Y31" s="143" t="n">
        <v>-0.0718995304821039</v>
      </c>
      <c r="Z31" s="143" t="n">
        <v>-0.04193293695132239</v>
      </c>
      <c r="AA31" s="143" t="n">
        <v>-0.1042629336784626</v>
      </c>
      <c r="AB31" s="143" t="n">
        <v>-0.03036840574840739</v>
      </c>
      <c r="AC31" s="143" t="n">
        <v>-0.07315771521862184</v>
      </c>
      <c r="AD31" s="143" t="n">
        <v>-0.0456230310566763</v>
      </c>
      <c r="AE31" s="143" t="n">
        <v>-0.09135683679948832</v>
      </c>
      <c r="AF31" s="143" t="n">
        <v>-0.0704716224814934</v>
      </c>
      <c r="AG31" s="143" t="n">
        <v>-0.03911857316611771</v>
      </c>
      <c r="AH31" s="143" t="n">
        <v>-0.04816293071721322</v>
      </c>
      <c r="AI31" s="143" t="n">
        <v>0.005341161281460997</v>
      </c>
      <c r="AJ31" s="143" t="n">
        <v>0.01919657897169681</v>
      </c>
      <c r="AK31" s="143" t="n">
        <v>0.0123785892532727</v>
      </c>
      <c r="AL31" s="143" t="n">
        <v>0.009732529086221076</v>
      </c>
      <c r="AM31" s="143" t="n">
        <v>-0.05844020788145018</v>
      </c>
      <c r="AN31" s="143" t="n">
        <v>-0.001054164604637154</v>
      </c>
      <c r="AO31" s="143" t="n">
        <v>-0.07240664624050865</v>
      </c>
      <c r="AP31" s="143" t="n">
        <v>-0.02757042766106976</v>
      </c>
      <c r="AQ31" s="143" t="n">
        <v>-0.04365581430960688</v>
      </c>
      <c r="AR31" s="143" t="n">
        <v>0.005393665301920789</v>
      </c>
      <c r="AS31" s="143" t="n">
        <v>0.003751552558088576</v>
      </c>
      <c r="AT31" s="143" t="n">
        <v>0.003206446239838163</v>
      </c>
      <c r="AU31" s="143" t="n">
        <v>-0.00255616408522714</v>
      </c>
      <c r="AV31" s="143" t="n">
        <v>-0.002684731008382044</v>
      </c>
      <c r="AW31" s="143" t="n">
        <v>-0.06061235232521207</v>
      </c>
      <c r="AX31" s="143" t="n">
        <v>-0.07305517128658089</v>
      </c>
      <c r="AY31" s="143" t="n">
        <v>-0.05083750550680281</v>
      </c>
      <c r="AZ31" s="143" t="n">
        <v>-0.06277333236476577</v>
      </c>
      <c r="BA31" s="143" t="n">
        <v>-0.05213484309567488</v>
      </c>
      <c r="BB31" s="143" t="n">
        <v>0.01547868980869102</v>
      </c>
      <c r="BC31" s="143" t="n">
        <v>-0.09411426761050605</v>
      </c>
      <c r="BD31" s="143" t="n">
        <v>-0.04512231167700582</v>
      </c>
      <c r="BE31" s="143" t="n">
        <v>-0.07022019449038519</v>
      </c>
      <c r="BF31" s="143" t="n">
        <v>-0.05113861990060661</v>
      </c>
      <c r="BG31" s="143" t="n">
        <v>-0.0002579258120174421</v>
      </c>
      <c r="BH31" s="143" t="n">
        <v>-0.07102586097306472</v>
      </c>
      <c r="BI31" s="143" t="n">
        <v>-0.01370410396234723</v>
      </c>
      <c r="BJ31" s="143" t="n">
        <v>-0.06251111947426319</v>
      </c>
      <c r="BK31" s="143" t="n">
        <v>-0.03481507199201198</v>
      </c>
      <c r="BL31" s="143" t="n">
        <v>-0.00423434603977716</v>
      </c>
      <c r="BM31" s="143" t="n">
        <v>-0.1595537466964546</v>
      </c>
      <c r="BN31" s="143" t="n">
        <v>-0.09597760429954079</v>
      </c>
      <c r="BO31" s="143" t="n">
        <v>-0.128199750559594</v>
      </c>
      <c r="BP31" s="143" t="n">
        <v>-0.09431160485611609</v>
      </c>
      <c r="BQ31" s="143" t="n">
        <v>0.01121627158601977</v>
      </c>
      <c r="BR31" s="143" t="n">
        <v>-0.005875709908935381</v>
      </c>
      <c r="BS31" s="143" t="n">
        <v>-0.002339892011186912</v>
      </c>
      <c r="BT31" s="143" t="n">
        <v>-0.009798274719104633</v>
      </c>
      <c r="BU31" s="143" t="n">
        <v>-0.006380565300081723</v>
      </c>
      <c r="BV31" s="143" t="n">
        <v>-0.006275579242642303</v>
      </c>
      <c r="BW31" s="143" t="n">
        <v>0.01637344904850397</v>
      </c>
      <c r="BX31" s="143" t="n">
        <v>0.01836125072601451</v>
      </c>
      <c r="BY31" s="143" t="n">
        <v>0.02982093043313638</v>
      </c>
      <c r="BZ31" s="143" t="n">
        <v>0.007682480557274145</v>
      </c>
      <c r="CA31" s="143" t="n">
        <v>-0.003934244049934458</v>
      </c>
      <c r="CB31" s="143" t="n">
        <v>0.04484428090775446</v>
      </c>
      <c r="CC31" s="143" t="n">
        <v>0.02089276339994425</v>
      </c>
      <c r="CD31" s="143" t="n">
        <v>0.04224638595366363</v>
      </c>
      <c r="CE31" s="143" t="n">
        <v>0.01278510634835602</v>
      </c>
    </row>
    <row r="32">
      <c r="A32" s="251" t="n">
        <v>41183</v>
      </c>
      <c r="B32" s="3" t="n">
        <v>0</v>
      </c>
      <c r="C32" s="143" t="n">
        <v>0.02225850492032321</v>
      </c>
      <c r="D32" s="143" t="n">
        <v>-0.05724790808168369</v>
      </c>
      <c r="E32" s="143" t="n">
        <v>-0.03590502476361458</v>
      </c>
      <c r="F32" s="143" t="n">
        <v>-0.05039494069082117</v>
      </c>
      <c r="G32" s="143" t="n">
        <v>-0.02398297494560043</v>
      </c>
      <c r="H32" s="143" t="n">
        <v>-0.01913860480303269</v>
      </c>
      <c r="I32" s="143" t="n">
        <v>-0.04518510010675528</v>
      </c>
      <c r="J32" s="143" t="n">
        <v>-0.0217220767199671</v>
      </c>
      <c r="K32" s="143" t="n">
        <v>-0.0400673630229348</v>
      </c>
      <c r="L32" s="143" t="n">
        <v>-0.02686957589139573</v>
      </c>
      <c r="M32" s="143" t="n">
        <v>-0.0210663867482418</v>
      </c>
      <c r="N32" s="143" t="n">
        <v>-0.05611631927309689</v>
      </c>
      <c r="O32" s="143" t="n">
        <v>-0.02681605673035261</v>
      </c>
      <c r="P32" s="143" t="n">
        <v>-0.02631352301308873</v>
      </c>
      <c r="Q32" s="143" t="n">
        <v>-0.001306178255555103</v>
      </c>
      <c r="R32" s="143" t="n">
        <v>-0.005966817817982427</v>
      </c>
      <c r="S32" s="143" t="n">
        <v>0.003146225853576971</v>
      </c>
      <c r="T32" s="143" t="n">
        <v>-0.009737463245747315</v>
      </c>
      <c r="U32" s="143" t="n">
        <v>-0.05269934774161941</v>
      </c>
      <c r="V32" s="143" t="n">
        <v>-0.1074057730606345</v>
      </c>
      <c r="W32" s="143" t="n">
        <v>-0.05905810061216127</v>
      </c>
      <c r="X32" s="143" t="n">
        <v>-0.06541987995511377</v>
      </c>
      <c r="Y32" s="143" t="n">
        <v>-0.07218745374357384</v>
      </c>
      <c r="Z32" s="143" t="n">
        <v>-0.03852326605337268</v>
      </c>
      <c r="AA32" s="143" t="n">
        <v>-0.08588082229369128</v>
      </c>
      <c r="AB32" s="143" t="n">
        <v>-0.03367113712952122</v>
      </c>
      <c r="AC32" s="143" t="n">
        <v>-0.07182902824256743</v>
      </c>
      <c r="AD32" s="143" t="n">
        <v>-0.03990195655718606</v>
      </c>
      <c r="AE32" s="143" t="n">
        <v>0.0003786904881968354</v>
      </c>
      <c r="AF32" s="143" t="n">
        <v>-0.07554474478442755</v>
      </c>
      <c r="AG32" s="143" t="n">
        <v>-0.0347130048166363</v>
      </c>
      <c r="AH32" s="143" t="n">
        <v>-0.02935668589651967</v>
      </c>
      <c r="AI32" s="143" t="n">
        <v>0.03035668879650986</v>
      </c>
      <c r="AJ32" s="143" t="n">
        <v>0.03206873280192905</v>
      </c>
      <c r="AK32" s="143" t="n">
        <v>0.02795488984733969</v>
      </c>
      <c r="AL32" s="143" t="n">
        <v>0.02017590185974358</v>
      </c>
      <c r="AM32" s="143" t="n">
        <v>-0.02523526318983425</v>
      </c>
      <c r="AN32" s="143" t="n">
        <v>0.05255653611015749</v>
      </c>
      <c r="AO32" s="143" t="n">
        <v>-0.04363315030230547</v>
      </c>
      <c r="AP32" s="143" t="n">
        <v>0.02827101040043319</v>
      </c>
      <c r="AQ32" s="143" t="n">
        <v>0.008980025554433682</v>
      </c>
      <c r="AR32" s="143" t="n">
        <v>-0.0009816276546150647</v>
      </c>
      <c r="AS32" s="143" t="n">
        <v>-0.02591597802351251</v>
      </c>
      <c r="AT32" s="143" t="n">
        <v>-0.001243022652255311</v>
      </c>
      <c r="AU32" s="143" t="n">
        <v>-0.01360887384120217</v>
      </c>
      <c r="AV32" s="143" t="n">
        <v>-0.01531272069906294</v>
      </c>
      <c r="AW32" s="143" t="n">
        <v>-0.05668301766881129</v>
      </c>
      <c r="AX32" s="143" t="n">
        <v>-0.07305517128658089</v>
      </c>
      <c r="AY32" s="143" t="n">
        <v>-0.05425734730426071</v>
      </c>
      <c r="AZ32" s="143" t="n">
        <v>-0.06276250551298901</v>
      </c>
      <c r="BA32" s="143" t="n">
        <v>-0.04636476517918887</v>
      </c>
      <c r="BB32" s="143" t="n">
        <v>0.01579681236108074</v>
      </c>
      <c r="BC32" s="143" t="n">
        <v>-0.08734459636061533</v>
      </c>
      <c r="BD32" s="143" t="n">
        <v>-0.04512231167700582</v>
      </c>
      <c r="BE32" s="143" t="n">
        <v>-0.07022019449038519</v>
      </c>
      <c r="BF32" s="143" t="n">
        <v>-0.05113861990060661</v>
      </c>
      <c r="BG32" s="143" t="n">
        <v>0.006310940501359445</v>
      </c>
      <c r="BH32" s="143" t="n">
        <v>-0.05645127863439536</v>
      </c>
      <c r="BI32" s="143" t="n">
        <v>-0.01590086694137784</v>
      </c>
      <c r="BJ32" s="143" t="n">
        <v>-0.04955925849875965</v>
      </c>
      <c r="BK32" s="143" t="n">
        <v>-0.02716144744832266</v>
      </c>
      <c r="BL32" s="143" t="n">
        <v>0.005460225522489507</v>
      </c>
      <c r="BM32" s="143" t="n">
        <v>-0.09800183333690295</v>
      </c>
      <c r="BN32" s="143" t="n">
        <v>-0.09597760429954079</v>
      </c>
      <c r="BO32" s="143" t="n">
        <v>-0.1138312079213573</v>
      </c>
      <c r="BP32" s="143" t="n">
        <v>-0.09116903390124619</v>
      </c>
      <c r="BQ32" s="143" t="n">
        <v>-0.003907007503149699</v>
      </c>
      <c r="BR32" s="143" t="n">
        <v>-0.03892543135355098</v>
      </c>
      <c r="BS32" s="143" t="n">
        <v>-0.01737343680905532</v>
      </c>
      <c r="BT32" s="143" t="n">
        <v>-0.02988762828947987</v>
      </c>
      <c r="BU32" s="143" t="n">
        <v>-0.02301285484846899</v>
      </c>
      <c r="BV32" s="143" t="n">
        <v>-0.008722289186192746</v>
      </c>
      <c r="BW32" s="143" t="n">
        <v>0.06158671838636463</v>
      </c>
      <c r="BX32" s="143" t="n">
        <v>-0.01461766024104661</v>
      </c>
      <c r="BY32" s="143" t="n">
        <v>0.02159357635264976</v>
      </c>
      <c r="BZ32" s="143" t="n">
        <v>0.01333095097282676</v>
      </c>
      <c r="CA32" s="143" t="n">
        <v>-0.01528101106533019</v>
      </c>
      <c r="CB32" s="143" t="n">
        <v>-0.006230934412888398</v>
      </c>
      <c r="CC32" s="143" t="n">
        <v>0.01141405004376377</v>
      </c>
      <c r="CD32" s="143" t="n">
        <v>0.004622718956992351</v>
      </c>
      <c r="CE32" s="143" t="n">
        <v>0.001024775176107047</v>
      </c>
    </row>
    <row r="33">
      <c r="A33" s="251" t="n">
        <v>41275</v>
      </c>
      <c r="B33" s="3" t="n">
        <v>0</v>
      </c>
      <c r="C33" s="143" t="n">
        <v>0.02335804150183644</v>
      </c>
      <c r="D33" s="143" t="n">
        <v>-0.04328662914494808</v>
      </c>
      <c r="E33" s="143" t="n">
        <v>-0.0299287178197297</v>
      </c>
      <c r="F33" s="143" t="n">
        <v>-0.03882565298931306</v>
      </c>
      <c r="G33" s="143" t="n">
        <v>-0.02245585687550337</v>
      </c>
      <c r="H33" s="143" t="n">
        <v>-0.01951295061934025</v>
      </c>
      <c r="I33" s="143" t="n">
        <v>-0.0350063289763104</v>
      </c>
      <c r="J33" s="143" t="n">
        <v>-0.02269956301354939</v>
      </c>
      <c r="K33" s="143" t="n">
        <v>-0.03468484376155282</v>
      </c>
      <c r="L33" s="143" t="n">
        <v>-0.02482402498135306</v>
      </c>
      <c r="M33" s="143" t="n">
        <v>0.01140342280002881</v>
      </c>
      <c r="N33" s="143" t="n">
        <v>-0.02224377039643516</v>
      </c>
      <c r="O33" s="143" t="n">
        <v>-0.01416139940845701</v>
      </c>
      <c r="P33" s="143" t="n">
        <v>0.009525967736396771</v>
      </c>
      <c r="Q33" s="143" t="n">
        <v>0.04025403896665292</v>
      </c>
      <c r="R33" s="143" t="n">
        <v>0.01823194333272411</v>
      </c>
      <c r="S33" s="143" t="n">
        <v>0.04889512002634409</v>
      </c>
      <c r="T33" s="143" t="n">
        <v>0.03942678995829126</v>
      </c>
      <c r="U33" s="143" t="n">
        <v>-0.05269934774161941</v>
      </c>
      <c r="V33" s="143" t="n">
        <v>-0.0889309006794119</v>
      </c>
      <c r="W33" s="143" t="n">
        <v>-0.05428260775927786</v>
      </c>
      <c r="X33" s="143" t="n">
        <v>-0.05243485400170899</v>
      </c>
      <c r="Y33" s="143" t="n">
        <v>-0.06349284501633456</v>
      </c>
      <c r="Z33" s="143" t="n">
        <v>-0.03276304399918355</v>
      </c>
      <c r="AA33" s="143" t="n">
        <v>-0.03298762837423084</v>
      </c>
      <c r="AB33" s="143" t="n">
        <v>-0.03376509933167165</v>
      </c>
      <c r="AC33" s="143" t="n">
        <v>-0.04898103776817606</v>
      </c>
      <c r="AD33" s="143" t="n">
        <v>-0.03256694835584806</v>
      </c>
      <c r="AE33" s="143" t="n">
        <v>0.02374089742171442</v>
      </c>
      <c r="AF33" s="143" t="n">
        <v>-0.08087473946561743</v>
      </c>
      <c r="AG33" s="143" t="n">
        <v>-0.03196432188173187</v>
      </c>
      <c r="AH33" s="143" t="n">
        <v>-0.02272215395184385</v>
      </c>
      <c r="AI33" s="143" t="n">
        <v>0.03522394134152008</v>
      </c>
      <c r="AJ33" s="143" t="n">
        <v>0.03980938228910175</v>
      </c>
      <c r="AK33" s="143" t="n">
        <v>0.03000577557011635</v>
      </c>
      <c r="AL33" s="143" t="n">
        <v>0.02209640610615989</v>
      </c>
      <c r="AM33" s="143" t="n">
        <v>-0.02034984614788706</v>
      </c>
      <c r="AN33" s="143" t="n">
        <v>0.06631426662094209</v>
      </c>
      <c r="AO33" s="143" t="n">
        <v>-0.01840581547872618</v>
      </c>
      <c r="AP33" s="143" t="n">
        <v>0.04201514767651929</v>
      </c>
      <c r="AQ33" s="143" t="n">
        <v>0.01566548600982076</v>
      </c>
      <c r="AR33" s="143" t="n">
        <v>-0.003178022096795212</v>
      </c>
      <c r="AS33" s="143" t="n">
        <v>-0.02608914162385205</v>
      </c>
      <c r="AT33" s="143" t="n">
        <v>-0.001714498839046367</v>
      </c>
      <c r="AU33" s="143" t="n">
        <v>-0.01705447776366893</v>
      </c>
      <c r="AV33" s="143" t="n">
        <v>-0.01797439590838002</v>
      </c>
      <c r="AW33" s="143" t="n">
        <v>-0.04653972068080006</v>
      </c>
      <c r="AX33" s="143" t="n">
        <v>-0.02845808070392685</v>
      </c>
      <c r="AY33" s="143" t="n">
        <v>-0.05159855883059122</v>
      </c>
      <c r="AZ33" s="143" t="n">
        <v>-0.04343428368945622</v>
      </c>
      <c r="BA33" s="143" t="n">
        <v>-0.03727002667362304</v>
      </c>
      <c r="BB33" s="143" t="n">
        <v>0.01977299590845084</v>
      </c>
      <c r="BC33" s="143" t="n">
        <v>-0.008934131022094649</v>
      </c>
      <c r="BD33" s="143" t="n">
        <v>-0.04512231167700582</v>
      </c>
      <c r="BE33" s="143" t="n">
        <v>-0.05590869839596602</v>
      </c>
      <c r="BF33" s="143" t="n">
        <v>-0.04712944902269589</v>
      </c>
      <c r="BG33" s="143" t="n">
        <v>0.007032862976868851</v>
      </c>
      <c r="BH33" s="143" t="n">
        <v>-0.0003050585496661022</v>
      </c>
      <c r="BI33" s="143" t="n">
        <v>-0.02630313743860698</v>
      </c>
      <c r="BJ33" s="143" t="n">
        <v>-0.04502590854874081</v>
      </c>
      <c r="BK33" s="143" t="n">
        <v>-0.02826083298190635</v>
      </c>
      <c r="BL33" s="143" t="n">
        <v>0.04232468254784463</v>
      </c>
      <c r="BM33" s="143" t="n">
        <v>0.06832485057911503</v>
      </c>
      <c r="BN33" s="143" t="n">
        <v>-0.09597760429954079</v>
      </c>
      <c r="BO33" s="143" t="n">
        <v>-0.01509345675385597</v>
      </c>
      <c r="BP33" s="143" t="n">
        <v>-0.03268073157081391</v>
      </c>
      <c r="BQ33" s="143" t="n">
        <v>-0.0130772898740613</v>
      </c>
      <c r="BR33" s="143" t="n">
        <v>-0.06620876916311189</v>
      </c>
      <c r="BS33" s="143" t="n">
        <v>-0.02587592049467968</v>
      </c>
      <c r="BT33" s="143" t="n">
        <v>-0.03870098211122831</v>
      </c>
      <c r="BU33" s="143" t="n">
        <v>-0.03047457515532744</v>
      </c>
      <c r="BV33" s="143" t="n">
        <v>0.006298895359324067</v>
      </c>
      <c r="BW33" s="143" t="n">
        <v>0.08545501874476474</v>
      </c>
      <c r="BX33" s="143" t="n">
        <v>0.0023416732725541</v>
      </c>
      <c r="BY33" s="143" t="n">
        <v>0.04866984471299377</v>
      </c>
      <c r="BZ33" s="143" t="n">
        <v>0.03887538674926132</v>
      </c>
      <c r="CA33" s="143" t="n">
        <v>-0.02141131985479176</v>
      </c>
      <c r="CB33" s="143" t="n">
        <v>-0.03962443542219141</v>
      </c>
      <c r="CC33" s="143" t="n">
        <v>0.01496159449252829</v>
      </c>
      <c r="CD33" s="143" t="n">
        <v>-0.0157399834940669</v>
      </c>
      <c r="CE33" s="143" t="n">
        <v>-0.004746351349546237</v>
      </c>
    </row>
    <row r="34">
      <c r="A34" s="251" t="n">
        <v>41365</v>
      </c>
      <c r="B34" s="3" t="n">
        <v>0</v>
      </c>
      <c r="C34" s="143" t="n">
        <v>0.0236541140766987</v>
      </c>
      <c r="D34" s="143" t="n">
        <v>-0.03140667512879287</v>
      </c>
      <c r="E34" s="143" t="n">
        <v>-0.02015117625357762</v>
      </c>
      <c r="F34" s="143" t="n">
        <v>-0.03027165000035111</v>
      </c>
      <c r="G34" s="143" t="n">
        <v>-0.02100769980747586</v>
      </c>
      <c r="H34" s="143" t="n">
        <v>-0.02033976292023138</v>
      </c>
      <c r="I34" s="143" t="n">
        <v>-0.01041136738654837</v>
      </c>
      <c r="J34" s="143" t="n">
        <v>-0.02780737788822819</v>
      </c>
      <c r="K34" s="143" t="n">
        <v>-0.02963843237385271</v>
      </c>
      <c r="L34" s="143" t="n">
        <v>-0.02307126511122057</v>
      </c>
      <c r="M34" s="143" t="n">
        <v>0.02014337578511819</v>
      </c>
      <c r="N34" s="143" t="n">
        <v>-0.0355597497925207</v>
      </c>
      <c r="O34" s="143" t="n">
        <v>-0.02214635236462797</v>
      </c>
      <c r="P34" s="143" t="n">
        <v>0.04190950759218186</v>
      </c>
      <c r="Q34" s="143" t="n">
        <v>0.07932064315552842</v>
      </c>
      <c r="R34" s="143" t="n">
        <v>0.04632571055905808</v>
      </c>
      <c r="S34" s="143" t="n">
        <v>0.08459192153485262</v>
      </c>
      <c r="T34" s="143" t="n">
        <v>0.07971471612198872</v>
      </c>
      <c r="U34" s="143" t="n">
        <v>-0.05269934774161941</v>
      </c>
      <c r="V34" s="143" t="n">
        <v>-0.04326050560079384</v>
      </c>
      <c r="W34" s="143" t="n">
        <v>-0.05039407932557609</v>
      </c>
      <c r="X34" s="143" t="n">
        <v>-0.04182497276959418</v>
      </c>
      <c r="Y34" s="143" t="n">
        <v>-0.05555260419657134</v>
      </c>
      <c r="Z34" s="143" t="n">
        <v>-0.02602356338788607</v>
      </c>
      <c r="AA34" s="143" t="n">
        <v>0.01893054158334105</v>
      </c>
      <c r="AB34" s="143" t="n">
        <v>-0.03008624763019017</v>
      </c>
      <c r="AC34" s="143" t="n">
        <v>-0.02428934199432374</v>
      </c>
      <c r="AD34" s="143" t="n">
        <v>-0.02455449285024569</v>
      </c>
      <c r="AE34" s="143" t="n">
        <v>0.05142469712224709</v>
      </c>
      <c r="AF34" s="143" t="n">
        <v>-0.05306327625923626</v>
      </c>
      <c r="AG34" s="143" t="n">
        <v>-0.02794713505997827</v>
      </c>
      <c r="AH34" s="143" t="n">
        <v>-0.01556705283372313</v>
      </c>
      <c r="AI34" s="143" t="n">
        <v>0.03743593069549806</v>
      </c>
      <c r="AJ34" s="143" t="n">
        <v>0.04694634616191277</v>
      </c>
      <c r="AK34" s="143" t="n">
        <v>0.0315062643114869</v>
      </c>
      <c r="AL34" s="143" t="n">
        <v>0.02390976273951672</v>
      </c>
      <c r="AM34" s="143" t="n">
        <v>-0.02307945148248768</v>
      </c>
      <c r="AN34" s="143" t="n">
        <v>0.04143714455684417</v>
      </c>
      <c r="AO34" s="143" t="n">
        <v>0.01731652379674594</v>
      </c>
      <c r="AP34" s="143" t="n">
        <v>0.04150768916412874</v>
      </c>
      <c r="AQ34" s="143" t="n">
        <v>0.01443292675618118</v>
      </c>
      <c r="AR34" s="143" t="n">
        <v>-0.006093619429604405</v>
      </c>
      <c r="AS34" s="143" t="n">
        <v>-0.0214564411980393</v>
      </c>
      <c r="AT34" s="143" t="n">
        <v>-0.01528841342835305</v>
      </c>
      <c r="AU34" s="143" t="n">
        <v>-0.02161838989327709</v>
      </c>
      <c r="AV34" s="143" t="n">
        <v>-0.0217452216380733</v>
      </c>
      <c r="AW34" s="143" t="n">
        <v>-0.03726614210572898</v>
      </c>
      <c r="AX34" s="143" t="n">
        <v>0.01039403583154477</v>
      </c>
      <c r="AY34" s="143" t="n">
        <v>-0.05261546075369133</v>
      </c>
      <c r="AZ34" s="143" t="n">
        <v>-0.02533754555622739</v>
      </c>
      <c r="BA34" s="143" t="n">
        <v>-0.02864713950393018</v>
      </c>
      <c r="BB34" s="143" t="n">
        <v>0.02632500961656626</v>
      </c>
      <c r="BC34" s="143" t="n">
        <v>0.01410388215654367</v>
      </c>
      <c r="BD34" s="143" t="n">
        <v>-0.04512231167700582</v>
      </c>
      <c r="BE34" s="143" t="n">
        <v>-0.02786515065582813</v>
      </c>
      <c r="BF34" s="143" t="n">
        <v>-0.03519212115174261</v>
      </c>
      <c r="BG34" s="143" t="n">
        <v>0.004916819771335356</v>
      </c>
      <c r="BH34" s="143" t="n">
        <v>0.008643290247486474</v>
      </c>
      <c r="BI34" s="143" t="n">
        <v>-0.06247820775249985</v>
      </c>
      <c r="BJ34" s="143" t="n">
        <v>-0.04256169350321912</v>
      </c>
      <c r="BK34" s="143" t="n">
        <v>-0.03360957947683343</v>
      </c>
      <c r="BL34" s="143" t="n">
        <v>0.06393291736106629</v>
      </c>
      <c r="BM34" s="143" t="n">
        <v>0.1587934547944067</v>
      </c>
      <c r="BN34" s="143" t="n">
        <v>-0.05688421930056043</v>
      </c>
      <c r="BO34" s="143" t="n">
        <v>0.05162040583108901</v>
      </c>
      <c r="BP34" s="143" t="n">
        <v>0.0001424680090901867</v>
      </c>
      <c r="BQ34" s="143" t="n">
        <v>-0.01827365038500306</v>
      </c>
      <c r="BR34" s="143" t="n">
        <v>-0.06532287759949575</v>
      </c>
      <c r="BS34" s="143" t="n">
        <v>-0.02788426353364767</v>
      </c>
      <c r="BT34" s="143" t="n">
        <v>-0.04031071141790473</v>
      </c>
      <c r="BU34" s="143" t="n">
        <v>-0.03282092481614191</v>
      </c>
      <c r="BV34" s="143" t="n">
        <v>-0.0004750667144310186</v>
      </c>
      <c r="BW34" s="143" t="n">
        <v>0.07664691528289862</v>
      </c>
      <c r="BX34" s="143" t="n">
        <v>-0.00550199727653955</v>
      </c>
      <c r="BY34" s="143" t="n">
        <v>0.03747475002072004</v>
      </c>
      <c r="BZ34" s="143" t="n">
        <v>0.02722197863661934</v>
      </c>
      <c r="CA34" s="143" t="n">
        <v>-0.01801517363351951</v>
      </c>
      <c r="CB34" s="143" t="n">
        <v>-0.02946741879752586</v>
      </c>
      <c r="CC34" s="143" t="n">
        <v>0.01581914370104191</v>
      </c>
      <c r="CD34" s="143" t="n">
        <v>-0.01048980647706734</v>
      </c>
      <c r="CE34" s="143" t="n">
        <v>-0.0004124396754234244</v>
      </c>
    </row>
    <row r="35">
      <c r="A35" s="251" t="n">
        <v>41456</v>
      </c>
      <c r="B35" s="3" t="n">
        <v>0</v>
      </c>
      <c r="C35" s="143" t="n">
        <v>0.01898923070376029</v>
      </c>
      <c r="D35" s="143" t="n">
        <v>-0.01139596416708963</v>
      </c>
      <c r="E35" s="143" t="n">
        <v>-0.0302744565399958</v>
      </c>
      <c r="F35" s="143" t="n">
        <v>-0.03305453291975085</v>
      </c>
      <c r="G35" s="143" t="n">
        <v>-0.02292753458159743</v>
      </c>
      <c r="H35" s="143" t="n">
        <v>-0.01946827582814864</v>
      </c>
      <c r="I35" s="143" t="n">
        <v>-0.001110640087794199</v>
      </c>
      <c r="J35" s="143" t="n">
        <v>-0.02629738943621117</v>
      </c>
      <c r="K35" s="143" t="n">
        <v>-0.02095487493858151</v>
      </c>
      <c r="L35" s="143" t="n">
        <v>-0.02005118807224167</v>
      </c>
      <c r="M35" s="143" t="n">
        <v>5.309229488283733e-05</v>
      </c>
      <c r="N35" s="143" t="n">
        <v>-0.01608968272035577</v>
      </c>
      <c r="O35" s="143" t="n">
        <v>-0.01522922888208423</v>
      </c>
      <c r="P35" s="143" t="n">
        <v>0.03218164581732156</v>
      </c>
      <c r="Q35" s="143" t="n">
        <v>0.06115289105553469</v>
      </c>
      <c r="R35" s="143" t="n">
        <v>0.03986165792291046</v>
      </c>
      <c r="S35" s="143" t="n">
        <v>0.06149981102463677</v>
      </c>
      <c r="T35" s="143" t="n">
        <v>0.06339287296721229</v>
      </c>
      <c r="U35" s="143" t="n">
        <v>-0.05269934774161941</v>
      </c>
      <c r="V35" s="143" t="n">
        <v>-0.009542537979210581</v>
      </c>
      <c r="W35" s="143" t="n">
        <v>-0.04790155679369344</v>
      </c>
      <c r="X35" s="143" t="n">
        <v>-0.02923780185378626</v>
      </c>
      <c r="Y35" s="143" t="n">
        <v>-0.0451624879485479</v>
      </c>
      <c r="Z35" s="143" t="n">
        <v>-0.01856799722889787</v>
      </c>
      <c r="AA35" s="143" t="n">
        <v>0.04316552223604461</v>
      </c>
      <c r="AB35" s="143" t="n">
        <v>-0.02167690229651838</v>
      </c>
      <c r="AC35" s="143" t="n">
        <v>-0.0007313741446468674</v>
      </c>
      <c r="AD35" s="143" t="n">
        <v>-0.01611011006227658</v>
      </c>
      <c r="AE35" s="143" t="n">
        <v>0.0735277532567373</v>
      </c>
      <c r="AF35" s="143" t="n">
        <v>-0.008906448435357315</v>
      </c>
      <c r="AG35" s="143" t="n">
        <v>-0.02559303523541329</v>
      </c>
      <c r="AH35" s="143" t="n">
        <v>-0.009130144132190345</v>
      </c>
      <c r="AI35" s="143" t="n">
        <v>0.04202556622232934</v>
      </c>
      <c r="AJ35" s="143" t="n">
        <v>0.03906646656929164</v>
      </c>
      <c r="AK35" s="143" t="n">
        <v>0.03134038225137953</v>
      </c>
      <c r="AL35" s="143" t="n">
        <v>0.02481491507586811</v>
      </c>
      <c r="AM35" s="143" t="n">
        <v>-0.0144349518316445</v>
      </c>
      <c r="AN35" s="143" t="n">
        <v>0.04245439714623948</v>
      </c>
      <c r="AO35" s="143" t="n">
        <v>0.04211933404348617</v>
      </c>
      <c r="AP35" s="143" t="n">
        <v>0.04998292681896605</v>
      </c>
      <c r="AQ35" s="143" t="n">
        <v>0.02846417739506153</v>
      </c>
      <c r="AR35" s="143" t="n">
        <v>-0.009869881903627935</v>
      </c>
      <c r="AS35" s="143" t="n">
        <v>-0.01970161238321418</v>
      </c>
      <c r="AT35" s="143" t="n">
        <v>-0.01657882861296105</v>
      </c>
      <c r="AU35" s="143" t="n">
        <v>-0.02551323880572964</v>
      </c>
      <c r="AV35" s="143" t="n">
        <v>-0.02708258148779635</v>
      </c>
      <c r="AW35" s="143" t="n">
        <v>-0.03197604776544988</v>
      </c>
      <c r="AX35" s="143" t="n">
        <v>0.02373039552037695</v>
      </c>
      <c r="AY35" s="143" t="n">
        <v>-0.04516382095612256</v>
      </c>
      <c r="AZ35" s="143" t="n">
        <v>-0.01006294869994717</v>
      </c>
      <c r="BA35" s="143" t="n">
        <v>-0.02224192090004641</v>
      </c>
      <c r="BB35" s="143" t="n">
        <v>0.03265475417926425</v>
      </c>
      <c r="BC35" s="143" t="n">
        <v>0.03467860490665766</v>
      </c>
      <c r="BD35" s="143" t="n">
        <v>-0.03587112861040989</v>
      </c>
      <c r="BE35" s="143" t="n">
        <v>-0.001137210308380392</v>
      </c>
      <c r="BF35" s="143" t="n">
        <v>-0.02302474021613613</v>
      </c>
      <c r="BG35" s="143" t="n">
        <v>0.01010826369171769</v>
      </c>
      <c r="BH35" s="143" t="n">
        <v>0.0119208240733199</v>
      </c>
      <c r="BI35" s="143" t="n">
        <v>-0.06515438979929139</v>
      </c>
      <c r="BJ35" s="143" t="n">
        <v>-0.02116742668340879</v>
      </c>
      <c r="BK35" s="143" t="n">
        <v>-0.02696542243483545</v>
      </c>
      <c r="BL35" s="143" t="n">
        <v>0.07638067969579666</v>
      </c>
      <c r="BM35" s="143" t="n">
        <v>0.1518353335230665</v>
      </c>
      <c r="BN35" s="143" t="n">
        <v>-0.01016430838936031</v>
      </c>
      <c r="BO35" s="143" t="n">
        <v>0.08929409266127905</v>
      </c>
      <c r="BP35" s="143" t="n">
        <v>0.01909828259422141</v>
      </c>
      <c r="BQ35" s="143" t="n">
        <v>-0.02194356512797008</v>
      </c>
      <c r="BR35" s="143" t="n">
        <v>-0.05609642407086092</v>
      </c>
      <c r="BS35" s="143" t="n">
        <v>-0.02952169985576336</v>
      </c>
      <c r="BT35" s="143" t="n">
        <v>-0.03941890818830909</v>
      </c>
      <c r="BU35" s="143" t="n">
        <v>-0.03374368243385362</v>
      </c>
      <c r="BV35" s="143" t="n">
        <v>-0.02903363821622041</v>
      </c>
      <c r="BW35" s="143" t="n">
        <v>-0.02983946478703173</v>
      </c>
      <c r="BX35" s="143" t="n">
        <v>-0.008438663540536752</v>
      </c>
      <c r="BY35" s="143" t="n">
        <v>-0.006050690632322013</v>
      </c>
      <c r="BZ35" s="143" t="n">
        <v>-0.01519260748947966</v>
      </c>
      <c r="CA35" s="143" t="n">
        <v>-0.00593509629331735</v>
      </c>
      <c r="CB35" s="143" t="n">
        <v>-0.003804578753181802</v>
      </c>
      <c r="CC35" s="143" t="n">
        <v>0.02660583624923858</v>
      </c>
      <c r="CD35" s="143" t="n">
        <v>0.01878129396356407</v>
      </c>
      <c r="CE35" s="143" t="n">
        <v>0.01320105907056527</v>
      </c>
    </row>
    <row r="36">
      <c r="A36" s="251" t="n">
        <v>41548</v>
      </c>
      <c r="B36" s="3" t="n">
        <v>0</v>
      </c>
      <c r="C36" s="143" t="n">
        <v>0.01587350103164134</v>
      </c>
      <c r="D36" s="143" t="n">
        <v>-0.01035060834072885</v>
      </c>
      <c r="E36" s="143" t="n">
        <v>-0.03453293668117922</v>
      </c>
      <c r="F36" s="143" t="n">
        <v>-0.03039937266962103</v>
      </c>
      <c r="G36" s="143" t="n">
        <v>-0.02294713123946945</v>
      </c>
      <c r="H36" s="143" t="n">
        <v>-0.01378390954096003</v>
      </c>
      <c r="I36" s="143" t="n">
        <v>0.005863501432822462</v>
      </c>
      <c r="J36" s="143" t="n">
        <v>-0.02250656267086476</v>
      </c>
      <c r="K36" s="143" t="n">
        <v>-0.006290567955594521</v>
      </c>
      <c r="L36" s="143" t="n">
        <v>-0.01280069956434649</v>
      </c>
      <c r="M36" s="143" t="n">
        <v>0.01372087455665136</v>
      </c>
      <c r="N36" s="143" t="n">
        <v>-0.003424623148060601</v>
      </c>
      <c r="O36" s="143" t="n">
        <v>-0.02449411632582085</v>
      </c>
      <c r="P36" s="143" t="n">
        <v>0.02283777858620568</v>
      </c>
      <c r="Q36" s="143" t="n">
        <v>0.04559749546665109</v>
      </c>
      <c r="R36" s="143" t="n">
        <v>0.0309114311959368</v>
      </c>
      <c r="S36" s="143" t="n">
        <v>0.04042603408086646</v>
      </c>
      <c r="T36" s="143" t="n">
        <v>0.04632912785085502</v>
      </c>
      <c r="U36" s="143" t="n">
        <v>-0.05269934774161941</v>
      </c>
      <c r="V36" s="143" t="n">
        <v>0.02021548682387221</v>
      </c>
      <c r="W36" s="143" t="n">
        <v>-0.0376953766284697</v>
      </c>
      <c r="X36" s="143" t="n">
        <v>-0.008848824922236447</v>
      </c>
      <c r="Y36" s="143" t="n">
        <v>-0.02820950859025892</v>
      </c>
      <c r="Z36" s="143" t="n">
        <v>-0.009802977090841542</v>
      </c>
      <c r="AA36" s="143" t="n">
        <v>0.05305925401758843</v>
      </c>
      <c r="AB36" s="143" t="n">
        <v>-0.00678249231414012</v>
      </c>
      <c r="AC36" s="143" t="n">
        <v>0.02086105504258289</v>
      </c>
      <c r="AD36" s="143" t="n">
        <v>-0.006728056234448067</v>
      </c>
      <c r="AE36" s="143" t="n">
        <v>0.07185852443857761</v>
      </c>
      <c r="AF36" s="143" t="n">
        <v>0.03608581609460941</v>
      </c>
      <c r="AG36" s="143" t="n">
        <v>-0.03007354766543773</v>
      </c>
      <c r="AH36" s="143" t="n">
        <v>-0.01403272038226582</v>
      </c>
      <c r="AI36" s="143" t="n">
        <v>0.01649890729951299</v>
      </c>
      <c r="AJ36" s="143" t="n">
        <v>0.03864490276055131</v>
      </c>
      <c r="AK36" s="143" t="n">
        <v>0.02127947716956004</v>
      </c>
      <c r="AL36" s="143" t="n">
        <v>0.01881225502300977</v>
      </c>
      <c r="AM36" s="143" t="n">
        <v>0.0003539674860104289</v>
      </c>
      <c r="AN36" s="143" t="n">
        <v>0.02468740008124192</v>
      </c>
      <c r="AO36" s="143" t="n">
        <v>0.07858562504473708</v>
      </c>
      <c r="AP36" s="143" t="n">
        <v>0.06238791642293598</v>
      </c>
      <c r="AQ36" s="143" t="n">
        <v>0.05170281451681327</v>
      </c>
      <c r="AR36" s="143" t="n">
        <v>-0.01231827743699438</v>
      </c>
      <c r="AS36" s="143" t="n">
        <v>-0.01463292095401603</v>
      </c>
      <c r="AT36" s="143" t="n">
        <v>-0.04214738088528914</v>
      </c>
      <c r="AU36" s="143" t="n">
        <v>-0.02700993408844518</v>
      </c>
      <c r="AV36" s="143" t="n">
        <v>-0.02972668758457708</v>
      </c>
      <c r="AW36" s="143" t="n">
        <v>-0.02557694156269805</v>
      </c>
      <c r="AX36" s="143" t="n">
        <v>0.02577705120940173</v>
      </c>
      <c r="AY36" s="143" t="n">
        <v>-0.03090686667223793</v>
      </c>
      <c r="AZ36" s="143" t="n">
        <v>0.004466186732075057</v>
      </c>
      <c r="BA36" s="143" t="n">
        <v>-0.01505068412497019</v>
      </c>
      <c r="BB36" s="143" t="n">
        <v>0.03321955646447968</v>
      </c>
      <c r="BC36" s="143" t="n">
        <v>0.0351766531678064</v>
      </c>
      <c r="BD36" s="143" t="n">
        <v>-0.01712844464856184</v>
      </c>
      <c r="BE36" s="143" t="n">
        <v>0.01099088121280374</v>
      </c>
      <c r="BF36" s="143" t="n">
        <v>-0.0170652538647678</v>
      </c>
      <c r="BG36" s="143" t="n">
        <v>0.01571168946690231</v>
      </c>
      <c r="BH36" s="143" t="n">
        <v>0.01081059482226342</v>
      </c>
      <c r="BI36" s="143" t="n">
        <v>-0.03492640574395142</v>
      </c>
      <c r="BJ36" s="143" t="n">
        <v>0.007126473055560114</v>
      </c>
      <c r="BK36" s="143" t="n">
        <v>-0.0182219575120419</v>
      </c>
      <c r="BL36" s="143" t="n">
        <v>0.07848929183557048</v>
      </c>
      <c r="BM36" s="143" t="n">
        <v>0.1375474676010889</v>
      </c>
      <c r="BN36" s="143" t="n">
        <v>0.02057121423339877</v>
      </c>
      <c r="BO36" s="143" t="n">
        <v>0.09580476091961879</v>
      </c>
      <c r="BP36" s="143" t="n">
        <v>0.02531871073951235</v>
      </c>
      <c r="BQ36" s="143" t="n">
        <v>-0.01854580349687716</v>
      </c>
      <c r="BR36" s="143" t="n">
        <v>-0.02476441953058547</v>
      </c>
      <c r="BS36" s="143" t="n">
        <v>-0.03033996961074119</v>
      </c>
      <c r="BT36" s="143" t="n">
        <v>-0.02856205911295578</v>
      </c>
      <c r="BU36" s="143" t="n">
        <v>-0.02703722042257352</v>
      </c>
      <c r="BV36" s="143" t="n">
        <v>-0.03117285069890613</v>
      </c>
      <c r="BW36" s="143" t="n">
        <v>-0.02943628630567585</v>
      </c>
      <c r="BX36" s="143" t="n">
        <v>0.02014750942519494</v>
      </c>
      <c r="BY36" s="143" t="n">
        <v>-0.007393787801109348</v>
      </c>
      <c r="BZ36" s="143" t="n">
        <v>-0.01799207388518957</v>
      </c>
      <c r="CA36" s="143" t="n">
        <v>0.00559188782240794</v>
      </c>
      <c r="CB36" s="143" t="n">
        <v>0.0396893813065055</v>
      </c>
      <c r="CC36" s="143" t="n">
        <v>0.02169094590045011</v>
      </c>
      <c r="CD36" s="143" t="n">
        <v>0.04345081470497028</v>
      </c>
      <c r="CE36" s="143" t="n">
        <v>0.02484684636615903</v>
      </c>
    </row>
    <row r="37">
      <c r="A37" s="251" t="n">
        <v>41640</v>
      </c>
      <c r="B37" s="3" t="n">
        <v>0</v>
      </c>
      <c r="C37" s="143" t="n">
        <v>0.02139918162963285</v>
      </c>
      <c r="D37" s="143" t="n">
        <v>-0.003175470475043875</v>
      </c>
      <c r="E37" s="143" t="n">
        <v>-0.02343798633634879</v>
      </c>
      <c r="F37" s="143" t="n">
        <v>-0.01142541395202148</v>
      </c>
      <c r="G37" s="143" t="n">
        <v>-0.01418651028494937</v>
      </c>
      <c r="H37" s="143" t="n">
        <v>-0.01193888540245163</v>
      </c>
      <c r="I37" s="143" t="n">
        <v>0.008293757175329338</v>
      </c>
      <c r="J37" s="143" t="n">
        <v>-0.01495629386264891</v>
      </c>
      <c r="K37" s="143" t="n">
        <v>0.002250666614248462</v>
      </c>
      <c r="L37" s="143" t="n">
        <v>-0.008987515551178469</v>
      </c>
      <c r="M37" s="143" t="n">
        <v>0.01177768542357601</v>
      </c>
      <c r="N37" s="143" t="n">
        <v>0.01080749139741967</v>
      </c>
      <c r="O37" s="143" t="n">
        <v>-0.008253212009897282</v>
      </c>
      <c r="P37" s="143" t="n">
        <v>0.03077366582359174</v>
      </c>
      <c r="Q37" s="143" t="n">
        <v>0.01971141731110437</v>
      </c>
      <c r="R37" s="143" t="n">
        <v>0.04185059719557126</v>
      </c>
      <c r="S37" s="143" t="n">
        <v>0.04285990691099199</v>
      </c>
      <c r="T37" s="143" t="n">
        <v>0.05205237155447794</v>
      </c>
      <c r="U37" s="143" t="n">
        <v>-0.05269934774161941</v>
      </c>
      <c r="V37" s="143" t="n">
        <v>0.03543885265047926</v>
      </c>
      <c r="W37" s="143" t="n">
        <v>-0.01947101905906918</v>
      </c>
      <c r="X37" s="143" t="n">
        <v>0.009561416473068636</v>
      </c>
      <c r="Y37" s="143" t="n">
        <v>-0.01250726443747609</v>
      </c>
      <c r="Z37" s="143" t="n">
        <v>-0.006853054634347986</v>
      </c>
      <c r="AA37" s="143" t="n">
        <v>0.04786737031425278</v>
      </c>
      <c r="AB37" s="143" t="n">
        <v>0.003074860241156349</v>
      </c>
      <c r="AC37" s="143" t="n">
        <v>0.0278994789182694</v>
      </c>
      <c r="AD37" s="143" t="n">
        <v>-0.001211668625403347</v>
      </c>
      <c r="AE37" s="143" t="n">
        <v>0.06095286601779971</v>
      </c>
      <c r="AF37" s="143" t="n">
        <v>0.04230843582406547</v>
      </c>
      <c r="AG37" s="143" t="n">
        <v>-0.03824869028505117</v>
      </c>
      <c r="AH37" s="143" t="n">
        <v>-0.01032079251697485</v>
      </c>
      <c r="AI37" s="143" t="n">
        <v>0.01335221699052627</v>
      </c>
      <c r="AJ37" s="143" t="n">
        <v>0.04006396400071445</v>
      </c>
      <c r="AK37" s="143" t="n">
        <v>0.01960817305336341</v>
      </c>
      <c r="AL37" s="143" t="n">
        <v>0.01846589935622275</v>
      </c>
      <c r="AM37" s="143" t="n">
        <v>0.01162994289196411</v>
      </c>
      <c r="AN37" s="143" t="n">
        <v>0.03085273865954006</v>
      </c>
      <c r="AO37" s="143" t="n">
        <v>0.09885474796068414</v>
      </c>
      <c r="AP37" s="143" t="n">
        <v>0.06405655397112249</v>
      </c>
      <c r="AQ37" s="143" t="n">
        <v>0.06899199204302739</v>
      </c>
      <c r="AR37" s="143" t="n">
        <v>-0.0134976698733879</v>
      </c>
      <c r="AS37" s="143" t="n">
        <v>-0.01332021303356122</v>
      </c>
      <c r="AT37" s="143" t="n">
        <v>-0.04096291448283065</v>
      </c>
      <c r="AU37" s="143" t="n">
        <v>-0.02245995812678604</v>
      </c>
      <c r="AV37" s="143" t="n">
        <v>-0.03002935788658984</v>
      </c>
      <c r="AW37" s="143" t="n">
        <v>-0.0233539453802339</v>
      </c>
      <c r="AX37" s="143" t="n">
        <v>0.01921363900781166</v>
      </c>
      <c r="AY37" s="143" t="n">
        <v>-0.004981169899156304</v>
      </c>
      <c r="AZ37" s="143" t="n">
        <v>0.01276381201308855</v>
      </c>
      <c r="BA37" s="143" t="n">
        <v>-0.009853570249035369</v>
      </c>
      <c r="BB37" s="143" t="n">
        <v>0.03205480695530822</v>
      </c>
      <c r="BC37" s="143" t="n">
        <v>0.02479707013452327</v>
      </c>
      <c r="BD37" s="143" t="n">
        <v>0.005208322542955722</v>
      </c>
      <c r="BE37" s="143" t="n">
        <v>0.01440824343098989</v>
      </c>
      <c r="BF37" s="143" t="n">
        <v>-0.01313103558390999</v>
      </c>
      <c r="BG37" s="143" t="n">
        <v>0.01564806337183089</v>
      </c>
      <c r="BH37" s="143" t="n">
        <v>0.009907236234465301</v>
      </c>
      <c r="BI37" s="143" t="n">
        <v>0.00734803963992465</v>
      </c>
      <c r="BJ37" s="143" t="n">
        <v>0.01457540492167672</v>
      </c>
      <c r="BK37" s="143" t="n">
        <v>-0.01726797073284061</v>
      </c>
      <c r="BL37" s="143" t="n">
        <v>0.06733419668020957</v>
      </c>
      <c r="BM37" s="143" t="n">
        <v>0.0471044682413565</v>
      </c>
      <c r="BN37" s="143" t="n">
        <v>0.06004509196661608</v>
      </c>
      <c r="BO37" s="143" t="n">
        <v>0.06945997870691735</v>
      </c>
      <c r="BP37" s="143" t="n">
        <v>0.01571785478354392</v>
      </c>
      <c r="BQ37" s="143" t="n">
        <v>-0.02032913019730674</v>
      </c>
      <c r="BR37" s="143" t="n">
        <v>-0.01226792259490588</v>
      </c>
      <c r="BS37" s="143" t="n">
        <v>-0.03738398520387815</v>
      </c>
      <c r="BT37" s="143" t="n">
        <v>-0.02458411312844938</v>
      </c>
      <c r="BU37" s="143" t="n">
        <v>-0.02574567479523397</v>
      </c>
      <c r="BV37" s="143" t="n">
        <v>-0.0456804638710655</v>
      </c>
      <c r="BW37" s="143" t="n">
        <v>-0.06815327533900939</v>
      </c>
      <c r="BX37" s="143" t="n">
        <v>0.0108423749162967</v>
      </c>
      <c r="BY37" s="143" t="n">
        <v>-0.03498456644471987</v>
      </c>
      <c r="BZ37" s="143" t="n">
        <v>-0.03282669909692593</v>
      </c>
      <c r="CA37" s="143" t="n">
        <v>0.01346314171603403</v>
      </c>
      <c r="CB37" s="143" t="n">
        <v>0.06631306032707794</v>
      </c>
      <c r="CC37" s="143" t="n">
        <v>0.01730210373511799</v>
      </c>
      <c r="CD37" s="143" t="n">
        <v>0.05929833647837381</v>
      </c>
      <c r="CE37" s="143" t="n">
        <v>0.03091844833174028</v>
      </c>
    </row>
    <row r="38">
      <c r="A38" s="251" t="n">
        <v>41730</v>
      </c>
      <c r="B38" s="3" t="n">
        <v>0</v>
      </c>
      <c r="C38" s="143" t="n">
        <v>0.02478394830713875</v>
      </c>
      <c r="D38" s="143" t="n">
        <v>0.001831552777902526</v>
      </c>
      <c r="E38" s="143" t="n">
        <v>-0.01491928516415443</v>
      </c>
      <c r="F38" s="143" t="n">
        <v>0.0008104443331627256</v>
      </c>
      <c r="G38" s="143" t="n">
        <v>-0.0082378042171716</v>
      </c>
      <c r="H38" s="143" t="n">
        <v>-0.01197727390402543</v>
      </c>
      <c r="I38" s="143" t="n">
        <v>0.009157097449744699</v>
      </c>
      <c r="J38" s="143" t="n">
        <v>-0.0007022622118785583</v>
      </c>
      <c r="K38" s="143" t="n">
        <v>0.006247907083430068</v>
      </c>
      <c r="L38" s="143" t="n">
        <v>-0.006870472430942596</v>
      </c>
      <c r="M38" s="143" t="n">
        <v>0.02831767559303328</v>
      </c>
      <c r="N38" s="143" t="n">
        <v>0.02259350117463191</v>
      </c>
      <c r="O38" s="143" t="n">
        <v>-0.01101435659519389</v>
      </c>
      <c r="P38" s="143" t="n">
        <v>0.03960554032971499</v>
      </c>
      <c r="Q38" s="143" t="n">
        <v>-0.002137382599999215</v>
      </c>
      <c r="R38" s="143" t="n">
        <v>0.05386710530123034</v>
      </c>
      <c r="S38" s="143" t="n">
        <v>0.0437899233582758</v>
      </c>
      <c r="T38" s="143" t="n">
        <v>0.05790809775124033</v>
      </c>
      <c r="U38" s="143" t="n">
        <v>-0.05269934774161941</v>
      </c>
      <c r="V38" s="143" t="n">
        <v>0.04410742606000564</v>
      </c>
      <c r="W38" s="143" t="n">
        <v>0.0003082776788413393</v>
      </c>
      <c r="X38" s="143" t="n">
        <v>0.01814986922913859</v>
      </c>
      <c r="Y38" s="143" t="n">
        <v>-0.00338136751660285</v>
      </c>
      <c r="Z38" s="143" t="n">
        <v>-0.005818424214089525</v>
      </c>
      <c r="AA38" s="143" t="n">
        <v>0.03732795353423615</v>
      </c>
      <c r="AB38" s="143" t="n">
        <v>0.01162567271405728</v>
      </c>
      <c r="AC38" s="143" t="n">
        <v>0.02793739431251938</v>
      </c>
      <c r="AD38" s="143" t="n">
        <v>0.003306303913261208</v>
      </c>
      <c r="AE38" s="143" t="n">
        <v>0.03354657026974087</v>
      </c>
      <c r="AF38" s="143" t="n">
        <v>0.04244706183012964</v>
      </c>
      <c r="AG38" s="143" t="n">
        <v>-0.02753793210581703</v>
      </c>
      <c r="AH38" s="143" t="n">
        <v>0.001991755273215167</v>
      </c>
      <c r="AI38" s="143" t="n">
        <v>0.01890510305422192</v>
      </c>
      <c r="AJ38" s="143" t="n">
        <v>0.04646816927106984</v>
      </c>
      <c r="AK38" s="143" t="n">
        <v>0.02606243543727335</v>
      </c>
      <c r="AL38" s="143" t="n">
        <v>0.02301351051183504</v>
      </c>
      <c r="AM38" s="143" t="n">
        <v>0.01906563673908868</v>
      </c>
      <c r="AN38" s="143" t="n">
        <v>0.04065978643771586</v>
      </c>
      <c r="AO38" s="143" t="n">
        <v>0.08352291396020928</v>
      </c>
      <c r="AP38" s="143" t="n">
        <v>0.05727302584871036</v>
      </c>
      <c r="AQ38" s="143" t="n">
        <v>0.07751460854240641</v>
      </c>
      <c r="AR38" s="143" t="n">
        <v>-0.0160897560693922</v>
      </c>
      <c r="AS38" s="143" t="n">
        <v>-0.01290263703152509</v>
      </c>
      <c r="AT38" s="143" t="n">
        <v>-0.03571355063947437</v>
      </c>
      <c r="AU38" s="143" t="n">
        <v>-0.02043226807276242</v>
      </c>
      <c r="AV38" s="143" t="n">
        <v>-0.03315405798377424</v>
      </c>
      <c r="AW38" s="143" t="n">
        <v>-0.01541963157306919</v>
      </c>
      <c r="AX38" s="143" t="n">
        <v>0.0181038141495588</v>
      </c>
      <c r="AY38" s="143" t="n">
        <v>0.01535545760174984</v>
      </c>
      <c r="AZ38" s="143" t="n">
        <v>0.01988153301736622</v>
      </c>
      <c r="BA38" s="143" t="n">
        <v>-0.001526985789042875</v>
      </c>
      <c r="BB38" s="143" t="n">
        <v>0.03242286455374595</v>
      </c>
      <c r="BC38" s="143" t="n">
        <v>0.01231161560542692</v>
      </c>
      <c r="BD38" s="143" t="n">
        <v>0.008673073224448897</v>
      </c>
      <c r="BE38" s="143" t="n">
        <v>0.0133920918787677</v>
      </c>
      <c r="BF38" s="143" t="n">
        <v>-0.00678462624960675</v>
      </c>
      <c r="BG38" s="143" t="n">
        <v>0.01863817564267378</v>
      </c>
      <c r="BH38" s="143" t="n">
        <v>0.0157791702853496</v>
      </c>
      <c r="BI38" s="143" t="n">
        <v>0.01868921967397728</v>
      </c>
      <c r="BJ38" s="143" t="n">
        <v>0.01753580647874175</v>
      </c>
      <c r="BK38" s="143" t="n">
        <v>-0.01037003620836942</v>
      </c>
      <c r="BL38" s="143" t="n">
        <v>0.06276166959613141</v>
      </c>
      <c r="BM38" s="143" t="n">
        <v>-0.002206000598577692</v>
      </c>
      <c r="BN38" s="143" t="n">
        <v>0.08145511196016281</v>
      </c>
      <c r="BO38" s="143" t="n">
        <v>0.04607167413747615</v>
      </c>
      <c r="BP38" s="143" t="n">
        <v>0.01857830587455642</v>
      </c>
      <c r="BQ38" s="143" t="n">
        <v>-0.02189369570582031</v>
      </c>
      <c r="BR38" s="143" t="n">
        <v>-0.006124022841964904</v>
      </c>
      <c r="BS38" s="143" t="n">
        <v>-0.03403519961318494</v>
      </c>
      <c r="BT38" s="143" t="n">
        <v>-0.01882135208957541</v>
      </c>
      <c r="BU38" s="143" t="n">
        <v>-0.02394886970384419</v>
      </c>
      <c r="BV38" s="143" t="n">
        <v>-0.01377180600310661</v>
      </c>
      <c r="BW38" s="143" t="n">
        <v>-0.01743415746691843</v>
      </c>
      <c r="BX38" s="143" t="n">
        <v>0.03710648719106385</v>
      </c>
      <c r="BY38" s="143" t="n">
        <v>0.01252521766690606</v>
      </c>
      <c r="BZ38" s="143" t="n">
        <v>0.01505553311197637</v>
      </c>
      <c r="CA38" s="143" t="n">
        <v>0.01482681694537219</v>
      </c>
      <c r="CB38" s="143" t="n">
        <v>0.06244835918388066</v>
      </c>
      <c r="CC38" s="143" t="n">
        <v>0.02138138078976007</v>
      </c>
      <c r="CD38" s="143" t="n">
        <v>0.05820642605871094</v>
      </c>
      <c r="CE38" s="143" t="n">
        <v>0.0280255605162162</v>
      </c>
    </row>
    <row r="39">
      <c r="A39" s="251" t="n">
        <v>41821</v>
      </c>
      <c r="B39" s="3" t="n">
        <v>0</v>
      </c>
      <c r="C39" s="143" t="n">
        <v>0.03373746064619464</v>
      </c>
      <c r="D39" s="143" t="n">
        <v>0.02390807500113551</v>
      </c>
      <c r="E39" s="143" t="n">
        <v>0.006311782833013944</v>
      </c>
      <c r="F39" s="143" t="n">
        <v>0.0205391248127083</v>
      </c>
      <c r="G39" s="143" t="n">
        <v>0.001601331702596673</v>
      </c>
      <c r="H39" s="143" t="n">
        <v>-0.01577520982140249</v>
      </c>
      <c r="I39" s="143" t="n">
        <v>0.004043983226354911</v>
      </c>
      <c r="J39" s="143" t="n">
        <v>0.001642370577687604</v>
      </c>
      <c r="K39" s="143" t="n">
        <v>0.001395944124472357</v>
      </c>
      <c r="L39" s="143" t="n">
        <v>-0.007497216144296691</v>
      </c>
      <c r="M39" s="143" t="n">
        <v>0.001507527854023797</v>
      </c>
      <c r="N39" s="143" t="n">
        <v>0.0007275919973823161</v>
      </c>
      <c r="O39" s="143" t="n">
        <v>-0.007580286847829104</v>
      </c>
      <c r="P39" s="143" t="n">
        <v>0.0344856130797885</v>
      </c>
      <c r="Q39" s="143" t="n">
        <v>0.002137382599999283</v>
      </c>
      <c r="R39" s="143" t="n">
        <v>0.0441710263470089</v>
      </c>
      <c r="S39" s="143" t="n">
        <v>0.02459596689305777</v>
      </c>
      <c r="T39" s="143" t="n">
        <v>0.04438163520170563</v>
      </c>
      <c r="U39" s="143" t="n">
        <v>-0.05269934774161941</v>
      </c>
      <c r="V39" s="143" t="n">
        <v>0.03954326762603283</v>
      </c>
      <c r="W39" s="143" t="n">
        <v>0.01092021712130572</v>
      </c>
      <c r="X39" s="143" t="n">
        <v>0.01721838289219573</v>
      </c>
      <c r="Y39" s="143" t="n">
        <v>0.0001347471531986946</v>
      </c>
      <c r="Z39" s="143" t="n">
        <v>-0.006660027184083843</v>
      </c>
      <c r="AA39" s="143" t="n">
        <v>0.02199936108811136</v>
      </c>
      <c r="AB39" s="143" t="n">
        <v>0.01346615483391537</v>
      </c>
      <c r="AC39" s="143" t="n">
        <v>0.02161028645388213</v>
      </c>
      <c r="AD39" s="143" t="n">
        <v>0.006126404542245763</v>
      </c>
      <c r="AE39" s="143" t="n">
        <v>0.005791470053154958</v>
      </c>
      <c r="AF39" s="143" t="n">
        <v>0.03962360547855406</v>
      </c>
      <c r="AG39" s="143" t="n">
        <v>-0.004561190314508144</v>
      </c>
      <c r="AH39" s="143" t="n">
        <v>0.05323744607297902</v>
      </c>
      <c r="AI39" s="143" t="n">
        <v>0.06714953047446914</v>
      </c>
      <c r="AJ39" s="143" t="n">
        <v>0.09004390824684616</v>
      </c>
      <c r="AK39" s="143" t="n">
        <v>0.06930204242342861</v>
      </c>
      <c r="AL39" s="143" t="n">
        <v>0.05036992030842435</v>
      </c>
      <c r="AM39" s="143" t="n">
        <v>0.01093569410466445</v>
      </c>
      <c r="AN39" s="143" t="n">
        <v>0.02447651883260531</v>
      </c>
      <c r="AO39" s="143" t="n">
        <v>0.06809347278705798</v>
      </c>
      <c r="AP39" s="143" t="n">
        <v>0.03257197391781825</v>
      </c>
      <c r="AQ39" s="143" t="n">
        <v>0.05986999002772384</v>
      </c>
      <c r="AR39" s="143" t="n">
        <v>-0.01532040887991552</v>
      </c>
      <c r="AS39" s="143" t="n">
        <v>-0.007035335123937195</v>
      </c>
      <c r="AT39" s="143" t="n">
        <v>-0.02779094719485217</v>
      </c>
      <c r="AU39" s="143" t="n">
        <v>-0.01364774024020545</v>
      </c>
      <c r="AV39" s="143" t="n">
        <v>-0.0282487866093614</v>
      </c>
      <c r="AW39" s="143" t="n">
        <v>-0.02002205427000272</v>
      </c>
      <c r="AX39" s="143" t="n">
        <v>0.009906061485795653</v>
      </c>
      <c r="AY39" s="143" t="n">
        <v>0.0181242862101474</v>
      </c>
      <c r="AZ39" s="143" t="n">
        <v>0.01309011873215184</v>
      </c>
      <c r="BA39" s="143" t="n">
        <v>0.000282274000439087</v>
      </c>
      <c r="BB39" s="143" t="n">
        <v>0.02839567191881777</v>
      </c>
      <c r="BC39" s="143" t="n">
        <v>-0.008599119553139443</v>
      </c>
      <c r="BD39" s="143" t="n">
        <v>0.008562749343782664</v>
      </c>
      <c r="BE39" s="143" t="n">
        <v>0.004021275596598723</v>
      </c>
      <c r="BF39" s="143" t="n">
        <v>-0.004749112149957896</v>
      </c>
      <c r="BG39" s="143" t="n">
        <v>0.02207046232366823</v>
      </c>
      <c r="BH39" s="143" t="n">
        <v>0.01375618932783441</v>
      </c>
      <c r="BI39" s="143" t="n">
        <v>0.01964926275059905</v>
      </c>
      <c r="BJ39" s="143" t="n">
        <v>0.01871853332544009</v>
      </c>
      <c r="BK39" s="143" t="n">
        <v>0.001513155896372067</v>
      </c>
      <c r="BL39" s="143" t="n">
        <v>0.04779534668722171</v>
      </c>
      <c r="BM39" s="143" t="n">
        <v>-0.05383938703265374</v>
      </c>
      <c r="BN39" s="143" t="n">
        <v>0.05097643891084677</v>
      </c>
      <c r="BO39" s="143" t="n">
        <v>-0.002410513482035133</v>
      </c>
      <c r="BP39" s="143" t="n">
        <v>0.005542387341038387</v>
      </c>
      <c r="BQ39" s="143" t="n">
        <v>-0.02544290822704748</v>
      </c>
      <c r="BR39" s="143" t="n">
        <v>-0.005919831154429938</v>
      </c>
      <c r="BS39" s="143" t="n">
        <v>-0.02954271791796495</v>
      </c>
      <c r="BT39" s="143" t="n">
        <v>-0.0164667350342795</v>
      </c>
      <c r="BU39" s="143" t="n">
        <v>-0.0243302301599577</v>
      </c>
      <c r="BV39" s="143" t="n">
        <v>0.0189525151230002</v>
      </c>
      <c r="BW39" s="143" t="n">
        <v>0.06291754206688623</v>
      </c>
      <c r="BX39" s="143" t="n">
        <v>0.02072883101821498</v>
      </c>
      <c r="BY39" s="143" t="n">
        <v>0.05504219549445719</v>
      </c>
      <c r="BZ39" s="143" t="n">
        <v>0.0607933725174675</v>
      </c>
      <c r="CA39" s="143" t="n">
        <v>0.009020610818950234</v>
      </c>
      <c r="CB39" s="143" t="n">
        <v>0.02843796472544151</v>
      </c>
      <c r="CC39" s="143" t="n">
        <v>0.01596970248404223</v>
      </c>
      <c r="CD39" s="143" t="n">
        <v>0.03592527731036351</v>
      </c>
      <c r="CE39" s="143" t="n">
        <v>0.01713745875861251</v>
      </c>
    </row>
    <row r="40">
      <c r="A40" s="251" t="n">
        <v>41913</v>
      </c>
      <c r="B40" s="3" t="n">
        <v>1</v>
      </c>
      <c r="C40" s="143" t="n">
        <v>0.03624292457639328</v>
      </c>
      <c r="D40" s="143" t="n">
        <v>0.03302048501675593</v>
      </c>
      <c r="E40" s="143" t="n">
        <v>0.01143590720447788</v>
      </c>
      <c r="F40" s="143" t="n">
        <v>0.02324477458147298</v>
      </c>
      <c r="G40" s="143" t="n">
        <v>0.005533742107243642</v>
      </c>
      <c r="H40" s="143" t="n">
        <v>-0.01497579293593075</v>
      </c>
      <c r="I40" s="143" t="n">
        <v>-0.00130513682891882</v>
      </c>
      <c r="J40" s="143" t="n">
        <v>0.002552215528217174</v>
      </c>
      <c r="K40" s="143" t="n">
        <v>0.002012691043606886</v>
      </c>
      <c r="L40" s="143" t="n">
        <v>-0.003934010193225509</v>
      </c>
      <c r="M40" s="143" t="n">
        <v>0.0003905764073065963</v>
      </c>
      <c r="N40" s="143" t="n">
        <v>0.006579037698585447</v>
      </c>
      <c r="O40" s="143" t="n">
        <v>-0.001597423006075355</v>
      </c>
      <c r="P40" s="143" t="n">
        <v>0.02731771492989137</v>
      </c>
      <c r="Q40" s="143" t="n">
        <v>0.004156021722220802</v>
      </c>
      <c r="R40" s="143" t="n">
        <v>0.03472356480187002</v>
      </c>
      <c r="S40" s="143" t="n">
        <v>0.005184347004007307</v>
      </c>
      <c r="T40" s="143" t="n">
        <v>0.02886793525507952</v>
      </c>
      <c r="U40" s="143" t="n">
        <v>-0.05269934774161941</v>
      </c>
      <c r="V40" s="143" t="n">
        <v>0.02170897174877931</v>
      </c>
      <c r="W40" s="143" t="n">
        <v>0.01526043518595006</v>
      </c>
      <c r="X40" s="143" t="n">
        <v>0.01421017451245726</v>
      </c>
      <c r="Y40" s="143" t="n">
        <v>0.003693385466632291</v>
      </c>
      <c r="Z40" s="143" t="n">
        <v>-0.005420443868052782</v>
      </c>
      <c r="AA40" s="143" t="n">
        <v>0.008096504314835971</v>
      </c>
      <c r="AB40" s="143" t="n">
        <v>0.01263767950896739</v>
      </c>
      <c r="AC40" s="143" t="n">
        <v>0.01729584622752798</v>
      </c>
      <c r="AD40" s="143" t="n">
        <v>0.009600275918565354</v>
      </c>
      <c r="AE40" s="143" t="n">
        <v>-0.002643990693538543</v>
      </c>
      <c r="AF40" s="143" t="n">
        <v>0.03457584761994843</v>
      </c>
      <c r="AG40" s="143" t="n">
        <v>0.02636967373993006</v>
      </c>
      <c r="AH40" s="143" t="n">
        <v>0.04668714143228732</v>
      </c>
      <c r="AI40" s="143" t="n">
        <v>0.06537546501169676</v>
      </c>
      <c r="AJ40" s="143" t="n">
        <v>0.06752719888705976</v>
      </c>
      <c r="AK40" s="143" t="n">
        <v>0.05070671152215023</v>
      </c>
      <c r="AL40" s="143" t="n">
        <v>0.04107741800413092</v>
      </c>
      <c r="AM40" s="143" t="n">
        <v>-0.02200179749045884</v>
      </c>
      <c r="AN40" s="143" t="n">
        <v>-0.0215678900662415</v>
      </c>
      <c r="AO40" s="143" t="n">
        <v>0.003173694356469382</v>
      </c>
      <c r="AP40" s="143" t="n">
        <v>-0.02219445231247723</v>
      </c>
      <c r="AQ40" s="143" t="n">
        <v>0.007890209633197474</v>
      </c>
      <c r="AR40" s="143" t="n">
        <v>-0.01936656411912362</v>
      </c>
      <c r="AS40" s="143" t="n">
        <v>-0.009097663230379407</v>
      </c>
      <c r="AT40" s="143" t="n">
        <v>-0.02466606974469061</v>
      </c>
      <c r="AU40" s="143" t="n">
        <v>-0.01606047085714043</v>
      </c>
      <c r="AV40" s="143" t="n">
        <v>-0.03317370865396217</v>
      </c>
      <c r="AW40" s="143" t="n">
        <v>-0.02785238312651161</v>
      </c>
      <c r="AX40" s="143" t="n">
        <v>-0.001885617893891024</v>
      </c>
      <c r="AY40" s="143" t="n">
        <v>0.01287338839823423</v>
      </c>
      <c r="AZ40" s="143" t="n">
        <v>0.003244451277921768</v>
      </c>
      <c r="BA40" s="143" t="n">
        <v>7.048814338149004e-05</v>
      </c>
      <c r="BB40" s="143" t="n">
        <v>0.02349316028015739</v>
      </c>
      <c r="BC40" s="143" t="n">
        <v>-0.0196376680457491</v>
      </c>
      <c r="BD40" s="143" t="n">
        <v>0.005101957835950739</v>
      </c>
      <c r="BE40" s="143" t="n">
        <v>-0.006763641229478912</v>
      </c>
      <c r="BF40" s="143" t="n">
        <v>-0.004787815707786162</v>
      </c>
      <c r="BG40" s="143" t="n">
        <v>0.02523102175118493</v>
      </c>
      <c r="BH40" s="143" t="n">
        <v>0.01094696227726873</v>
      </c>
      <c r="BI40" s="143" t="n">
        <v>0.01664990976873696</v>
      </c>
      <c r="BJ40" s="143" t="n">
        <v>0.0192805537988009</v>
      </c>
      <c r="BK40" s="143" t="n">
        <v>0.01719712908547085</v>
      </c>
      <c r="BL40" s="143" t="n">
        <v>0.04317842692235883</v>
      </c>
      <c r="BM40" s="143" t="n">
        <v>-0.06650667046453028</v>
      </c>
      <c r="BN40" s="143" t="n">
        <v>0.0369546597089496</v>
      </c>
      <c r="BO40" s="143" t="n">
        <v>-0.02367165712441767</v>
      </c>
      <c r="BP40" s="143" t="n">
        <v>0.003761516918508867</v>
      </c>
      <c r="BQ40" s="143" t="n">
        <v>-0.03602000853740151</v>
      </c>
      <c r="BR40" s="143" t="n">
        <v>-0.02956107488433062</v>
      </c>
      <c r="BS40" s="143" t="n">
        <v>-0.02587906592269284</v>
      </c>
      <c r="BT40" s="143" t="n">
        <v>-0.02462574320311289</v>
      </c>
      <c r="BU40" s="143" t="n">
        <v>-0.03190569522905258</v>
      </c>
      <c r="BV40" s="143" t="n">
        <v>0.02519183547178211</v>
      </c>
      <c r="BW40" s="143" t="n">
        <v>0.07390314218690648</v>
      </c>
      <c r="BX40" s="143" t="n">
        <v>0.02786576540332101</v>
      </c>
      <c r="BY40" s="143" t="n">
        <v>0.05988720628357804</v>
      </c>
      <c r="BZ40" s="143" t="n">
        <v>0.06491136974616421</v>
      </c>
      <c r="CA40" s="143" t="n">
        <v>0.002990693776362982</v>
      </c>
      <c r="CB40" s="143" t="n">
        <v>-0.004946116152861677</v>
      </c>
      <c r="CC40" s="143" t="n">
        <v>0.02252388723388261</v>
      </c>
      <c r="CD40" s="143" t="n">
        <v>0.01455233595676838</v>
      </c>
      <c r="CE40" s="143" t="n">
        <v>0.006858323887887078</v>
      </c>
    </row>
    <row r="41">
      <c r="A41" s="251" t="n">
        <v>42005</v>
      </c>
      <c r="B41" s="3" t="n">
        <v>0</v>
      </c>
      <c r="C41" s="143" t="n">
        <v>0.04816613869075632</v>
      </c>
      <c r="D41" s="143" t="n">
        <v>0.04339140489857889</v>
      </c>
      <c r="E41" s="143" t="n">
        <v>0.02028708407996125</v>
      </c>
      <c r="F41" s="143" t="n">
        <v>0.04111393302373665</v>
      </c>
      <c r="G41" s="143" t="n">
        <v>0.01792620701813832</v>
      </c>
      <c r="H41" s="143" t="n">
        <v>0.004735295525432732</v>
      </c>
      <c r="I41" s="143" t="n">
        <v>0.01825857102537464</v>
      </c>
      <c r="J41" s="143" t="n">
        <v>0.01486657392129662</v>
      </c>
      <c r="K41" s="143" t="n">
        <v>0.02748982734881037</v>
      </c>
      <c r="L41" s="143" t="n">
        <v>0.01610731468677655</v>
      </c>
      <c r="M41" s="143" t="n">
        <v>0.02492675499228379</v>
      </c>
      <c r="N41" s="143" t="n">
        <v>0.01711233648603453</v>
      </c>
      <c r="O41" s="143" t="n">
        <v>0.01104950640203502</v>
      </c>
      <c r="P41" s="143" t="n">
        <v>0.03653358397975905</v>
      </c>
      <c r="Q41" s="143" t="n">
        <v>0.005343456499998174</v>
      </c>
      <c r="R41" s="143" t="n">
        <v>0.0174860911054763</v>
      </c>
      <c r="S41" s="143" t="n">
        <v>0.008290997689614815</v>
      </c>
      <c r="T41" s="143" t="n">
        <v>0.03490913694223702</v>
      </c>
      <c r="U41" s="143" t="n">
        <v>-0.05269934774161941</v>
      </c>
      <c r="V41" s="143" t="n">
        <v>0.009972525836419818</v>
      </c>
      <c r="W41" s="143" t="n">
        <v>0.01652966840115692</v>
      </c>
      <c r="X41" s="143" t="n">
        <v>0.01421359209709762</v>
      </c>
      <c r="Y41" s="143" t="n">
        <v>0.01026824580747228</v>
      </c>
      <c r="Z41" s="143" t="n">
        <v>-0.005443391551412611</v>
      </c>
      <c r="AA41" s="143" t="n">
        <v>0.002604279911468311</v>
      </c>
      <c r="AB41" s="143" t="n">
        <v>0.01042983616316607</v>
      </c>
      <c r="AC41" s="143" t="n">
        <v>0.01163206561325789</v>
      </c>
      <c r="AD41" s="143" t="n">
        <v>0.01036241429532728</v>
      </c>
      <c r="AE41" s="143" t="n">
        <v>-0.007083789400119158</v>
      </c>
      <c r="AF41" s="143" t="n">
        <v>0.02691008497465677</v>
      </c>
      <c r="AG41" s="143" t="n">
        <v>0.02940731252117946</v>
      </c>
      <c r="AH41" s="143" t="n">
        <v>0.04942801186982986</v>
      </c>
      <c r="AI41" s="143" t="n">
        <v>0.06432995323029643</v>
      </c>
      <c r="AJ41" s="143" t="n">
        <v>0.0640696131207069</v>
      </c>
      <c r="AK41" s="143" t="n">
        <v>0.04416378187990611</v>
      </c>
      <c r="AL41" s="143" t="n">
        <v>0.03749293136449407</v>
      </c>
      <c r="AM41" s="143" t="n">
        <v>-0.03558803682388689</v>
      </c>
      <c r="AN41" s="143" t="n">
        <v>-0.04555389613074802</v>
      </c>
      <c r="AO41" s="143" t="n">
        <v>-0.01495650928369726</v>
      </c>
      <c r="AP41" s="143" t="n">
        <v>-0.04060865639238763</v>
      </c>
      <c r="AQ41" s="143" t="n">
        <v>-0.01686371550159595</v>
      </c>
      <c r="AR41" s="143" t="n">
        <v>-0.01030015471683128</v>
      </c>
      <c r="AS41" s="143" t="n">
        <v>0.004127232245269311</v>
      </c>
      <c r="AT41" s="143" t="n">
        <v>-0.009555378136654417</v>
      </c>
      <c r="AU41" s="143" t="n">
        <v>0.00276005000966097</v>
      </c>
      <c r="AV41" s="143" t="n">
        <v>-0.009585679454996559</v>
      </c>
      <c r="AW41" s="143" t="n">
        <v>0.01611776918903034</v>
      </c>
      <c r="AX41" s="143" t="n">
        <v>0.03270950679551805</v>
      </c>
      <c r="AY41" s="143" t="n">
        <v>0.0279776777708207</v>
      </c>
      <c r="AZ41" s="143" t="n">
        <v>0.03404341411218474</v>
      </c>
      <c r="BA41" s="143" t="n">
        <v>0.02666526671463009</v>
      </c>
      <c r="BB41" s="143" t="n">
        <v>0.03646309936826743</v>
      </c>
      <c r="BC41" s="143" t="n">
        <v>0.0089003759885727</v>
      </c>
      <c r="BD41" s="143" t="n">
        <v>0.01106397541080182</v>
      </c>
      <c r="BE41" s="143" t="n">
        <v>0.01310769290088263</v>
      </c>
      <c r="BF41" s="143" t="n">
        <v>0.01132963738342466</v>
      </c>
      <c r="BG41" s="143" t="n">
        <v>0.04103039418279508</v>
      </c>
      <c r="BH41" s="143" t="n">
        <v>0.02918896090596129</v>
      </c>
      <c r="BI41" s="143" t="n">
        <v>0.02991825560705305</v>
      </c>
      <c r="BJ41" s="143" t="n">
        <v>0.03971401443451164</v>
      </c>
      <c r="BK41" s="143" t="n">
        <v>0.0437194700612756</v>
      </c>
      <c r="BL41" s="143" t="n">
        <v>0.03865612362868495</v>
      </c>
      <c r="BM41" s="143" t="n">
        <v>-0.05401405937473536</v>
      </c>
      <c r="BN41" s="143" t="n">
        <v>-0.003594295100196575</v>
      </c>
      <c r="BO41" s="143" t="n">
        <v>-0.04133170230312583</v>
      </c>
      <c r="BP41" s="143" t="n">
        <v>-0.0005655213339962093</v>
      </c>
      <c r="BQ41" s="143" t="n">
        <v>-0.03650979983855828</v>
      </c>
      <c r="BR41" s="143" t="n">
        <v>-0.02737280384626291</v>
      </c>
      <c r="BS41" s="143" t="n">
        <v>-0.0188836748536387</v>
      </c>
      <c r="BT41" s="143" t="n">
        <v>-0.01982899692711465</v>
      </c>
      <c r="BU41" s="143" t="n">
        <v>-0.02760746576386562</v>
      </c>
      <c r="BV41" s="143" t="n">
        <v>0.02981222298875409</v>
      </c>
      <c r="BW41" s="143" t="n">
        <v>0.09898301844842383</v>
      </c>
      <c r="BX41" s="143" t="n">
        <v>0.01931988155911463</v>
      </c>
      <c r="BY41" s="143" t="n">
        <v>0.06048560370647481</v>
      </c>
      <c r="BZ41" s="143" t="n">
        <v>0.06209178578755872</v>
      </c>
      <c r="CA41" s="143" t="n">
        <v>0.01413086101345538</v>
      </c>
      <c r="CB41" s="143" t="n">
        <v>0.001269654298792043</v>
      </c>
      <c r="CC41" s="143" t="n">
        <v>0.04381354016270739</v>
      </c>
      <c r="CD41" s="143" t="n">
        <v>0.03929757765827332</v>
      </c>
      <c r="CE41" s="143" t="n">
        <v>0.01806150855548645</v>
      </c>
    </row>
    <row r="42">
      <c r="A42" s="251" t="n">
        <v>42095</v>
      </c>
      <c r="B42" s="3" t="n">
        <v>0</v>
      </c>
      <c r="C42" s="143" t="n">
        <v>0.04241567220457598</v>
      </c>
      <c r="D42" s="143" t="n">
        <v>0.02858245219830515</v>
      </c>
      <c r="E42" s="143" t="n">
        <v>0.01534246275773714</v>
      </c>
      <c r="F42" s="143" t="n">
        <v>0.02556936680456997</v>
      </c>
      <c r="G42" s="143" t="n">
        <v>0.01288385004840499</v>
      </c>
      <c r="H42" s="143" t="n">
        <v>0.005842060943821944</v>
      </c>
      <c r="I42" s="143" t="n">
        <v>0.01951253811815488</v>
      </c>
      <c r="J42" s="143" t="n">
        <v>0.01605204836446371</v>
      </c>
      <c r="K42" s="143" t="n">
        <v>0.02493522141272054</v>
      </c>
      <c r="L42" s="143" t="n">
        <v>0.01764101299347883</v>
      </c>
      <c r="M42" s="143" t="n">
        <v>0.0339651497848678</v>
      </c>
      <c r="N42" s="143" t="n">
        <v>0.02903748573992821</v>
      </c>
      <c r="O42" s="143" t="n">
        <v>0.01893180816115332</v>
      </c>
      <c r="P42" s="143" t="n">
        <v>0.03819756033598518</v>
      </c>
      <c r="Q42" s="143" t="n">
        <v>-0.001306178255555136</v>
      </c>
      <c r="R42" s="143" t="n">
        <v>-0.002403301621131796</v>
      </c>
      <c r="S42" s="143" t="n">
        <v>0.006173726203245395</v>
      </c>
      <c r="T42" s="143" t="n">
        <v>0.02968932671254394</v>
      </c>
      <c r="U42" s="143" t="n">
        <v>-0.05269934774161941</v>
      </c>
      <c r="V42" s="143" t="n">
        <v>0.002846937375133091</v>
      </c>
      <c r="W42" s="143" t="n">
        <v>0.01709131242942036</v>
      </c>
      <c r="X42" s="143" t="n">
        <v>0.01081344533734516</v>
      </c>
      <c r="Y42" s="143" t="n">
        <v>0.01232555241866851</v>
      </c>
      <c r="Z42" s="143" t="n">
        <v>-0.007029921187798558</v>
      </c>
      <c r="AA42" s="143" t="n">
        <v>-0.002238178235373231</v>
      </c>
      <c r="AB42" s="143" t="n">
        <v>0.007251211437167217</v>
      </c>
      <c r="AC42" s="143" t="n">
        <v>0.004823923565880758</v>
      </c>
      <c r="AD42" s="143" t="n">
        <v>0.00870520741279107</v>
      </c>
      <c r="AE42" s="143" t="n">
        <v>-0.006600212957150424</v>
      </c>
      <c r="AF42" s="143" t="n">
        <v>0.01346094662408368</v>
      </c>
      <c r="AG42" s="143" t="n">
        <v>0.02969569464370357</v>
      </c>
      <c r="AH42" s="143" t="n">
        <v>0.03545006672977147</v>
      </c>
      <c r="AI42" s="143" t="n">
        <v>0.03602367667862992</v>
      </c>
      <c r="AJ42" s="143" t="n">
        <v>0.04530339016884218</v>
      </c>
      <c r="AK42" s="143" t="n">
        <v>0.02192067564190801</v>
      </c>
      <c r="AL42" s="143" t="n">
        <v>0.02379764819879845</v>
      </c>
      <c r="AM42" s="143" t="n">
        <v>-0.06253108249126704</v>
      </c>
      <c r="AN42" s="143" t="n">
        <v>-0.07872104005291922</v>
      </c>
      <c r="AO42" s="143" t="n">
        <v>-0.03872235870949893</v>
      </c>
      <c r="AP42" s="143" t="n">
        <v>-0.07356404754143434</v>
      </c>
      <c r="AQ42" s="143" t="n">
        <v>-0.05911908868769557</v>
      </c>
      <c r="AR42" s="143" t="n">
        <v>-0.01500188464008824</v>
      </c>
      <c r="AS42" s="143" t="n">
        <v>0.001404183505596164</v>
      </c>
      <c r="AT42" s="143" t="n">
        <v>-0.01195173512892903</v>
      </c>
      <c r="AU42" s="143" t="n">
        <v>-0.00355202341302138</v>
      </c>
      <c r="AV42" s="143" t="n">
        <v>-0.01424473212414356</v>
      </c>
      <c r="AW42" s="143" t="n">
        <v>0.01063854114406523</v>
      </c>
      <c r="AX42" s="143" t="n">
        <v>0.02159394358393536</v>
      </c>
      <c r="AY42" s="143" t="n">
        <v>0.02139028860652317</v>
      </c>
      <c r="AZ42" s="143" t="n">
        <v>0.02388698362274488</v>
      </c>
      <c r="BA42" s="143" t="n">
        <v>0.0224897671274428</v>
      </c>
      <c r="BB42" s="143" t="n">
        <v>0.01942943496073552</v>
      </c>
      <c r="BC42" s="143" t="n">
        <v>-0.02623383340426108</v>
      </c>
      <c r="BD42" s="143" t="n">
        <v>-0.004571120162265178</v>
      </c>
      <c r="BE42" s="143" t="n">
        <v>-0.0185330272913967</v>
      </c>
      <c r="BF42" s="143" t="n">
        <v>-0.006934374638375641</v>
      </c>
      <c r="BG42" s="143" t="n">
        <v>0.05980598196266904</v>
      </c>
      <c r="BH42" s="143" t="n">
        <v>0.04734181026194268</v>
      </c>
      <c r="BI42" s="143" t="n">
        <v>0.04830315397169364</v>
      </c>
      <c r="BJ42" s="143" t="n">
        <v>0.06180768183585408</v>
      </c>
      <c r="BK42" s="143" t="n">
        <v>0.0668400268556236</v>
      </c>
      <c r="BL42" s="143" t="n">
        <v>0.02667045783526773</v>
      </c>
      <c r="BM42" s="143" t="n">
        <v>-0.0679764240594192</v>
      </c>
      <c r="BN42" s="143" t="n">
        <v>-0.03650814356432077</v>
      </c>
      <c r="BO42" s="143" t="n">
        <v>-0.06336995125464648</v>
      </c>
      <c r="BP42" s="143" t="n">
        <v>-0.01967405658165308</v>
      </c>
      <c r="BQ42" s="143" t="n">
        <v>-0.03445263453509335</v>
      </c>
      <c r="BR42" s="143" t="n">
        <v>-0.0212459296625449</v>
      </c>
      <c r="BS42" s="143" t="n">
        <v>-0.01303823946369279</v>
      </c>
      <c r="BT42" s="143" t="n">
        <v>-0.01304255818759231</v>
      </c>
      <c r="BU42" s="143" t="n">
        <v>-0.01999157163435525</v>
      </c>
      <c r="BV42" s="143" t="n">
        <v>0.02782983768017388</v>
      </c>
      <c r="BW42" s="143" t="n">
        <v>0.05454642609069204</v>
      </c>
      <c r="BX42" s="143" t="n">
        <v>0.02325691238025273</v>
      </c>
      <c r="BY42" s="143" t="n">
        <v>0.05275830353385644</v>
      </c>
      <c r="BZ42" s="143" t="n">
        <v>0.0496259583928917</v>
      </c>
      <c r="CA42" s="143" t="n">
        <v>0.01750585464865659</v>
      </c>
      <c r="CB42" s="143" t="n">
        <v>0.005094134241345022</v>
      </c>
      <c r="CC42" s="143" t="n">
        <v>0.0437874649569454</v>
      </c>
      <c r="CD42" s="143" t="n">
        <v>0.03631408175129532</v>
      </c>
      <c r="CE42" s="143" t="n">
        <v>0.02049650426236306</v>
      </c>
    </row>
    <row r="43">
      <c r="A43" s="251" t="n">
        <v>42186</v>
      </c>
      <c r="B43" s="3" t="n">
        <v>0</v>
      </c>
      <c r="C43" s="143" t="n">
        <v>0.0519550143253537</v>
      </c>
      <c r="D43" s="143" t="n">
        <v>0.02953212971309661</v>
      </c>
      <c r="E43" s="143" t="n">
        <v>0.0269581185126836</v>
      </c>
      <c r="F43" s="143" t="n">
        <v>0.03820340282962666</v>
      </c>
      <c r="G43" s="143" t="n">
        <v>0.02153062479360754</v>
      </c>
      <c r="H43" s="143" t="n">
        <v>0.01665268468850763</v>
      </c>
      <c r="I43" s="143" t="n">
        <v>0.03550921137735759</v>
      </c>
      <c r="J43" s="143" t="n">
        <v>0.02214572247506085</v>
      </c>
      <c r="K43" s="143" t="n">
        <v>0.03494234088890905</v>
      </c>
      <c r="L43" s="143" t="n">
        <v>0.02589705913176076</v>
      </c>
      <c r="M43" s="143" t="n">
        <v>0.06993916254902832</v>
      </c>
      <c r="N43" s="143" t="n">
        <v>0.03330986096336927</v>
      </c>
      <c r="O43" s="143" t="n">
        <v>0.01642220738675458</v>
      </c>
      <c r="P43" s="143" t="n">
        <v>0.02142979859247586</v>
      </c>
      <c r="Q43" s="143" t="n">
        <v>-0.01211183473332925</v>
      </c>
      <c r="R43" s="143" t="n">
        <v>-0.00696128745431287</v>
      </c>
      <c r="S43" s="143" t="n">
        <v>-0.01398982187722598</v>
      </c>
      <c r="T43" s="143" t="n">
        <v>0.0003974474794182135</v>
      </c>
      <c r="U43" s="143" t="n">
        <v>-0.05269934774161941</v>
      </c>
      <c r="V43" s="143" t="n">
        <v>0.0009468951985612466</v>
      </c>
      <c r="W43" s="143" t="n">
        <v>0.0147383538509512</v>
      </c>
      <c r="X43" s="143" t="n">
        <v>0.005167680107743618</v>
      </c>
      <c r="Y43" s="143" t="n">
        <v>0.01035520738279803</v>
      </c>
      <c r="Z43" s="143" t="n">
        <v>-0.005996190920099913</v>
      </c>
      <c r="AA43" s="143" t="n">
        <v>0.001226403292904267</v>
      </c>
      <c r="AB43" s="143" t="n">
        <v>0.004799544222844564</v>
      </c>
      <c r="AC43" s="143" t="n">
        <v>0.002999237080754278</v>
      </c>
      <c r="AD43" s="143" t="n">
        <v>0.00772632618738517</v>
      </c>
      <c r="AE43" s="143" t="n">
        <v>-0.005632258844655072</v>
      </c>
      <c r="AF43" s="143" t="n">
        <v>7.953333189757203e-05</v>
      </c>
      <c r="AG43" s="143" t="n">
        <v>0.02792083903631167</v>
      </c>
      <c r="AH43" s="143" t="n">
        <v>0.009421344661895491</v>
      </c>
      <c r="AI43" s="143" t="n">
        <v>-0.04717563444886982</v>
      </c>
      <c r="AJ43" s="143" t="n">
        <v>0.01647379041079294</v>
      </c>
      <c r="AK43" s="143" t="n">
        <v>-0.009423236055775438</v>
      </c>
      <c r="AL43" s="143" t="n">
        <v>0.003795789305120884</v>
      </c>
      <c r="AM43" s="143" t="n">
        <v>-0.0457627893245862</v>
      </c>
      <c r="AN43" s="143" t="n">
        <v>-0.054700282401959</v>
      </c>
      <c r="AO43" s="143" t="n">
        <v>-0.03074873534948717</v>
      </c>
      <c r="AP43" s="143" t="n">
        <v>-0.04500282508953056</v>
      </c>
      <c r="AQ43" s="143" t="n">
        <v>-0.03694708531728483</v>
      </c>
      <c r="AR43" s="143" t="n">
        <v>0.000393689389522239</v>
      </c>
      <c r="AS43" s="143" t="n">
        <v>0.02028316674276433</v>
      </c>
      <c r="AT43" s="143" t="n">
        <v>0.01377007561789329</v>
      </c>
      <c r="AU43" s="143" t="n">
        <v>0.02378831472378238</v>
      </c>
      <c r="AV43" s="143" t="n">
        <v>0.01943754931314205</v>
      </c>
      <c r="AW43" s="143" t="n">
        <v>0.02225540734208846</v>
      </c>
      <c r="AX43" s="143" t="n">
        <v>0.03503457939409514</v>
      </c>
      <c r="AY43" s="143" t="n">
        <v>0.02421530417502413</v>
      </c>
      <c r="AZ43" s="143" t="n">
        <v>0.02818166784301614</v>
      </c>
      <c r="BA43" s="143" t="n">
        <v>0.02599446582231913</v>
      </c>
      <c r="BB43" s="143" t="n">
        <v>0.01195908775992982</v>
      </c>
      <c r="BC43" s="143" t="n">
        <v>-0.03318558872180567</v>
      </c>
      <c r="BD43" s="143" t="n">
        <v>-0.01371928849482334</v>
      </c>
      <c r="BE43" s="143" t="n">
        <v>-0.0294689761195635</v>
      </c>
      <c r="BF43" s="143" t="n">
        <v>-0.01449847001410654</v>
      </c>
      <c r="BG43" s="143" t="n">
        <v>0.05302835442341868</v>
      </c>
      <c r="BH43" s="143" t="n">
        <v>0.03560069833461675</v>
      </c>
      <c r="BI43" s="143" t="n">
        <v>0.03777022035544464</v>
      </c>
      <c r="BJ43" s="143" t="n">
        <v>0.04106331588199433</v>
      </c>
      <c r="BK43" s="143" t="n">
        <v>0.04949288884331048</v>
      </c>
      <c r="BL43" s="143" t="n">
        <v>0.01849841859047729</v>
      </c>
      <c r="BM43" s="143" t="n">
        <v>-0.05517964930460272</v>
      </c>
      <c r="BN43" s="143" t="n">
        <v>-0.05671053186377699</v>
      </c>
      <c r="BO43" s="143" t="n">
        <v>-0.07008868733974452</v>
      </c>
      <c r="BP43" s="143" t="n">
        <v>-0.03539007441554413</v>
      </c>
      <c r="BQ43" s="143" t="n">
        <v>-0.01733808465432985</v>
      </c>
      <c r="BR43" s="143" t="n">
        <v>0.01371091251371769</v>
      </c>
      <c r="BS43" s="143" t="n">
        <v>0.003711441750831279</v>
      </c>
      <c r="BT43" s="143" t="n">
        <v>0.01300348856309375</v>
      </c>
      <c r="BU43" s="143" t="n">
        <v>0.002716415278316171</v>
      </c>
      <c r="BV43" s="143" t="n">
        <v>0.02020177241992913</v>
      </c>
      <c r="BW43" s="143" t="n">
        <v>0.00163797664664335</v>
      </c>
      <c r="BX43" s="143" t="n">
        <v>0.04045460161981505</v>
      </c>
      <c r="BY43" s="143" t="n">
        <v>0.03522634928180898</v>
      </c>
      <c r="BZ43" s="143" t="n">
        <v>0.02986508801339485</v>
      </c>
      <c r="CA43" s="143" t="n">
        <v>0.0256712160985176</v>
      </c>
      <c r="CB43" s="143" t="n">
        <v>0.03166077819277336</v>
      </c>
      <c r="CC43" s="143" t="n">
        <v>0.03896171826112906</v>
      </c>
      <c r="CD43" s="143" t="n">
        <v>0.04672280624467828</v>
      </c>
      <c r="CE43" s="143" t="n">
        <v>0.02785538519058014</v>
      </c>
    </row>
    <row r="44">
      <c r="A44" s="251" t="n">
        <v>42278</v>
      </c>
      <c r="B44" s="3" t="n">
        <v>0</v>
      </c>
      <c r="C44" s="143" t="n">
        <v>0.06588446971123103</v>
      </c>
      <c r="D44" s="143" t="n">
        <v>0.04805134494100995</v>
      </c>
      <c r="E44" s="143" t="n">
        <v>0.04089699902402383</v>
      </c>
      <c r="F44" s="143" t="n">
        <v>0.05542905485055039</v>
      </c>
      <c r="G44" s="143" t="n">
        <v>0.0321408867180587</v>
      </c>
      <c r="H44" s="143" t="n">
        <v>0.02274847868537687</v>
      </c>
      <c r="I44" s="143" t="n">
        <v>0.04130885323586114</v>
      </c>
      <c r="J44" s="143" t="n">
        <v>0.02239796836627782</v>
      </c>
      <c r="K44" s="143" t="n">
        <v>0.03704080356249894</v>
      </c>
      <c r="L44" s="143" t="n">
        <v>0.02867524069115795</v>
      </c>
      <c r="M44" s="143" t="n">
        <v>0.06875223047887367</v>
      </c>
      <c r="N44" s="143" t="n">
        <v>0.03223574487499799</v>
      </c>
      <c r="O44" s="143" t="n">
        <v>0.01903228947188745</v>
      </c>
      <c r="P44" s="143" t="n">
        <v>0.01067795136763024</v>
      </c>
      <c r="Q44" s="143" t="n">
        <v>-0.01543665211110584</v>
      </c>
      <c r="R44" s="143" t="n">
        <v>-0.007872884620949048</v>
      </c>
      <c r="S44" s="143" t="n">
        <v>-0.0256249212602653</v>
      </c>
      <c r="T44" s="143" t="n">
        <v>-0.01866678328334423</v>
      </c>
      <c r="U44" s="143" t="n">
        <v>-0.05269934774161941</v>
      </c>
      <c r="V44" s="143" t="n">
        <v>-0.001883231620317366</v>
      </c>
      <c r="W44" s="143" t="n">
        <v>0.007216537375660803</v>
      </c>
      <c r="X44" s="143" t="n">
        <v>-0.0003881033015014184</v>
      </c>
      <c r="Y44" s="143" t="n">
        <v>0.006786829805083187</v>
      </c>
      <c r="Z44" s="143" t="n">
        <v>-0.004515767793756448</v>
      </c>
      <c r="AA44" s="143" t="n">
        <v>0.001671342432952092</v>
      </c>
      <c r="AB44" s="143" t="n">
        <v>0.002018500302461401</v>
      </c>
      <c r="AC44" s="143" t="n">
        <v>0.002875294029710824</v>
      </c>
      <c r="AD44" s="143" t="n">
        <v>0.006669769798109959</v>
      </c>
      <c r="AE44" s="143" t="n">
        <v>-0.01154604465800663</v>
      </c>
      <c r="AF44" s="143" t="n">
        <v>-0.007088576249664803</v>
      </c>
      <c r="AG44" s="143" t="n">
        <v>0.02185125432906034</v>
      </c>
      <c r="AH44" s="143" t="n">
        <v>0.0154360353383966</v>
      </c>
      <c r="AI44" s="143" t="n">
        <v>-0.03364723719658241</v>
      </c>
      <c r="AJ44" s="143" t="n">
        <v>0.02616836367137349</v>
      </c>
      <c r="AK44" s="143" t="n">
        <v>-0.005848592521289508</v>
      </c>
      <c r="AL44" s="143" t="n">
        <v>0.004528881701881895</v>
      </c>
      <c r="AM44" s="143" t="n">
        <v>-0.03140764330570252</v>
      </c>
      <c r="AN44" s="143" t="n">
        <v>-0.009074359510252487</v>
      </c>
      <c r="AO44" s="143" t="n">
        <v>-0.03117449025097363</v>
      </c>
      <c r="AP44" s="143" t="n">
        <v>-0.02095435647407754</v>
      </c>
      <c r="AQ44" s="143" t="n">
        <v>-0.01905158202020504</v>
      </c>
      <c r="AR44" s="143" t="n">
        <v>0.009451334547538291</v>
      </c>
      <c r="AS44" s="143" t="n">
        <v>0.037197059214579</v>
      </c>
      <c r="AT44" s="143" t="n">
        <v>0.02920710487968984</v>
      </c>
      <c r="AU44" s="143" t="n">
        <v>0.03666380764463847</v>
      </c>
      <c r="AV44" s="143" t="n">
        <v>0.03764864249829943</v>
      </c>
      <c r="AW44" s="143" t="n">
        <v>0.02385110510936798</v>
      </c>
      <c r="AX44" s="143" t="n">
        <v>0.04284575976135548</v>
      </c>
      <c r="AY44" s="143" t="n">
        <v>0.02207049732609873</v>
      </c>
      <c r="AZ44" s="143" t="n">
        <v>0.02422692975434116</v>
      </c>
      <c r="BA44" s="143" t="n">
        <v>0.02316604911056711</v>
      </c>
      <c r="BB44" s="143" t="n">
        <v>0.006455131201327978</v>
      </c>
      <c r="BC44" s="143" t="n">
        <v>-0.03439991060030888</v>
      </c>
      <c r="BD44" s="143" t="n">
        <v>-0.01774230721269642</v>
      </c>
      <c r="BE44" s="143" t="n">
        <v>-0.03429618722680376</v>
      </c>
      <c r="BF44" s="143" t="n">
        <v>-0.01976922654446174</v>
      </c>
      <c r="BG44" s="143" t="n">
        <v>0.04403213693446164</v>
      </c>
      <c r="BH44" s="143" t="n">
        <v>0.02162074949539644</v>
      </c>
      <c r="BI44" s="143" t="n">
        <v>0.024922350423282</v>
      </c>
      <c r="BJ44" s="143" t="n">
        <v>0.01922010531705736</v>
      </c>
      <c r="BK44" s="143" t="n">
        <v>0.03003323540423929</v>
      </c>
      <c r="BL44" s="143" t="n">
        <v>0.009520667235387864</v>
      </c>
      <c r="BM44" s="143" t="n">
        <v>-0.06339310967254734</v>
      </c>
      <c r="BN44" s="143" t="n">
        <v>-0.0675724705341562</v>
      </c>
      <c r="BO44" s="143" t="n">
        <v>-0.07342005194466646</v>
      </c>
      <c r="BP44" s="143" t="n">
        <v>-0.04951992960793114</v>
      </c>
      <c r="BQ44" s="143" t="n">
        <v>0.01211118533710804</v>
      </c>
      <c r="BR44" s="143" t="n">
        <v>0.08142343660824511</v>
      </c>
      <c r="BS44" s="143" t="n">
        <v>0.02470570203575014</v>
      </c>
      <c r="BT44" s="143" t="n">
        <v>0.05230148578831735</v>
      </c>
      <c r="BU44" s="143" t="n">
        <v>0.03605347541977129</v>
      </c>
      <c r="BV44" s="143" t="n">
        <v>0.02007525571717987</v>
      </c>
      <c r="BW44" s="143" t="n">
        <v>-0.006708656550839784</v>
      </c>
      <c r="BX44" s="143" t="n">
        <v>0.0421083464532019</v>
      </c>
      <c r="BY44" s="143" t="n">
        <v>0.02536467567705756</v>
      </c>
      <c r="BZ44" s="143" t="n">
        <v>0.02676234225664366</v>
      </c>
      <c r="CA44" s="143" t="n">
        <v>0.03155349198510038</v>
      </c>
      <c r="CB44" s="143" t="n">
        <v>0.0543115642625621</v>
      </c>
      <c r="CC44" s="143" t="n">
        <v>0.03200337623869994</v>
      </c>
      <c r="CD44" s="143" t="n">
        <v>0.05211960016767715</v>
      </c>
      <c r="CE44" s="143" t="n">
        <v>0.03172376591814258</v>
      </c>
    </row>
    <row r="45">
      <c r="A45" s="251" t="n">
        <v>42370</v>
      </c>
      <c r="B45" s="3" t="n">
        <v>0</v>
      </c>
      <c r="C45" s="143" t="n">
        <v>0.06640582890639256</v>
      </c>
      <c r="D45" s="143" t="n">
        <v>0.02956801483127199</v>
      </c>
      <c r="E45" s="143" t="n">
        <v>0.03680466222409768</v>
      </c>
      <c r="F45" s="143" t="n">
        <v>0.04536626727206932</v>
      </c>
      <c r="G45" s="143" t="n">
        <v>0.02933314886190958</v>
      </c>
      <c r="H45" s="143" t="n">
        <v>0.03453842874221065</v>
      </c>
      <c r="I45" s="143" t="n">
        <v>0.03263504378240459</v>
      </c>
      <c r="J45" s="143" t="n">
        <v>0.02849519186953203</v>
      </c>
      <c r="K45" s="143" t="n">
        <v>0.04663040846100158</v>
      </c>
      <c r="L45" s="143" t="n">
        <v>0.03594824134802398</v>
      </c>
      <c r="M45" s="143" t="n">
        <v>0.04832820454220215</v>
      </c>
      <c r="N45" s="143" t="n">
        <v>0.03415291181726634</v>
      </c>
      <c r="O45" s="143" t="n">
        <v>0.01953046117699454</v>
      </c>
      <c r="P45" s="143" t="n">
        <v>0.009141973192652307</v>
      </c>
      <c r="Q45" s="143" t="n">
        <v>-0.02541110424443574</v>
      </c>
      <c r="R45" s="143" t="n">
        <v>-0.01400544737831987</v>
      </c>
      <c r="S45" s="143" t="n">
        <v>-0.02564470884425005</v>
      </c>
      <c r="T45" s="143" t="n">
        <v>-0.02440327523628107</v>
      </c>
      <c r="U45" s="143" t="n">
        <v>-0.05269934774161941</v>
      </c>
      <c r="V45" s="143" t="n">
        <v>-0.009027647566011479</v>
      </c>
      <c r="W45" s="143" t="n">
        <v>0.0003439341638531053</v>
      </c>
      <c r="X45" s="143" t="n">
        <v>-0.003080373464513146</v>
      </c>
      <c r="Y45" s="143" t="n">
        <v>0.003934424961962348</v>
      </c>
      <c r="Z45" s="143" t="n">
        <v>-0.005383820358529149</v>
      </c>
      <c r="AA45" s="143" t="n">
        <v>0.0001100547093888227</v>
      </c>
      <c r="AB45" s="143" t="n">
        <v>0.0005609102389349295</v>
      </c>
      <c r="AC45" s="143" t="n">
        <v>0.0007940458254140313</v>
      </c>
      <c r="AD45" s="143" t="n">
        <v>0.004086815055516743</v>
      </c>
      <c r="AE45" s="143" t="n">
        <v>-0.02677445915103383</v>
      </c>
      <c r="AF45" s="143" t="n">
        <v>-0.01691375465874482</v>
      </c>
      <c r="AG45" s="143" t="n">
        <v>0.01026646244049819</v>
      </c>
      <c r="AH45" s="143" t="n">
        <v>0.0181241144856058</v>
      </c>
      <c r="AI45" s="143" t="n">
        <v>-0.03370407617893468</v>
      </c>
      <c r="AJ45" s="143" t="n">
        <v>0.02525918223686699</v>
      </c>
      <c r="AK45" s="143" t="n">
        <v>-0.006811484488313952</v>
      </c>
      <c r="AL45" s="143" t="n">
        <v>0.003899093411845648</v>
      </c>
      <c r="AM45" s="143" t="n">
        <v>-0.02899873890724375</v>
      </c>
      <c r="AN45" s="143" t="n">
        <v>0.006357074035688789</v>
      </c>
      <c r="AO45" s="143" t="n">
        <v>-0.03987765145052981</v>
      </c>
      <c r="AP45" s="143" t="n">
        <v>-0.01255817296386477</v>
      </c>
      <c r="AQ45" s="143" t="n">
        <v>-0.0151178592446779</v>
      </c>
      <c r="AR45" s="143" t="n">
        <v>0.02048026654594142</v>
      </c>
      <c r="AS45" s="143" t="n">
        <v>0.03973020953417299</v>
      </c>
      <c r="AT45" s="143" t="n">
        <v>0.04558635005988546</v>
      </c>
      <c r="AU45" s="143" t="n">
        <v>0.05042204172353116</v>
      </c>
      <c r="AV45" s="143" t="n">
        <v>0.05717681302999476</v>
      </c>
      <c r="AW45" s="143" t="n">
        <v>0.04692290782373978</v>
      </c>
      <c r="AX45" s="143" t="n">
        <v>0.02552766968713126</v>
      </c>
      <c r="AY45" s="143" t="n">
        <v>0.0313798583022197</v>
      </c>
      <c r="AZ45" s="143" t="n">
        <v>0.03711628860913285</v>
      </c>
      <c r="BA45" s="143" t="n">
        <v>0.03188075966459711</v>
      </c>
      <c r="BB45" s="143" t="n">
        <v>0.01531850805600472</v>
      </c>
      <c r="BC45" s="143" t="n">
        <v>-0.04269109105616565</v>
      </c>
      <c r="BD45" s="143" t="n">
        <v>-0.01109459866055007</v>
      </c>
      <c r="BE45" s="143" t="n">
        <v>-0.01409217015574881</v>
      </c>
      <c r="BF45" s="143" t="n">
        <v>-0.01001616635978979</v>
      </c>
      <c r="BG45" s="143" t="n">
        <v>0.04946052742778936</v>
      </c>
      <c r="BH45" s="143" t="n">
        <v>0.009694414258200879</v>
      </c>
      <c r="BI45" s="143" t="n">
        <v>0.02975539418444954</v>
      </c>
      <c r="BJ45" s="143" t="n">
        <v>0.02209223345425398</v>
      </c>
      <c r="BK45" s="143" t="n">
        <v>0.0333424069335542</v>
      </c>
      <c r="BL45" s="143" t="n">
        <v>0.01523211034055407</v>
      </c>
      <c r="BM45" s="143" t="n">
        <v>-0.04411823773049593</v>
      </c>
      <c r="BN45" s="143" t="n">
        <v>-0.05104736703630178</v>
      </c>
      <c r="BO45" s="143" t="n">
        <v>-0.04601820920556115</v>
      </c>
      <c r="BP45" s="143" t="n">
        <v>-0.04253688080737897</v>
      </c>
      <c r="BQ45" s="143" t="n">
        <v>0.02528855294907197</v>
      </c>
      <c r="BR45" s="143" t="n">
        <v>0.1045441397904417</v>
      </c>
      <c r="BS45" s="143" t="n">
        <v>0.03676215213042464</v>
      </c>
      <c r="BT45" s="143" t="n">
        <v>0.06502070212207693</v>
      </c>
      <c r="BU45" s="143" t="n">
        <v>0.04845717099544517</v>
      </c>
      <c r="BV45" s="143" t="n">
        <v>0.02880495861283706</v>
      </c>
      <c r="BW45" s="143" t="n">
        <v>-0.001320685121314728</v>
      </c>
      <c r="BX45" s="143" t="n">
        <v>0.06120144128253679</v>
      </c>
      <c r="BY45" s="143" t="n">
        <v>0.02901308774091039</v>
      </c>
      <c r="BZ45" s="143" t="n">
        <v>0.03518086253972653</v>
      </c>
      <c r="CA45" s="143" t="n">
        <v>0.02561466322221823</v>
      </c>
      <c r="CB45" s="143" t="n">
        <v>0.02183621006183435</v>
      </c>
      <c r="CC45" s="143" t="n">
        <v>0.01497941776625315</v>
      </c>
      <c r="CD45" s="143" t="n">
        <v>0.02645837770456264</v>
      </c>
      <c r="CE45" s="143" t="n">
        <v>0.02057596531167128</v>
      </c>
    </row>
    <row r="46">
      <c r="A46" s="251" t="n">
        <v>42461</v>
      </c>
      <c r="B46" s="3" t="n">
        <v>0</v>
      </c>
      <c r="C46" s="143" t="n">
        <v>0.07933323475653206</v>
      </c>
      <c r="D46" s="143" t="n">
        <v>0.05984635836275756</v>
      </c>
      <c r="E46" s="143" t="n">
        <v>0.04460825642020614</v>
      </c>
      <c r="F46" s="143" t="n">
        <v>0.05818896276176214</v>
      </c>
      <c r="G46" s="143" t="n">
        <v>0.03775426764847439</v>
      </c>
      <c r="H46" s="143" t="n">
        <v>0.02905149854486498</v>
      </c>
      <c r="I46" s="143" t="n">
        <v>0.02541481148192229</v>
      </c>
      <c r="J46" s="143" t="n">
        <v>0.02515469675083991</v>
      </c>
      <c r="K46" s="143" t="n">
        <v>0.03163333579460907</v>
      </c>
      <c r="L46" s="143" t="n">
        <v>0.02719261535872504</v>
      </c>
      <c r="M46" s="143" t="n">
        <v>0.03904500973604998</v>
      </c>
      <c r="N46" s="143" t="n">
        <v>0.03403878120646008</v>
      </c>
      <c r="O46" s="143" t="n">
        <v>0.02327317174266373</v>
      </c>
      <c r="P46" s="143" t="n">
        <v>0.004022045942725806</v>
      </c>
      <c r="Q46" s="143" t="n">
        <v>-0.03170450856665582</v>
      </c>
      <c r="R46" s="143" t="n">
        <v>-0.02303854657498775</v>
      </c>
      <c r="S46" s="143" t="n">
        <v>-0.02863263402594896</v>
      </c>
      <c r="T46" s="143" t="n">
        <v>-0.03072269015903138</v>
      </c>
      <c r="U46" s="143" t="n">
        <v>-0.05269934774161941</v>
      </c>
      <c r="V46" s="143" t="n">
        <v>-0.01458091995991217</v>
      </c>
      <c r="W46" s="143" t="n">
        <v>-0.004271150703062326</v>
      </c>
      <c r="X46" s="143" t="n">
        <v>-0.006477419724691165</v>
      </c>
      <c r="Y46" s="143" t="n">
        <v>-0.0006620865386293484</v>
      </c>
      <c r="Z46" s="143" t="n">
        <v>-0.008703244999831206</v>
      </c>
      <c r="AA46" s="143" t="n">
        <v>-0.003091379523101255</v>
      </c>
      <c r="AB46" s="143" t="n">
        <v>-0.001101339345839179</v>
      </c>
      <c r="AC46" s="143" t="n">
        <v>-0.003974428586516455</v>
      </c>
      <c r="AD46" s="143" t="n">
        <v>0.000178885226522845</v>
      </c>
      <c r="AE46" s="143" t="n">
        <v>-0.03614494870452179</v>
      </c>
      <c r="AF46" s="143" t="n">
        <v>-0.02135317708775249</v>
      </c>
      <c r="AG46" s="143" t="n">
        <v>-0.003485452162113174</v>
      </c>
      <c r="AH46" s="143" t="n">
        <v>0.02169365941795432</v>
      </c>
      <c r="AI46" s="143" t="n">
        <v>-0.01481115895235458</v>
      </c>
      <c r="AJ46" s="143" t="n">
        <v>0.01749536348141697</v>
      </c>
      <c r="AK46" s="143" t="n">
        <v>-0.006798009472804314</v>
      </c>
      <c r="AL46" s="143" t="n">
        <v>0.003998982727743665</v>
      </c>
      <c r="AM46" s="143" t="n">
        <v>-0.010324375613684</v>
      </c>
      <c r="AN46" s="143" t="n">
        <v>0.05036680765974114</v>
      </c>
      <c r="AO46" s="143" t="n">
        <v>-0.02884673134419747</v>
      </c>
      <c r="AP46" s="143" t="n">
        <v>0.01870547472691109</v>
      </c>
      <c r="AQ46" s="143" t="n">
        <v>0.01098133076854633</v>
      </c>
      <c r="AR46" s="143" t="n">
        <v>0.01660595993065364</v>
      </c>
      <c r="AS46" s="143" t="n">
        <v>0.04079821640511316</v>
      </c>
      <c r="AT46" s="143" t="n">
        <v>0.04386606463212954</v>
      </c>
      <c r="AU46" s="143" t="n">
        <v>0.03697213893132294</v>
      </c>
      <c r="AV46" s="143" t="n">
        <v>0.0459402196414461</v>
      </c>
      <c r="AW46" s="143" t="n">
        <v>0.03479255936810056</v>
      </c>
      <c r="AX46" s="143" t="n">
        <v>0.02001600467220031</v>
      </c>
      <c r="AY46" s="143" t="n">
        <v>0.02242063161542944</v>
      </c>
      <c r="AZ46" s="143" t="n">
        <v>0.02115845848846535</v>
      </c>
      <c r="BA46" s="143" t="n">
        <v>0.02127068537728188</v>
      </c>
      <c r="BB46" s="143" t="n">
        <v>0.01190536479610403</v>
      </c>
      <c r="BC46" s="143" t="n">
        <v>-0.01519115502246561</v>
      </c>
      <c r="BD46" s="143" t="n">
        <v>-0.01360118068508229</v>
      </c>
      <c r="BE46" s="143" t="n">
        <v>-0.01627840974251286</v>
      </c>
      <c r="BF46" s="143" t="n">
        <v>-0.01309318823979823</v>
      </c>
      <c r="BG46" s="143" t="n">
        <v>0.04833990739211955</v>
      </c>
      <c r="BH46" s="143" t="n">
        <v>-0.01318566072112007</v>
      </c>
      <c r="BI46" s="143" t="n">
        <v>0.02613789798646151</v>
      </c>
      <c r="BJ46" s="143" t="n">
        <v>0.01395925700124122</v>
      </c>
      <c r="BK46" s="143" t="n">
        <v>0.02659901711399752</v>
      </c>
      <c r="BL46" s="143" t="n">
        <v>0.0244668160909421</v>
      </c>
      <c r="BM46" s="143" t="n">
        <v>-0.004150475375552539</v>
      </c>
      <c r="BN46" s="143" t="n">
        <v>-0.03751963846010034</v>
      </c>
      <c r="BO46" s="143" t="n">
        <v>-0.01591118223372526</v>
      </c>
      <c r="BP46" s="143" t="n">
        <v>-0.02760089706717607</v>
      </c>
      <c r="BQ46" s="143" t="n">
        <v>0.03825654574908355</v>
      </c>
      <c r="BR46" s="143" t="n">
        <v>0.1230019630749596</v>
      </c>
      <c r="BS46" s="143" t="n">
        <v>0.04847357810679359</v>
      </c>
      <c r="BT46" s="143" t="n">
        <v>0.07490969573088171</v>
      </c>
      <c r="BU46" s="143" t="n">
        <v>0.05869101764955006</v>
      </c>
      <c r="BV46" s="143" t="n">
        <v>0.02819996952363385</v>
      </c>
      <c r="BW46" s="143" t="n">
        <v>0.0004853022009612324</v>
      </c>
      <c r="BX46" s="143" t="n">
        <v>0.03448638766838925</v>
      </c>
      <c r="BY46" s="143" t="n">
        <v>0.01344455447515302</v>
      </c>
      <c r="BZ46" s="143" t="n">
        <v>0.03188190562333396</v>
      </c>
      <c r="CA46" s="143" t="n">
        <v>0.02049050159984583</v>
      </c>
      <c r="CB46" s="143" t="n">
        <v>0.005675243843615702</v>
      </c>
      <c r="CC46" s="143" t="n">
        <v>0.006981734632366927</v>
      </c>
      <c r="CD46" s="143" t="n">
        <v>0.007896795619934659</v>
      </c>
      <c r="CE46" s="143" t="n">
        <v>0.01033287237214</v>
      </c>
    </row>
    <row r="47">
      <c r="A47" s="251" t="n">
        <v>42552</v>
      </c>
      <c r="B47" s="3" t="n">
        <v>0</v>
      </c>
      <c r="C47" s="143" t="n">
        <v>0.07272873194711396</v>
      </c>
      <c r="D47" s="143" t="n">
        <v>0.03367587845402659</v>
      </c>
      <c r="E47" s="143" t="n">
        <v>0.03188552484467151</v>
      </c>
      <c r="F47" s="143" t="n">
        <v>0.0346158102634838</v>
      </c>
      <c r="G47" s="143" t="n">
        <v>0.02761617749953357</v>
      </c>
      <c r="H47" s="143" t="n">
        <v>0.01871469399845655</v>
      </c>
      <c r="I47" s="143" t="n">
        <v>0.002257942600210419</v>
      </c>
      <c r="J47" s="143" t="n">
        <v>0.02114572334902143</v>
      </c>
      <c r="K47" s="143" t="n">
        <v>0.011101861033857</v>
      </c>
      <c r="L47" s="143" t="n">
        <v>0.01452720353084064</v>
      </c>
      <c r="M47" s="143" t="n">
        <v>-0.006894005016693037</v>
      </c>
      <c r="N47" s="143" t="n">
        <v>0.02939290007653162</v>
      </c>
      <c r="O47" s="143" t="n">
        <v>0.01482658473614254</v>
      </c>
      <c r="P47" s="143" t="n">
        <v>-0.002761857663426821</v>
      </c>
      <c r="Q47" s="143" t="n">
        <v>-0.0224425172999923</v>
      </c>
      <c r="R47" s="143" t="n">
        <v>-0.02411588868101237</v>
      </c>
      <c r="S47" s="143" t="n">
        <v>-0.03152162128772403</v>
      </c>
      <c r="T47" s="143" t="n">
        <v>-0.03522709492577166</v>
      </c>
      <c r="U47" s="143" t="n">
        <v>-0.05269934774161941</v>
      </c>
      <c r="V47" s="143" t="n">
        <v>-0.01584685295524937</v>
      </c>
      <c r="W47" s="143" t="n">
        <v>-0.005423560550586552</v>
      </c>
      <c r="X47" s="143" t="n">
        <v>-0.008389082368282638</v>
      </c>
      <c r="Y47" s="143" t="n">
        <v>-0.004624400850191572</v>
      </c>
      <c r="Z47" s="143" t="n">
        <v>-0.0111431583736327</v>
      </c>
      <c r="AA47" s="143" t="n">
        <v>-0.009508757167921912</v>
      </c>
      <c r="AB47" s="143" t="n">
        <v>-0.001711527036969664</v>
      </c>
      <c r="AC47" s="143" t="n">
        <v>-0.006804835904734867</v>
      </c>
      <c r="AD47" s="143" t="n">
        <v>-0.002530539380726718</v>
      </c>
      <c r="AE47" s="143" t="n">
        <v>-0.04575943493087389</v>
      </c>
      <c r="AF47" s="143" t="n">
        <v>-0.02567251813700328</v>
      </c>
      <c r="AG47" s="143" t="n">
        <v>-0.01727844966626157</v>
      </c>
      <c r="AH47" s="143" t="n">
        <v>-0.01389706878697574</v>
      </c>
      <c r="AI47" s="143" t="n">
        <v>-0.02510631738937167</v>
      </c>
      <c r="AJ47" s="143" t="n">
        <v>-0.05240669024901935</v>
      </c>
      <c r="AK47" s="143" t="n">
        <v>-0.0377815673888279</v>
      </c>
      <c r="AL47" s="143" t="n">
        <v>-0.01932960516806293</v>
      </c>
      <c r="AM47" s="143" t="n">
        <v>-0.03627371328614824</v>
      </c>
      <c r="AN47" s="143" t="n">
        <v>0.009154656485369747</v>
      </c>
      <c r="AO47" s="143" t="n">
        <v>-0.04633673084499629</v>
      </c>
      <c r="AP47" s="143" t="n">
        <v>-0.01061366753795628</v>
      </c>
      <c r="AQ47" s="143" t="n">
        <v>-0.02536795154111217</v>
      </c>
      <c r="AR47" s="143" t="n">
        <v>0.0183265936528778</v>
      </c>
      <c r="AS47" s="143" t="n">
        <v>0.02314711802859844</v>
      </c>
      <c r="AT47" s="143" t="n">
        <v>0.04514235405576891</v>
      </c>
      <c r="AU47" s="143" t="n">
        <v>0.03305331504223696</v>
      </c>
      <c r="AV47" s="143" t="n">
        <v>0.04561153516839535</v>
      </c>
      <c r="AW47" s="143" t="n">
        <v>0.02558093369107377</v>
      </c>
      <c r="AX47" s="143" t="n">
        <v>0.002755804451309826</v>
      </c>
      <c r="AY47" s="143" t="n">
        <v>0.02036254093823735</v>
      </c>
      <c r="AZ47" s="143" t="n">
        <v>0.009341208197314845</v>
      </c>
      <c r="BA47" s="143" t="n">
        <v>0.01316539974512881</v>
      </c>
      <c r="BB47" s="143" t="n">
        <v>0.01298866636366794</v>
      </c>
      <c r="BC47" s="143" t="n">
        <v>0.002078727049984318</v>
      </c>
      <c r="BD47" s="143" t="n">
        <v>-0.0102134016740324</v>
      </c>
      <c r="BE47" s="143" t="n">
        <v>-0.01024151439557264</v>
      </c>
      <c r="BF47" s="143" t="n">
        <v>-0.01078189493232717</v>
      </c>
      <c r="BG47" s="143" t="n">
        <v>0.03743965224732735</v>
      </c>
      <c r="BH47" s="143" t="n">
        <v>-0.01792656560114068</v>
      </c>
      <c r="BI47" s="143" t="n">
        <v>0.01352508068377697</v>
      </c>
      <c r="BJ47" s="143" t="n">
        <v>-0.008266850506803277</v>
      </c>
      <c r="BK47" s="143" t="n">
        <v>0.00557221377414951</v>
      </c>
      <c r="BL47" s="143" t="n">
        <v>0.0188150510686908</v>
      </c>
      <c r="BM47" s="143" t="n">
        <v>0.0005963652246601993</v>
      </c>
      <c r="BN47" s="143" t="n">
        <v>-0.02839363816672562</v>
      </c>
      <c r="BO47" s="143" t="n">
        <v>-0.01756477003288939</v>
      </c>
      <c r="BP47" s="143" t="n">
        <v>-0.0306718414746487</v>
      </c>
      <c r="BQ47" s="143" t="n">
        <v>0.04413555277895214</v>
      </c>
      <c r="BR47" s="143" t="n">
        <v>0.1039948195275903</v>
      </c>
      <c r="BS47" s="143" t="n">
        <v>0.0560715448940205</v>
      </c>
      <c r="BT47" s="143" t="n">
        <v>0.07267790494604104</v>
      </c>
      <c r="BU47" s="143" t="n">
        <v>0.05991453007518497</v>
      </c>
      <c r="BV47" s="143" t="n">
        <v>0.0258336217747236</v>
      </c>
      <c r="BW47" s="143" t="n">
        <v>0.007384257625106045</v>
      </c>
      <c r="BX47" s="143" t="n">
        <v>0.00565390690769508</v>
      </c>
      <c r="BY47" s="143" t="n">
        <v>0.001491708762897193</v>
      </c>
      <c r="BZ47" s="143" t="n">
        <v>0.02555670611838981</v>
      </c>
      <c r="CA47" s="143" t="n">
        <v>0.01193412827299637</v>
      </c>
      <c r="CB47" s="143" t="n">
        <v>-0.02612078560244241</v>
      </c>
      <c r="CC47" s="143" t="n">
        <v>0.003591549839352755</v>
      </c>
      <c r="CD47" s="143" t="n">
        <v>-0.01798880710098208</v>
      </c>
      <c r="CE47" s="143" t="n">
        <v>-0.002993669049056858</v>
      </c>
    </row>
    <row r="48">
      <c r="A48" s="251" t="n">
        <v>42644</v>
      </c>
      <c r="B48" s="3" t="n">
        <v>0</v>
      </c>
      <c r="C48" s="143" t="n">
        <v>0.07467226947042527</v>
      </c>
      <c r="D48" s="143" t="n">
        <v>0.01424573501754728</v>
      </c>
      <c r="E48" s="143" t="n">
        <v>0.03142600357722157</v>
      </c>
      <c r="F48" s="143" t="n">
        <v>0.02946962463877718</v>
      </c>
      <c r="G48" s="143" t="n">
        <v>0.02533081771437443</v>
      </c>
      <c r="H48" s="143" t="n">
        <v>0.006438870497857876</v>
      </c>
      <c r="I48" s="143" t="n">
        <v>-0.01785935637713098</v>
      </c>
      <c r="J48" s="143" t="n">
        <v>0.01312930737494734</v>
      </c>
      <c r="K48" s="143" t="n">
        <v>-0.01091870162951793</v>
      </c>
      <c r="L48" s="143" t="n">
        <v>0.0009810819900732415</v>
      </c>
      <c r="M48" s="143" t="n">
        <v>-0.03836794757386181</v>
      </c>
      <c r="N48" s="143" t="n">
        <v>0.01416575398143827</v>
      </c>
      <c r="O48" s="143" t="n">
        <v>0.00706842878194769</v>
      </c>
      <c r="P48" s="143" t="n">
        <v>5.410232403273966e-05</v>
      </c>
      <c r="Q48" s="143" t="n">
        <v>-0.009855708655552202</v>
      </c>
      <c r="R48" s="143" t="n">
        <v>-0.01765183604486472</v>
      </c>
      <c r="S48" s="143" t="n">
        <v>-0.0222808195668407</v>
      </c>
      <c r="T48" s="143" t="n">
        <v>-0.02811278504418483</v>
      </c>
      <c r="U48" s="143" t="n">
        <v>-0.05269934774161941</v>
      </c>
      <c r="V48" s="143" t="n">
        <v>-0.01333342457347535</v>
      </c>
      <c r="W48" s="143" t="n">
        <v>-0.005538838270024507</v>
      </c>
      <c r="X48" s="143" t="n">
        <v>-0.008139460770039198</v>
      </c>
      <c r="Y48" s="143" t="n">
        <v>-0.006537050755180064</v>
      </c>
      <c r="Z48" s="143" t="n">
        <v>-0.01115125991369142</v>
      </c>
      <c r="AA48" s="143" t="n">
        <v>-0.01225872979142573</v>
      </c>
      <c r="AB48" s="143" t="n">
        <v>-0.002187856252985794</v>
      </c>
      <c r="AC48" s="143" t="n">
        <v>-0.006053045803892831</v>
      </c>
      <c r="AD48" s="143" t="n">
        <v>-0.002967894802008429</v>
      </c>
      <c r="AE48" s="143" t="n">
        <v>-0.05058656979583014</v>
      </c>
      <c r="AF48" s="143" t="n">
        <v>-0.03103810274151912</v>
      </c>
      <c r="AG48" s="143" t="n">
        <v>-0.02454460132486288</v>
      </c>
      <c r="AH48" s="143" t="n">
        <v>-0.0182883039055692</v>
      </c>
      <c r="AI48" s="143" t="n">
        <v>-0.03631010174265666</v>
      </c>
      <c r="AJ48" s="143" t="n">
        <v>-0.05240669024901935</v>
      </c>
      <c r="AK48" s="143" t="n">
        <v>-0.0377815673888279</v>
      </c>
      <c r="AL48" s="143" t="n">
        <v>-0.02173746879471238</v>
      </c>
      <c r="AM48" s="143" t="n">
        <v>-0.03790471575276993</v>
      </c>
      <c r="AN48" s="143" t="n">
        <v>-0.006268098829910291</v>
      </c>
      <c r="AO48" s="143" t="n">
        <v>-0.01560894923061647</v>
      </c>
      <c r="AP48" s="143" t="n">
        <v>-0.004993262204210812</v>
      </c>
      <c r="AQ48" s="143" t="n">
        <v>-0.02511376426312112</v>
      </c>
      <c r="AR48" s="143" t="n">
        <v>0.01813099295849045</v>
      </c>
      <c r="AS48" s="143" t="n">
        <v>0.0112033764713041</v>
      </c>
      <c r="AT48" s="143" t="n">
        <v>0.05030843375050355</v>
      </c>
      <c r="AU48" s="143" t="n">
        <v>0.02576413573516505</v>
      </c>
      <c r="AV48" s="143" t="n">
        <v>0.04071906028768472</v>
      </c>
      <c r="AW48" s="143" t="n">
        <v>0.006552569920724996</v>
      </c>
      <c r="AX48" s="143" t="n">
        <v>-0.01433498799026132</v>
      </c>
      <c r="AY48" s="143" t="n">
        <v>0.01536242023221041</v>
      </c>
      <c r="AZ48" s="143" t="n">
        <v>-0.009526486539712362</v>
      </c>
      <c r="BA48" s="143" t="n">
        <v>0.0004748062196848758</v>
      </c>
      <c r="BB48" s="143" t="n">
        <v>0.00506348677282624</v>
      </c>
      <c r="BC48" s="143" t="n">
        <v>-0.002809740710406554</v>
      </c>
      <c r="BD48" s="143" t="n">
        <v>-0.01221714742542754</v>
      </c>
      <c r="BE48" s="143" t="n">
        <v>-0.02016949647209199</v>
      </c>
      <c r="BF48" s="143" t="n">
        <v>-0.01714074102602447</v>
      </c>
      <c r="BG48" s="143" t="n">
        <v>0.03120916016444416</v>
      </c>
      <c r="BH48" s="143" t="n">
        <v>-0.01474605978566836</v>
      </c>
      <c r="BI48" s="143" t="n">
        <v>0.005260837088990021</v>
      </c>
      <c r="BJ48" s="143" t="n">
        <v>-0.02066537218322181</v>
      </c>
      <c r="BK48" s="143" t="n">
        <v>-0.006749585915035963</v>
      </c>
      <c r="BL48" s="143" t="n">
        <v>0.01084265671398716</v>
      </c>
      <c r="BM48" s="143" t="n">
        <v>0.002489916880452382</v>
      </c>
      <c r="BN48" s="143" t="n">
        <v>-0.03168118680445101</v>
      </c>
      <c r="BO48" s="143" t="n">
        <v>-0.02588110928536538</v>
      </c>
      <c r="BP48" s="143" t="n">
        <v>-0.03479852766764757</v>
      </c>
      <c r="BQ48" s="143" t="n">
        <v>0.04217348727921198</v>
      </c>
      <c r="BR48" s="143" t="n">
        <v>0.05085633119475091</v>
      </c>
      <c r="BS48" s="143" t="n">
        <v>0.06301418639776449</v>
      </c>
      <c r="BT48" s="143" t="n">
        <v>0.05817011117913322</v>
      </c>
      <c r="BU48" s="143" t="n">
        <v>0.05209195663863537</v>
      </c>
      <c r="BV48" s="143" t="n">
        <v>0.02207322165891732</v>
      </c>
      <c r="BW48" s="143" t="n">
        <v>0.002619653742587604</v>
      </c>
      <c r="BX48" s="143" t="n">
        <v>-0.002562429718274084</v>
      </c>
      <c r="BY48" s="143" t="n">
        <v>-0.00576297286868342</v>
      </c>
      <c r="BZ48" s="143" t="n">
        <v>0.01447459053451112</v>
      </c>
      <c r="CA48" s="143" t="n">
        <v>0.003663601777898538</v>
      </c>
      <c r="CB48" s="143" t="n">
        <v>-0.05303204375126251</v>
      </c>
      <c r="CC48" s="143" t="n">
        <v>0.0008295068290934409</v>
      </c>
      <c r="CD48" s="143" t="n">
        <v>-0.04211518626279136</v>
      </c>
      <c r="CE48" s="143" t="n">
        <v>-0.014048501910705</v>
      </c>
    </row>
    <row r="49">
      <c r="A49" s="251" t="n">
        <v>42736</v>
      </c>
      <c r="B49" s="3" t="n">
        <v>0</v>
      </c>
      <c r="C49" s="143" t="n">
        <v>0.07328530299828305</v>
      </c>
      <c r="D49" s="143" t="n">
        <v>0.01115218458074422</v>
      </c>
      <c r="E49" s="143" t="n">
        <v>0.02054146250897301</v>
      </c>
      <c r="F49" s="143" t="n">
        <v>0.01859791232963223</v>
      </c>
      <c r="G49" s="143" t="n">
        <v>0.01966251838454539</v>
      </c>
      <c r="H49" s="143" t="n">
        <v>-0.002453878463639501</v>
      </c>
      <c r="I49" s="143" t="n">
        <v>-0.04050733714787584</v>
      </c>
      <c r="J49" s="143" t="n">
        <v>-0.004407674926404696</v>
      </c>
      <c r="K49" s="143" t="n">
        <v>-0.02627818548688065</v>
      </c>
      <c r="L49" s="143" t="n">
        <v>-0.008288748725594952</v>
      </c>
      <c r="M49" s="143" t="n">
        <v>-0.07956072055989495</v>
      </c>
      <c r="N49" s="143" t="n">
        <v>-0.01456121704471713</v>
      </c>
      <c r="O49" s="143" t="n">
        <v>-0.001448319300886095</v>
      </c>
      <c r="P49" s="143" t="n">
        <v>0.004278042305222117</v>
      </c>
      <c r="Q49" s="143" t="n">
        <v>-0.004512252155554028</v>
      </c>
      <c r="R49" s="143" t="n">
        <v>-0.02088386236293852</v>
      </c>
      <c r="S49" s="143" t="n">
        <v>-0.01284214200610981</v>
      </c>
      <c r="T49" s="143" t="n">
        <v>-0.02050828993798216</v>
      </c>
      <c r="U49" s="143" t="n">
        <v>-0.05269934774161941</v>
      </c>
      <c r="V49" s="143" t="n">
        <v>-0.01182565488182966</v>
      </c>
      <c r="W49" s="143" t="n">
        <v>-0.007590568399752307</v>
      </c>
      <c r="X49" s="143" t="n">
        <v>-0.007209613110785719</v>
      </c>
      <c r="Y49" s="143" t="n">
        <v>-0.007044624532453368</v>
      </c>
      <c r="Z49" s="143" t="n">
        <v>-0.01135143475333665</v>
      </c>
      <c r="AA49" s="143" t="n">
        <v>-0.01102486010729896</v>
      </c>
      <c r="AB49" s="143" t="n">
        <v>-0.002255516345194299</v>
      </c>
      <c r="AC49" s="143" t="n">
        <v>-0.005350413159716738</v>
      </c>
      <c r="AD49" s="143" t="n">
        <v>-0.003029166844123572</v>
      </c>
      <c r="AE49" s="143" t="n">
        <v>-0.03494378577597419</v>
      </c>
      <c r="AF49" s="143" t="n">
        <v>-0.03083110607705039</v>
      </c>
      <c r="AG49" s="143" t="n">
        <v>-0.02606988277722813</v>
      </c>
      <c r="AH49" s="143" t="n">
        <v>-0.01666722926713707</v>
      </c>
      <c r="AI49" s="143" t="n">
        <v>-0.03745891720182095</v>
      </c>
      <c r="AJ49" s="143" t="n">
        <v>-0.05240669024901935</v>
      </c>
      <c r="AK49" s="143" t="n">
        <v>-0.03031124866383935</v>
      </c>
      <c r="AL49" s="143" t="n">
        <v>-0.02054637157324572</v>
      </c>
      <c r="AM49" s="143" t="n">
        <v>-0.03117402177344285</v>
      </c>
      <c r="AN49" s="143" t="n">
        <v>-0.002098620278507274</v>
      </c>
      <c r="AO49" s="143" t="n">
        <v>0.0043324209864577</v>
      </c>
      <c r="AP49" s="143" t="n">
        <v>0.006482111023591895</v>
      </c>
      <c r="AQ49" s="143" t="n">
        <v>-0.01176628698484483</v>
      </c>
      <c r="AR49" s="143" t="n">
        <v>0.01039563534934277</v>
      </c>
      <c r="AS49" s="143" t="n">
        <v>-0.01301686247550824</v>
      </c>
      <c r="AT49" s="143" t="n">
        <v>0.02776641639089667</v>
      </c>
      <c r="AU49" s="143" t="n">
        <v>0.005191443635772711</v>
      </c>
      <c r="AV49" s="143" t="n">
        <v>0.02097315123861733</v>
      </c>
      <c r="AW49" s="143" t="n">
        <v>-0.009522159214945996</v>
      </c>
      <c r="AX49" s="143" t="n">
        <v>-0.04677502165849745</v>
      </c>
      <c r="AY49" s="143" t="n">
        <v>-0.01144868165711128</v>
      </c>
      <c r="AZ49" s="143" t="n">
        <v>-0.02507260388194177</v>
      </c>
      <c r="BA49" s="143" t="n">
        <v>-0.009513802787259244</v>
      </c>
      <c r="BB49" s="143" t="n">
        <v>-0.0007849590316850967</v>
      </c>
      <c r="BC49" s="143" t="n">
        <v>-0.03251302281552424</v>
      </c>
      <c r="BD49" s="143" t="n">
        <v>-0.0246919740928744</v>
      </c>
      <c r="BE49" s="143" t="n">
        <v>-0.02603552396428301</v>
      </c>
      <c r="BF49" s="143" t="n">
        <v>-0.02068324127797339</v>
      </c>
      <c r="BG49" s="143" t="n">
        <v>0.02152674903544061</v>
      </c>
      <c r="BH49" s="143" t="n">
        <v>-0.03212305329729021</v>
      </c>
      <c r="BI49" s="143" t="n">
        <v>-0.01716345334763886</v>
      </c>
      <c r="BJ49" s="143" t="n">
        <v>-0.03652875440319942</v>
      </c>
      <c r="BK49" s="143" t="n">
        <v>-0.0226424018603015</v>
      </c>
      <c r="BL49" s="143" t="n">
        <v>-0.004353583334385454</v>
      </c>
      <c r="BM49" s="143" t="n">
        <v>-0.03688890878940422</v>
      </c>
      <c r="BN49" s="143" t="n">
        <v>-0.04213904762191058</v>
      </c>
      <c r="BO49" s="143" t="n">
        <v>-0.04720656312048494</v>
      </c>
      <c r="BP49" s="143" t="n">
        <v>-0.04722179211778673</v>
      </c>
      <c r="BQ49" s="143" t="n">
        <v>0.02633645143547355</v>
      </c>
      <c r="BR49" s="143" t="n">
        <v>0.001772727603679536</v>
      </c>
      <c r="BS49" s="143" t="n">
        <v>0.05064622512172137</v>
      </c>
      <c r="BT49" s="143" t="n">
        <v>0.02331230721370291</v>
      </c>
      <c r="BU49" s="143" t="n">
        <v>0.03020474199469884</v>
      </c>
      <c r="BV49" s="143" t="n">
        <v>0.01006753596233425</v>
      </c>
      <c r="BW49" s="143" t="n">
        <v>-0.02456776581994696</v>
      </c>
      <c r="BX49" s="143" t="n">
        <v>-0.01622335301851385</v>
      </c>
      <c r="BY49" s="143" t="n">
        <v>-0.02400096821623147</v>
      </c>
      <c r="BZ49" s="143" t="n">
        <v>-0.007393744378322557</v>
      </c>
      <c r="CA49" s="143" t="n">
        <v>-0.009928668389065028</v>
      </c>
      <c r="CB49" s="143" t="n">
        <v>-0.06758490273972001</v>
      </c>
      <c r="CC49" s="143" t="n">
        <v>-0.0296586515521031</v>
      </c>
      <c r="CD49" s="143" t="n">
        <v>-0.08032855786157898</v>
      </c>
      <c r="CE49" s="143" t="n">
        <v>-0.02926259203737083</v>
      </c>
    </row>
    <row r="50">
      <c r="A50" s="251" t="n">
        <v>42826</v>
      </c>
      <c r="B50" s="3" t="n">
        <v>0</v>
      </c>
      <c r="C50" s="143" t="n">
        <v>0.06739477911726724</v>
      </c>
      <c r="D50" s="143" t="n">
        <v>-0.01935320332916913</v>
      </c>
      <c r="E50" s="143" t="n">
        <v>0.02042692909178225</v>
      </c>
      <c r="F50" s="143" t="n">
        <v>0.002739098402117298</v>
      </c>
      <c r="G50" s="143" t="n">
        <v>0.01045314262312887</v>
      </c>
      <c r="H50" s="143" t="n">
        <v>-0.005209528049360581</v>
      </c>
      <c r="I50" s="143" t="n">
        <v>-0.03751652870857317</v>
      </c>
      <c r="J50" s="143" t="n">
        <v>-0.006775717457419197</v>
      </c>
      <c r="K50" s="143" t="n">
        <v>-0.02874349541499406</v>
      </c>
      <c r="L50" s="143" t="n">
        <v>-0.01139628317586045</v>
      </c>
      <c r="M50" s="143" t="n">
        <v>-0.07737288558320954</v>
      </c>
      <c r="N50" s="143" t="n">
        <v>-0.01786921421115435</v>
      </c>
      <c r="O50" s="143" t="n">
        <v>-0.001002039299465225</v>
      </c>
      <c r="P50" s="143" t="n">
        <v>-0.002889855844675012</v>
      </c>
      <c r="Q50" s="143" t="n">
        <v>-0.006412147799997849</v>
      </c>
      <c r="R50" s="143" t="n">
        <v>-0.02660206277183838</v>
      </c>
      <c r="S50" s="143" t="n">
        <v>-0.01672050846712292</v>
      </c>
      <c r="T50" s="143" t="n">
        <v>-0.02666872586896517</v>
      </c>
      <c r="U50" s="143" t="n">
        <v>-0.05269934774161941</v>
      </c>
      <c r="V50" s="143" t="n">
        <v>-0.009915421100699944</v>
      </c>
      <c r="W50" s="143" t="n">
        <v>-0.008916628568991338</v>
      </c>
      <c r="X50" s="143" t="n">
        <v>-0.007755378497540132</v>
      </c>
      <c r="Y50" s="143" t="n">
        <v>-0.008454254792253977</v>
      </c>
      <c r="Z50" s="143" t="n">
        <v>-0.01126998771580277</v>
      </c>
      <c r="AA50" s="143" t="n">
        <v>-0.004741924913854611</v>
      </c>
      <c r="AB50" s="143" t="n">
        <v>-0.001618732130379521</v>
      </c>
      <c r="AC50" s="143" t="n">
        <v>-0.004234274385407705</v>
      </c>
      <c r="AD50" s="143" t="n">
        <v>-0.00271079030616142</v>
      </c>
      <c r="AE50" s="143" t="n">
        <v>-0.01711467584481838</v>
      </c>
      <c r="AF50" s="143" t="n">
        <v>-0.0266056355952212</v>
      </c>
      <c r="AG50" s="143" t="n">
        <v>-0.02268158146950092</v>
      </c>
      <c r="AH50" s="143" t="n">
        <v>-0.01877462917991752</v>
      </c>
      <c r="AI50" s="143" t="n">
        <v>-0.04357113317210021</v>
      </c>
      <c r="AJ50" s="143" t="n">
        <v>-0.04815172978407938</v>
      </c>
      <c r="AK50" s="143" t="n">
        <v>-0.02435842851135804</v>
      </c>
      <c r="AL50" s="143" t="n">
        <v>-0.02149802244940194</v>
      </c>
      <c r="AM50" s="143" t="n">
        <v>-0.04852574460246373</v>
      </c>
      <c r="AN50" s="143" t="n">
        <v>-0.03685505405863566</v>
      </c>
      <c r="AO50" s="143" t="n">
        <v>0.01374644605839726</v>
      </c>
      <c r="AP50" s="143" t="n">
        <v>-0.01708245509119341</v>
      </c>
      <c r="AQ50" s="143" t="n">
        <v>-0.03031582250810855</v>
      </c>
      <c r="AR50" s="143" t="n">
        <v>0.009027250151650552</v>
      </c>
      <c r="AS50" s="143" t="n">
        <v>-0.009782313404613724</v>
      </c>
      <c r="AT50" s="143" t="n">
        <v>0.03223858378960377</v>
      </c>
      <c r="AU50" s="143" t="n">
        <v>-0.001358931870509349</v>
      </c>
      <c r="AV50" s="143" t="n">
        <v>0.0145156826890707</v>
      </c>
      <c r="AW50" s="143" t="n">
        <v>-0.0148335161417982</v>
      </c>
      <c r="AX50" s="143" t="n">
        <v>-0.04112424483809756</v>
      </c>
      <c r="AY50" s="143" t="n">
        <v>-0.0113737242328776</v>
      </c>
      <c r="AZ50" s="143" t="n">
        <v>-0.02667973278354693</v>
      </c>
      <c r="BA50" s="143" t="n">
        <v>-0.01295694365317229</v>
      </c>
      <c r="BB50" s="143" t="n">
        <v>-0.005389732941730068</v>
      </c>
      <c r="BC50" s="143" t="n">
        <v>-0.03491893418261338</v>
      </c>
      <c r="BD50" s="143" t="n">
        <v>-0.01645278377396341</v>
      </c>
      <c r="BE50" s="143" t="n">
        <v>-0.02595074009836893</v>
      </c>
      <c r="BF50" s="143" t="n">
        <v>-0.02257291515108155</v>
      </c>
      <c r="BG50" s="143" t="n">
        <v>0.009323870164815744</v>
      </c>
      <c r="BH50" s="143" t="n">
        <v>-0.04486733680270873</v>
      </c>
      <c r="BI50" s="143" t="n">
        <v>-0.04442489412551025</v>
      </c>
      <c r="BJ50" s="143" t="n">
        <v>-0.05138105407204761</v>
      </c>
      <c r="BK50" s="143" t="n">
        <v>-0.04102460447140744</v>
      </c>
      <c r="BL50" s="143" t="n">
        <v>-0.01056795480736273</v>
      </c>
      <c r="BM50" s="143" t="n">
        <v>-0.0659866578929955</v>
      </c>
      <c r="BN50" s="143" t="n">
        <v>-0.03648458346994837</v>
      </c>
      <c r="BO50" s="143" t="n">
        <v>-0.04880900809363588</v>
      </c>
      <c r="BP50" s="143" t="n">
        <v>-0.04753421179864132</v>
      </c>
      <c r="BQ50" s="143" t="n">
        <v>0.02028179434270884</v>
      </c>
      <c r="BR50" s="143" t="n">
        <v>-0.03040784808915836</v>
      </c>
      <c r="BS50" s="143" t="n">
        <v>0.04410910994144611</v>
      </c>
      <c r="BT50" s="143" t="n">
        <v>0.004379695453265832</v>
      </c>
      <c r="BU50" s="143" t="n">
        <v>0.01979009929871791</v>
      </c>
      <c r="BV50" s="143" t="n">
        <v>-0.008260008117694152</v>
      </c>
      <c r="BW50" s="143" t="n">
        <v>-0.0478048773943097</v>
      </c>
      <c r="BX50" s="143" t="n">
        <v>-0.02965346110470638</v>
      </c>
      <c r="BY50" s="143" t="n">
        <v>-0.04890181503654488</v>
      </c>
      <c r="BZ50" s="143" t="n">
        <v>-0.03794718310038906</v>
      </c>
      <c r="CA50" s="143" t="n">
        <v>-0.01827710008357823</v>
      </c>
      <c r="CB50" s="143" t="n">
        <v>-0.07371578494331878</v>
      </c>
      <c r="CC50" s="143" t="n">
        <v>-0.04411034680490695</v>
      </c>
      <c r="CD50" s="143" t="n">
        <v>-0.09525189288806481</v>
      </c>
      <c r="CE50" s="143" t="n">
        <v>-0.03651093529957444</v>
      </c>
    </row>
    <row r="51">
      <c r="A51" s="251" t="n">
        <v>42917</v>
      </c>
      <c r="B51" s="3" t="n">
        <v>0</v>
      </c>
      <c r="C51" s="143" t="n">
        <v>0.06524063600619569</v>
      </c>
      <c r="D51" s="143" t="n">
        <v>-0.01213880988226728</v>
      </c>
      <c r="E51" s="143" t="n">
        <v>0.0108644577631765</v>
      </c>
      <c r="F51" s="143" t="n">
        <v>-0.00652730739371012</v>
      </c>
      <c r="G51" s="143" t="n">
        <v>0.005309416369618237</v>
      </c>
      <c r="H51" s="143" t="n">
        <v>-0.002900097576275683</v>
      </c>
      <c r="I51" s="143" t="n">
        <v>-0.02366864128875638</v>
      </c>
      <c r="J51" s="143" t="n">
        <v>-0.01198779001049851</v>
      </c>
      <c r="K51" s="143" t="n">
        <v>-0.02384357781651191</v>
      </c>
      <c r="L51" s="143" t="n">
        <v>-0.009866686752973787</v>
      </c>
      <c r="M51" s="143" t="n">
        <v>-0.04568808796034277</v>
      </c>
      <c r="N51" s="143" t="n">
        <v>-0.02451481232156831</v>
      </c>
      <c r="O51" s="143" t="n">
        <v>0.003986605069022418</v>
      </c>
      <c r="P51" s="143" t="n">
        <v>-0.01338570670702432</v>
      </c>
      <c r="Q51" s="143" t="n">
        <v>-0.009855708655552202</v>
      </c>
      <c r="R51" s="143" t="n">
        <v>-0.02254131175682253</v>
      </c>
      <c r="S51" s="143" t="n">
        <v>-0.02334934910201781</v>
      </c>
      <c r="T51" s="143" t="n">
        <v>-0.03530658442165533</v>
      </c>
      <c r="U51" s="143" t="n">
        <v>-0.05269934774161941</v>
      </c>
      <c r="V51" s="143" t="n">
        <v>-0.009555674986839208</v>
      </c>
      <c r="W51" s="143" t="n">
        <v>-0.009246479129784284</v>
      </c>
      <c r="X51" s="143" t="n">
        <v>-0.008464373799299251</v>
      </c>
      <c r="Y51" s="143" t="n">
        <v>-0.009767628601699356</v>
      </c>
      <c r="Z51" s="143" t="n">
        <v>-0.007844470191390434</v>
      </c>
      <c r="AA51" s="143" t="n">
        <v>0.006094156448591121</v>
      </c>
      <c r="AB51" s="143" t="n">
        <v>-0.0007056184195677417</v>
      </c>
      <c r="AC51" s="143" t="n">
        <v>0.001150081535588877</v>
      </c>
      <c r="AD51" s="143" t="n">
        <v>-3.778931157451124e-06</v>
      </c>
      <c r="AE51" s="143" t="n">
        <v>0.009155783273087048</v>
      </c>
      <c r="AF51" s="143" t="n">
        <v>-0.01828520996349299</v>
      </c>
      <c r="AG51" s="143" t="n">
        <v>-0.0160036726610862</v>
      </c>
      <c r="AH51" s="143" t="n">
        <v>-0.018283550826065</v>
      </c>
      <c r="AI51" s="143" t="n">
        <v>-0.004722808888247242</v>
      </c>
      <c r="AJ51" s="143" t="n">
        <v>-0.02460204928496545</v>
      </c>
      <c r="AK51" s="143" t="n">
        <v>-0.01732747600901221</v>
      </c>
      <c r="AL51" s="143" t="n">
        <v>-0.02015867683686836</v>
      </c>
      <c r="AM51" s="143" t="n">
        <v>-0.07663640051771405</v>
      </c>
      <c r="AN51" s="143" t="n">
        <v>-0.03894020186313428</v>
      </c>
      <c r="AO51" s="143" t="n">
        <v>-0.03030290552529647</v>
      </c>
      <c r="AP51" s="143" t="n">
        <v>-0.05638594980717221</v>
      </c>
      <c r="AQ51" s="143" t="n">
        <v>-0.06056359262889586</v>
      </c>
      <c r="AR51" s="143" t="n">
        <v>0.01373563825497389</v>
      </c>
      <c r="AS51" s="143" t="n">
        <v>-0.0059258324752484</v>
      </c>
      <c r="AT51" s="143" t="n">
        <v>0.01790016744853206</v>
      </c>
      <c r="AU51" s="143" t="n">
        <v>0.00146425768909361</v>
      </c>
      <c r="AV51" s="143" t="n">
        <v>0.01954270316347952</v>
      </c>
      <c r="AW51" s="143" t="n">
        <v>-0.01348399923918487</v>
      </c>
      <c r="AX51" s="143" t="n">
        <v>-0.03237241409684652</v>
      </c>
      <c r="AY51" s="143" t="n">
        <v>-0.01595827734447225</v>
      </c>
      <c r="AZ51" s="143" t="n">
        <v>-0.02322071475153533</v>
      </c>
      <c r="BA51" s="143" t="n">
        <v>-0.01226412192820715</v>
      </c>
      <c r="BB51" s="143" t="n">
        <v>-0.008620410271072861</v>
      </c>
      <c r="BC51" s="143" t="n">
        <v>-0.04362889046327289</v>
      </c>
      <c r="BD51" s="143" t="n">
        <v>-0.01364227973360688</v>
      </c>
      <c r="BE51" s="143" t="n">
        <v>-0.02616302720392152</v>
      </c>
      <c r="BF51" s="143" t="n">
        <v>-0.02265346111975574</v>
      </c>
      <c r="BG51" s="143" t="n">
        <v>0.007170498956521348</v>
      </c>
      <c r="BH51" s="143" t="n">
        <v>-0.03480866822838182</v>
      </c>
      <c r="BI51" s="143" t="n">
        <v>-0.04035549031897864</v>
      </c>
      <c r="BJ51" s="143" t="n">
        <v>-0.04505848341564094</v>
      </c>
      <c r="BK51" s="143" t="n">
        <v>-0.04301909316741357</v>
      </c>
      <c r="BL51" s="143" t="n">
        <v>-0.006053142476424696</v>
      </c>
      <c r="BM51" s="143" t="n">
        <v>-0.04683829629260495</v>
      </c>
      <c r="BN51" s="143" t="n">
        <v>-0.02405455591405804</v>
      </c>
      <c r="BO51" s="143" t="n">
        <v>-0.03127794602744798</v>
      </c>
      <c r="BP51" s="143" t="n">
        <v>-0.03372476157109314</v>
      </c>
      <c r="BQ51" s="143" t="n">
        <v>0.02001456219397756</v>
      </c>
      <c r="BR51" s="143" t="n">
        <v>-0.040805427618198</v>
      </c>
      <c r="BS51" s="143" t="n">
        <v>0.03010156569120959</v>
      </c>
      <c r="BT51" s="143" t="n">
        <v>-0.005295960277241211</v>
      </c>
      <c r="BU51" s="143" t="n">
        <v>0.01582903344507233</v>
      </c>
      <c r="BV51" s="143" t="n">
        <v>-0.01620018679596506</v>
      </c>
      <c r="BW51" s="143" t="n">
        <v>-0.05511306355986195</v>
      </c>
      <c r="BX51" s="143" t="n">
        <v>-0.02990991116419216</v>
      </c>
      <c r="BY51" s="143" t="n">
        <v>-0.05428558708347204</v>
      </c>
      <c r="BZ51" s="143" t="n">
        <v>-0.04911817107932664</v>
      </c>
      <c r="CA51" s="143" t="n">
        <v>-0.02543235536434115</v>
      </c>
      <c r="CB51" s="143" t="n">
        <v>-0.07105158824090373</v>
      </c>
      <c r="CC51" s="143" t="n">
        <v>-0.06299637011712084</v>
      </c>
      <c r="CD51" s="143" t="n">
        <v>-0.1027467843127227</v>
      </c>
      <c r="CE51" s="143" t="n">
        <v>-0.04149100482943131</v>
      </c>
    </row>
    <row r="52">
      <c r="A52" s="251" t="n">
        <v>43009</v>
      </c>
      <c r="B52" s="3" t="n">
        <v>0</v>
      </c>
      <c r="C52" s="143" t="n">
        <v>0.06396002437647458</v>
      </c>
      <c r="D52" s="143" t="n">
        <v>-0.01736541674061028</v>
      </c>
      <c r="E52" s="143" t="n">
        <v>-0.001573735543527728</v>
      </c>
      <c r="F52" s="143" t="n">
        <v>-0.01169271053291936</v>
      </c>
      <c r="G52" s="143" t="n">
        <v>0.001787839276942678</v>
      </c>
      <c r="H52" s="143" t="n">
        <v>-0.002653546866345845</v>
      </c>
      <c r="I52" s="143" t="n">
        <v>-0.009956384001989322</v>
      </c>
      <c r="J52" s="143" t="n">
        <v>-0.01557395484855536</v>
      </c>
      <c r="K52" s="143" t="n">
        <v>-0.02027154103205026</v>
      </c>
      <c r="L52" s="143" t="n">
        <v>-0.01059086649037848</v>
      </c>
      <c r="M52" s="143" t="n">
        <v>-0.02237391679684623</v>
      </c>
      <c r="N52" s="143" t="n">
        <v>-0.02831905922345824</v>
      </c>
      <c r="O52" s="143" t="n">
        <v>0.001839836269543313</v>
      </c>
      <c r="P52" s="143" t="n">
        <v>-0.01338570670702432</v>
      </c>
      <c r="Q52" s="143" t="n">
        <v>-0.0124680651666624</v>
      </c>
      <c r="R52" s="143" t="n">
        <v>-0.0155800243025097</v>
      </c>
      <c r="S52" s="143" t="n">
        <v>-0.01796712625816289</v>
      </c>
      <c r="T52" s="143" t="n">
        <v>-0.03035173917824103</v>
      </c>
      <c r="U52" s="143" t="n">
        <v>-0.05269934774161941</v>
      </c>
      <c r="V52" s="143" t="n">
        <v>-0.002472475485603391</v>
      </c>
      <c r="W52" s="143" t="n">
        <v>-0.0057533220849874</v>
      </c>
      <c r="X52" s="143" t="n">
        <v>-0.00304983730532061</v>
      </c>
      <c r="Y52" s="143" t="n">
        <v>-0.005591538692527593</v>
      </c>
      <c r="Z52" s="143" t="n">
        <v>-0.003523202955772415</v>
      </c>
      <c r="AA52" s="143" t="n">
        <v>0.01409244218673723</v>
      </c>
      <c r="AB52" s="143" t="n">
        <v>0.0003789319304586397</v>
      </c>
      <c r="AC52" s="143" t="n">
        <v>0.007346783565856341</v>
      </c>
      <c r="AD52" s="143" t="n">
        <v>0.003080108542974466</v>
      </c>
      <c r="AE52" s="143" t="n">
        <v>0.03323898254496949</v>
      </c>
      <c r="AF52" s="143" t="n">
        <v>-0.008665918859888421</v>
      </c>
      <c r="AG52" s="143" t="n">
        <v>-0.01094812972086141</v>
      </c>
      <c r="AH52" s="143" t="n">
        <v>-0.01916304354906825</v>
      </c>
      <c r="AI52" s="143" t="n">
        <v>-0.0009418089773091443</v>
      </c>
      <c r="AJ52" s="143" t="n">
        <v>-0.03072410954857135</v>
      </c>
      <c r="AK52" s="143" t="n">
        <v>-0.0148285228122361</v>
      </c>
      <c r="AL52" s="143" t="n">
        <v>-0.01709573365717869</v>
      </c>
      <c r="AM52" s="143" t="n">
        <v>-0.07697433084311288</v>
      </c>
      <c r="AN52" s="143" t="n">
        <v>-0.03929511055746641</v>
      </c>
      <c r="AO52" s="143" t="n">
        <v>-0.04635461973194871</v>
      </c>
      <c r="AP52" s="143" t="n">
        <v>-0.05393738816243621</v>
      </c>
      <c r="AQ52" s="143" t="n">
        <v>-0.05343321846903801</v>
      </c>
      <c r="AR52" s="143" t="n">
        <v>0.01222916813451088</v>
      </c>
      <c r="AS52" s="143" t="n">
        <v>-0.007617853403919585</v>
      </c>
      <c r="AT52" s="143" t="n">
        <v>0.003726868304803877</v>
      </c>
      <c r="AU52" s="143" t="n">
        <v>-0.003792481861299395</v>
      </c>
      <c r="AV52" s="143" t="n">
        <v>0.01199284806898802</v>
      </c>
      <c r="AW52" s="143" t="n">
        <v>-0.01595141007282428</v>
      </c>
      <c r="AX52" s="143" t="n">
        <v>-0.01864864738098767</v>
      </c>
      <c r="AY52" s="143" t="n">
        <v>-0.01777252721979474</v>
      </c>
      <c r="AZ52" s="143" t="n">
        <v>-0.02169473015000964</v>
      </c>
      <c r="BA52" s="143" t="n">
        <v>-0.01386863732345927</v>
      </c>
      <c r="BB52" s="143" t="n">
        <v>-0.01110978518407783</v>
      </c>
      <c r="BC52" s="143" t="n">
        <v>-0.03265395937862826</v>
      </c>
      <c r="BD52" s="143" t="n">
        <v>-0.01164389444611959</v>
      </c>
      <c r="BE52" s="143" t="n">
        <v>-0.0260255710180659</v>
      </c>
      <c r="BF52" s="143" t="n">
        <v>-0.02205129629353079</v>
      </c>
      <c r="BG52" s="143" t="n">
        <v>0.009393423375624344</v>
      </c>
      <c r="BH52" s="143" t="n">
        <v>-0.02508747888466333</v>
      </c>
      <c r="BI52" s="143" t="n">
        <v>-0.0304825041523057</v>
      </c>
      <c r="BJ52" s="143" t="n">
        <v>-0.03295881163018589</v>
      </c>
      <c r="BK52" s="143" t="n">
        <v>-0.03800153100519128</v>
      </c>
      <c r="BL52" s="143" t="n">
        <v>-0.00565876210879613</v>
      </c>
      <c r="BM52" s="143" t="n">
        <v>-0.03107979446386855</v>
      </c>
      <c r="BN52" s="143" t="n">
        <v>-0.0148721472703178</v>
      </c>
      <c r="BO52" s="143" t="n">
        <v>-0.02465653591129384</v>
      </c>
      <c r="BP52" s="143" t="n">
        <v>-0.02738024886914288</v>
      </c>
      <c r="BQ52" s="143" t="n">
        <v>0.01369294705508246</v>
      </c>
      <c r="BR52" s="143" t="n">
        <v>-0.0481804683165386</v>
      </c>
      <c r="BS52" s="143" t="n">
        <v>0.001274702284280161</v>
      </c>
      <c r="BT52" s="143" t="n">
        <v>-0.02025469649672644</v>
      </c>
      <c r="BU52" s="143" t="n">
        <v>0.005240229083613417</v>
      </c>
      <c r="BV52" s="143" t="n">
        <v>-0.02452489247976349</v>
      </c>
      <c r="BW52" s="143" t="n">
        <v>-0.0610976000896019</v>
      </c>
      <c r="BX52" s="143" t="n">
        <v>-0.03664600750109963</v>
      </c>
      <c r="BY52" s="143" t="n">
        <v>-0.06021184689397077</v>
      </c>
      <c r="BZ52" s="143" t="n">
        <v>-0.05629371973206173</v>
      </c>
      <c r="CA52" s="143" t="n">
        <v>-0.02784671967728405</v>
      </c>
      <c r="CB52" s="143" t="n">
        <v>-0.05991621815693206</v>
      </c>
      <c r="CC52" s="143" t="n">
        <v>-0.07322380044687309</v>
      </c>
      <c r="CD52" s="143" t="n">
        <v>-0.09164414389095325</v>
      </c>
      <c r="CE52" s="143" t="n">
        <v>-0.04097367763197682</v>
      </c>
    </row>
    <row r="53">
      <c r="A53" s="251" t="n">
        <v>43101</v>
      </c>
      <c r="B53" s="3" t="n">
        <v>0</v>
      </c>
      <c r="C53" s="143" t="n">
        <v>0.06664176384015275</v>
      </c>
      <c r="D53" s="143" t="n">
        <v>-0.01076971494786329</v>
      </c>
      <c r="E53" s="143" t="n">
        <v>0.0001929382895488911</v>
      </c>
      <c r="F53" s="143" t="n">
        <v>-0.006560708068405815</v>
      </c>
      <c r="G53" s="143" t="n">
        <v>0.002123221200148369</v>
      </c>
      <c r="H53" s="143" t="n">
        <v>-0.004276057821585804</v>
      </c>
      <c r="I53" s="143" t="n">
        <v>-0.001995323870595394</v>
      </c>
      <c r="J53" s="143" t="n">
        <v>-0.0237971204297694</v>
      </c>
      <c r="K53" s="143" t="n">
        <v>-0.01821015976731543</v>
      </c>
      <c r="L53" s="143" t="n">
        <v>-0.01291259159119602</v>
      </c>
      <c r="M53" s="143" t="n">
        <v>-0.0008133714141473759</v>
      </c>
      <c r="N53" s="143" t="n">
        <v>-0.03747199224497647</v>
      </c>
      <c r="O53" s="143" t="n">
        <v>-0.007360360961117589</v>
      </c>
      <c r="P53" s="143" t="n">
        <v>-0.01082574308206107</v>
      </c>
      <c r="Q53" s="143" t="n">
        <v>-0.014011730377773</v>
      </c>
      <c r="R53" s="143" t="n">
        <v>-0.0129281052722953</v>
      </c>
      <c r="S53" s="143" t="n">
        <v>-0.01108104703146608</v>
      </c>
      <c r="T53" s="143" t="n">
        <v>-0.02295921606106145</v>
      </c>
      <c r="U53" s="143" t="n">
        <v>-0.05269934774161941</v>
      </c>
      <c r="V53" s="143" t="n">
        <v>0.01721579354970677</v>
      </c>
      <c r="W53" s="143" t="n">
        <v>0.001962001766626979</v>
      </c>
      <c r="X53" s="143" t="n">
        <v>0.01003679998753239</v>
      </c>
      <c r="Y53" s="143" t="n">
        <v>0.005726293992289219</v>
      </c>
      <c r="Z53" s="143" t="n">
        <v>-0.0006245480833094859</v>
      </c>
      <c r="AA53" s="143" t="n">
        <v>0.0198173704096567</v>
      </c>
      <c r="AB53" s="143" t="n">
        <v>0.0018169495450697</v>
      </c>
      <c r="AC53" s="143" t="n">
        <v>0.01112361371004151</v>
      </c>
      <c r="AD53" s="143" t="n">
        <v>0.004992237078277314</v>
      </c>
      <c r="AE53" s="143" t="n">
        <v>0.0492421146468299</v>
      </c>
      <c r="AF53" s="143" t="n">
        <v>0.007142673850548778</v>
      </c>
      <c r="AG53" s="143" t="n">
        <v>-0.00472734937416567</v>
      </c>
      <c r="AH53" s="143" t="n">
        <v>0.01037164827838105</v>
      </c>
      <c r="AI53" s="143" t="n">
        <v>0.02911204242083604</v>
      </c>
      <c r="AJ53" s="143" t="n">
        <v>-0.006884218559606368</v>
      </c>
      <c r="AK53" s="143" t="n">
        <v>0.01792146487226385</v>
      </c>
      <c r="AL53" s="143" t="n">
        <v>0.004018157324173108</v>
      </c>
      <c r="AM53" s="143" t="n">
        <v>-0.07697433084311288</v>
      </c>
      <c r="AN53" s="143" t="n">
        <v>-0.07260584486870303</v>
      </c>
      <c r="AO53" s="143" t="n">
        <v>-0.07600204464826277</v>
      </c>
      <c r="AP53" s="143" t="n">
        <v>-0.08275353248541797</v>
      </c>
      <c r="AQ53" s="143" t="n">
        <v>-0.08448755471292169</v>
      </c>
      <c r="AR53" s="143" t="n">
        <v>0.004271623665733556</v>
      </c>
      <c r="AS53" s="143" t="n">
        <v>-0.007904643841693823</v>
      </c>
      <c r="AT53" s="143" t="n">
        <v>-0.02174625495833483</v>
      </c>
      <c r="AU53" s="143" t="n">
        <v>-0.01754581919936424</v>
      </c>
      <c r="AV53" s="143" t="n">
        <v>-0.008363778386176419</v>
      </c>
      <c r="AW53" s="143" t="n">
        <v>-0.01680868702972428</v>
      </c>
      <c r="AX53" s="143" t="n">
        <v>-0.006038215812869982</v>
      </c>
      <c r="AY53" s="143" t="n">
        <v>-0.02845728464920931</v>
      </c>
      <c r="AZ53" s="143" t="n">
        <v>-0.01855272283617431</v>
      </c>
      <c r="BA53" s="143" t="n">
        <v>-0.01485354556278396</v>
      </c>
      <c r="BB53" s="143" t="n">
        <v>-0.009985546970986766</v>
      </c>
      <c r="BC53" s="143" t="n">
        <v>-0.01857605719053053</v>
      </c>
      <c r="BD53" s="143" t="n">
        <v>-0.0167742185233456</v>
      </c>
      <c r="BE53" s="143" t="n">
        <v>-0.02053169384840718</v>
      </c>
      <c r="BF53" s="143" t="n">
        <v>-0.01799725279840511</v>
      </c>
      <c r="BG53" s="143" t="n">
        <v>0.008833321040847568</v>
      </c>
      <c r="BH53" s="143" t="n">
        <v>-0.0145970823663194</v>
      </c>
      <c r="BI53" s="143" t="n">
        <v>-0.03575245325675724</v>
      </c>
      <c r="BJ53" s="143" t="n">
        <v>-0.02722509921731299</v>
      </c>
      <c r="BK53" s="143" t="n">
        <v>-0.03690130507813072</v>
      </c>
      <c r="BL53" s="143" t="n">
        <v>0.001325956870928501</v>
      </c>
      <c r="BM53" s="143" t="n">
        <v>0.01069719786681119</v>
      </c>
      <c r="BN53" s="143" t="n">
        <v>-0.0136246467291047</v>
      </c>
      <c r="BO53" s="143" t="n">
        <v>-0.007675070475504775</v>
      </c>
      <c r="BP53" s="143" t="n">
        <v>-0.01301342249425579</v>
      </c>
      <c r="BQ53" s="143" t="n">
        <v>0.005801019171564798</v>
      </c>
      <c r="BR53" s="143" t="n">
        <v>-0.03473974635914479</v>
      </c>
      <c r="BS53" s="143" t="n">
        <v>-0.01570451701978596</v>
      </c>
      <c r="BT53" s="143" t="n">
        <v>-0.03126500121866406</v>
      </c>
      <c r="BU53" s="143" t="n">
        <v>-0.007364728095889924</v>
      </c>
      <c r="BV53" s="143" t="n">
        <v>-0.031432246506301</v>
      </c>
      <c r="BW53" s="143" t="n">
        <v>-0.05441286970387102</v>
      </c>
      <c r="BX53" s="143" t="n">
        <v>-0.04949429900756464</v>
      </c>
      <c r="BY53" s="143" t="n">
        <v>-0.06230373943056162</v>
      </c>
      <c r="BZ53" s="143" t="n">
        <v>-0.05997011781530269</v>
      </c>
      <c r="CA53" s="143" t="n">
        <v>-0.0256013252857291</v>
      </c>
      <c r="CB53" s="143" t="n">
        <v>-0.02980122976704267</v>
      </c>
      <c r="CC53" s="143" t="n">
        <v>-0.06313494880305516</v>
      </c>
      <c r="CD53" s="143" t="n">
        <v>-0.06462388806700642</v>
      </c>
      <c r="CE53" s="143" t="n">
        <v>-0.03551947442013385</v>
      </c>
    </row>
    <row r="54">
      <c r="A54" s="251" t="n">
        <v>43191</v>
      </c>
      <c r="B54" s="3" t="n">
        <v>0</v>
      </c>
      <c r="C54" s="143" t="n">
        <v>0.07275005299556539</v>
      </c>
      <c r="D54" s="143" t="n">
        <v>0.00868133260965692</v>
      </c>
      <c r="E54" s="143" t="n">
        <v>-0.005383466570666597</v>
      </c>
      <c r="F54" s="143" t="n">
        <v>0.004114600643917394</v>
      </c>
      <c r="G54" s="143" t="n">
        <v>0.00624236510172518</v>
      </c>
      <c r="H54" s="143" t="n">
        <v>-0.006503101511746661</v>
      </c>
      <c r="I54" s="143" t="n">
        <v>-0.001416489544024206</v>
      </c>
      <c r="J54" s="143" t="n">
        <v>-0.02179848747937982</v>
      </c>
      <c r="K54" s="143" t="n">
        <v>-0.0147255854111995</v>
      </c>
      <c r="L54" s="143" t="n">
        <v>-0.01420614422130874</v>
      </c>
      <c r="M54" s="143" t="n">
        <v>0.008097593400419182</v>
      </c>
      <c r="N54" s="143" t="n">
        <v>-0.0322975121421013</v>
      </c>
      <c r="O54" s="143" t="n">
        <v>-0.006943349321743819</v>
      </c>
      <c r="P54" s="143" t="n">
        <v>-0.01287371398203166</v>
      </c>
      <c r="Q54" s="143" t="n">
        <v>-0.009261991266663482</v>
      </c>
      <c r="R54" s="143" t="n">
        <v>-0.01093916599963448</v>
      </c>
      <c r="S54" s="143" t="n">
        <v>-0.01052699467989278</v>
      </c>
      <c r="T54" s="143" t="n">
        <v>-0.02060102768317976</v>
      </c>
      <c r="U54" s="143" t="n">
        <v>-0.05269934774161941</v>
      </c>
      <c r="V54" s="143" t="n">
        <v>0.04754122664424241</v>
      </c>
      <c r="W54" s="143" t="n">
        <v>0.01369573242839557</v>
      </c>
      <c r="X54" s="143" t="n">
        <v>0.02612809903534627</v>
      </c>
      <c r="Y54" s="143" t="n">
        <v>0.02051103227457864</v>
      </c>
      <c r="Z54" s="143" t="n">
        <v>0.0009671863922164746</v>
      </c>
      <c r="AA54" s="143" t="n">
        <v>0.02260754863232499</v>
      </c>
      <c r="AB54" s="143" t="n">
        <v>0.003691884998867355</v>
      </c>
      <c r="AC54" s="143" t="n">
        <v>0.01248051622633325</v>
      </c>
      <c r="AD54" s="143" t="n">
        <v>0.005822634512287194</v>
      </c>
      <c r="AE54" s="143" t="n">
        <v>0.05844546890168727</v>
      </c>
      <c r="AF54" s="143" t="n">
        <v>0.02064663482398084</v>
      </c>
      <c r="AG54" s="143" t="n">
        <v>0.001964976118639782</v>
      </c>
      <c r="AH54" s="143" t="n">
        <v>0.01077493739575731</v>
      </c>
      <c r="AI54" s="143" t="n">
        <v>0.03181523471971773</v>
      </c>
      <c r="AJ54" s="143" t="n">
        <v>-0.009695865390853469</v>
      </c>
      <c r="AK54" s="143" t="n">
        <v>0.01924884000876918</v>
      </c>
      <c r="AL54" s="143" t="n">
        <v>0.006223452919616801</v>
      </c>
      <c r="AM54" s="143" t="n">
        <v>-0.07697433084311288</v>
      </c>
      <c r="AN54" s="143" t="n">
        <v>-0.07238299103113695</v>
      </c>
      <c r="AO54" s="143" t="n">
        <v>-0.1111354557433957</v>
      </c>
      <c r="AP54" s="143" t="n">
        <v>-0.09254810690632886</v>
      </c>
      <c r="AQ54" s="143" t="n">
        <v>-0.09958187699103518</v>
      </c>
      <c r="AR54" s="143" t="n">
        <v>0.003096147085779845</v>
      </c>
      <c r="AS54" s="143" t="n">
        <v>-0.007655644656846137</v>
      </c>
      <c r="AT54" s="143" t="n">
        <v>-0.01812538142368183</v>
      </c>
      <c r="AU54" s="143" t="n">
        <v>-0.01613715459304951</v>
      </c>
      <c r="AV54" s="143" t="n">
        <v>-0.01295732826367663</v>
      </c>
      <c r="AW54" s="143" t="n">
        <v>-0.01480979419099258</v>
      </c>
      <c r="AX54" s="143" t="n">
        <v>1.965795809851679e-05</v>
      </c>
      <c r="AY54" s="143" t="n">
        <v>-0.02214832843501501</v>
      </c>
      <c r="AZ54" s="143" t="n">
        <v>-0.01094930045052963</v>
      </c>
      <c r="BA54" s="143" t="n">
        <v>-0.01232724750983692</v>
      </c>
      <c r="BB54" s="143" t="n">
        <v>-0.001886152497985343</v>
      </c>
      <c r="BC54" s="143" t="n">
        <v>0.007073755625617786</v>
      </c>
      <c r="BD54" s="143" t="n">
        <v>-0.009142484262415089</v>
      </c>
      <c r="BE54" s="143" t="n">
        <v>-0.001894045100321053</v>
      </c>
      <c r="BF54" s="143" t="n">
        <v>-0.005889073498977286</v>
      </c>
      <c r="BG54" s="143" t="n">
        <v>0.0049142830700016</v>
      </c>
      <c r="BH54" s="143" t="n">
        <v>-0.00507090015808805</v>
      </c>
      <c r="BI54" s="143" t="n">
        <v>-0.03821509628141802</v>
      </c>
      <c r="BJ54" s="143" t="n">
        <v>-0.02546172599474601</v>
      </c>
      <c r="BK54" s="143" t="n">
        <v>-0.03869125775978451</v>
      </c>
      <c r="BL54" s="143" t="n">
        <v>-0.0009800548330795853</v>
      </c>
      <c r="BM54" s="143" t="n">
        <v>0.0180584447762407</v>
      </c>
      <c r="BN54" s="143" t="n">
        <v>-0.02493174172557559</v>
      </c>
      <c r="BO54" s="143" t="n">
        <v>-0.008760517415517092</v>
      </c>
      <c r="BP54" s="143" t="n">
        <v>-0.01196742781068874</v>
      </c>
      <c r="BQ54" s="143" t="n">
        <v>-0.001648965566290321</v>
      </c>
      <c r="BR54" s="143" t="n">
        <v>-0.03710021911936694</v>
      </c>
      <c r="BS54" s="143" t="n">
        <v>-0.03215885544013238</v>
      </c>
      <c r="BT54" s="143" t="n">
        <v>-0.03808929577645057</v>
      </c>
      <c r="BU54" s="143" t="n">
        <v>-0.01886072499566405</v>
      </c>
      <c r="BV54" s="143" t="n">
        <v>-0.0187493820367707</v>
      </c>
      <c r="BW54" s="143" t="n">
        <v>-0.01375325127945579</v>
      </c>
      <c r="BX54" s="143" t="n">
        <v>-0.03857624602180721</v>
      </c>
      <c r="BY54" s="143" t="n">
        <v>-0.03056818225129882</v>
      </c>
      <c r="BZ54" s="143" t="n">
        <v>-0.03631470060527176</v>
      </c>
      <c r="CA54" s="143" t="n">
        <v>-0.01710895074487578</v>
      </c>
      <c r="CB54" s="143" t="n">
        <v>0.002221211570853718</v>
      </c>
      <c r="CC54" s="143" t="n">
        <v>-0.04634957887103079</v>
      </c>
      <c r="CD54" s="143" t="n">
        <v>-0.02300731543938521</v>
      </c>
      <c r="CE54" s="143" t="n">
        <v>-0.02214965160232098</v>
      </c>
    </row>
    <row r="55">
      <c r="A55" s="251" t="n">
        <v>43282</v>
      </c>
      <c r="B55" s="3" t="n">
        <v>0</v>
      </c>
      <c r="C55" s="143" t="n">
        <v>0.07672064176328988</v>
      </c>
      <c r="D55" s="143" t="n">
        <v>0.01861001894636665</v>
      </c>
      <c r="E55" s="143" t="n">
        <v>0.003264426508154516</v>
      </c>
      <c r="F55" s="143" t="n">
        <v>0.0125327046924412</v>
      </c>
      <c r="G55" s="143" t="n">
        <v>0.007543139223379476</v>
      </c>
      <c r="H55" s="143" t="n">
        <v>-0.007885778369571694</v>
      </c>
      <c r="I55" s="143" t="n">
        <v>-0.00545942300062301</v>
      </c>
      <c r="J55" s="143" t="n">
        <v>-0.01630872131698259</v>
      </c>
      <c r="K55" s="143" t="n">
        <v>-0.01066101888066075</v>
      </c>
      <c r="L55" s="143" t="n">
        <v>-0.01451629004946357</v>
      </c>
      <c r="M55" s="143" t="n">
        <v>-0.003935852878773054</v>
      </c>
      <c r="N55" s="143" t="n">
        <v>-0.02313566325438634</v>
      </c>
      <c r="O55" s="143" t="n">
        <v>-0.01298115033214312</v>
      </c>
      <c r="P55" s="143" t="n">
        <v>-0.01645766305698019</v>
      </c>
      <c r="Q55" s="143" t="n">
        <v>-0.002849843466665666</v>
      </c>
      <c r="R55" s="143" t="n">
        <v>-0.008867354257279445</v>
      </c>
      <c r="S55" s="143" t="n">
        <v>-0.01234745240649074</v>
      </c>
      <c r="T55" s="143" t="n">
        <v>-0.01976638797640136</v>
      </c>
      <c r="U55" s="143" t="n">
        <v>-0.05269934774161941</v>
      </c>
      <c r="V55" s="143" t="n">
        <v>0.07630306979081621</v>
      </c>
      <c r="W55" s="143" t="n">
        <v>0.02429594386942347</v>
      </c>
      <c r="X55" s="143" t="n">
        <v>0.03833540360545019</v>
      </c>
      <c r="Y55" s="143" t="n">
        <v>0.03283960469172065</v>
      </c>
      <c r="Z55" s="143" t="n">
        <v>0.00350029808562631</v>
      </c>
      <c r="AA55" s="143" t="n">
        <v>0.02095887484162209</v>
      </c>
      <c r="AB55" s="143" t="n">
        <v>0.005590439044732025</v>
      </c>
      <c r="AC55" s="143" t="n">
        <v>0.01428319548241606</v>
      </c>
      <c r="AD55" s="143" t="n">
        <v>0.007125052559588957</v>
      </c>
      <c r="AE55" s="143" t="n">
        <v>0.05693581958636341</v>
      </c>
      <c r="AF55" s="143" t="n">
        <v>0.0330157998007217</v>
      </c>
      <c r="AG55" s="143" t="n">
        <v>0.007704092468904194</v>
      </c>
      <c r="AH55" s="143" t="n">
        <v>0.009584191444829325</v>
      </c>
      <c r="AI55" s="143" t="n">
        <v>0.03000445909033961</v>
      </c>
      <c r="AJ55" s="143" t="n">
        <v>0.02085144561353818</v>
      </c>
      <c r="AK55" s="143" t="n">
        <v>0.01941722918545299</v>
      </c>
      <c r="AL55" s="143" t="n">
        <v>0.006745247150673699</v>
      </c>
      <c r="AM55" s="143" t="n">
        <v>-0.07697433084311288</v>
      </c>
      <c r="AN55" s="143" t="n">
        <v>-0.02134629784427069</v>
      </c>
      <c r="AO55" s="143" t="n">
        <v>-0.06133364630107088</v>
      </c>
      <c r="AP55" s="143" t="n">
        <v>-0.04129002439620117</v>
      </c>
      <c r="AQ55" s="143" t="n">
        <v>-0.05937957425825425</v>
      </c>
      <c r="AR55" s="143" t="n">
        <v>0.0004615361013347084</v>
      </c>
      <c r="AS55" s="143" t="n">
        <v>-0.01713371157073615</v>
      </c>
      <c r="AT55" s="143" t="n">
        <v>-0.02396857647074021</v>
      </c>
      <c r="AU55" s="143" t="n">
        <v>-0.01770361112351415</v>
      </c>
      <c r="AV55" s="143" t="n">
        <v>-0.02092039464538395</v>
      </c>
      <c r="AW55" s="143" t="n">
        <v>-0.01807747484909809</v>
      </c>
      <c r="AX55" s="143" t="n">
        <v>-0.003806531419197573</v>
      </c>
      <c r="AY55" s="143" t="n">
        <v>-0.01949425182306751</v>
      </c>
      <c r="AZ55" s="143" t="n">
        <v>-0.008711755670154081</v>
      </c>
      <c r="BA55" s="143" t="n">
        <v>-0.01293820527637438</v>
      </c>
      <c r="BB55" s="143" t="n">
        <v>-0.002421610373970977</v>
      </c>
      <c r="BC55" s="143" t="n">
        <v>0.01251542424906807</v>
      </c>
      <c r="BD55" s="143" t="n">
        <v>-0.01021557016164607</v>
      </c>
      <c r="BE55" s="143" t="n">
        <v>7.27207230330659e-05</v>
      </c>
      <c r="BF55" s="143" t="n">
        <v>-0.004633920456261009</v>
      </c>
      <c r="BG55" s="143" t="n">
        <v>0.007319802231043311</v>
      </c>
      <c r="BH55" s="143" t="n">
        <v>0.0001716945333196536</v>
      </c>
      <c r="BI55" s="143" t="n">
        <v>-0.02650584732682611</v>
      </c>
      <c r="BJ55" s="143" t="n">
        <v>-0.01354675370575159</v>
      </c>
      <c r="BK55" s="143" t="n">
        <v>-0.02858277803933774</v>
      </c>
      <c r="BL55" s="143" t="n">
        <v>-0.007962957569385681</v>
      </c>
      <c r="BM55" s="143" t="n">
        <v>-0.003597064057986845</v>
      </c>
      <c r="BN55" s="143" t="n">
        <v>-0.02623593279044472</v>
      </c>
      <c r="BO55" s="143" t="n">
        <v>-0.01602951126001526</v>
      </c>
      <c r="BP55" s="143" t="n">
        <v>-0.01804803460596882</v>
      </c>
      <c r="BQ55" s="143" t="n">
        <v>-0.008956852170788343</v>
      </c>
      <c r="BR55" s="143" t="n">
        <v>-0.04901087903888517</v>
      </c>
      <c r="BS55" s="143" t="n">
        <v>-0.0427858438463333</v>
      </c>
      <c r="BT55" s="143" t="n">
        <v>-0.04124648853938351</v>
      </c>
      <c r="BU55" s="143" t="n">
        <v>-0.02937808503015215</v>
      </c>
      <c r="BV55" s="143" t="n">
        <v>-0.005208086629616424</v>
      </c>
      <c r="BW55" s="143" t="n">
        <v>0.01441240600659699</v>
      </c>
      <c r="BX55" s="143" t="n">
        <v>-0.02550562554207731</v>
      </c>
      <c r="BY55" s="143" t="n">
        <v>-9.270553738446618e-05</v>
      </c>
      <c r="BZ55" s="143" t="n">
        <v>-0.01314295401850222</v>
      </c>
      <c r="CA55" s="143" t="n">
        <v>-0.009166971511212981</v>
      </c>
      <c r="CB55" s="143" t="n">
        <v>0.03092828769571244</v>
      </c>
      <c r="CC55" s="143" t="n">
        <v>-0.02601173761114641</v>
      </c>
      <c r="CD55" s="143" t="n">
        <v>0.01231562123655378</v>
      </c>
      <c r="CE55" s="143" t="n">
        <v>-0.009886309831966093</v>
      </c>
    </row>
    <row r="56">
      <c r="A56" s="251" t="n">
        <v>43374</v>
      </c>
      <c r="B56" s="3" t="n">
        <v>0</v>
      </c>
      <c r="C56" s="143" t="n">
        <v>0.07710006398368743</v>
      </c>
      <c r="D56" s="143" t="n">
        <v>0.02130106824163619</v>
      </c>
      <c r="E56" s="143" t="n">
        <v>0.001985354662404987</v>
      </c>
      <c r="F56" s="143" t="n">
        <v>0.0123227274042951</v>
      </c>
      <c r="G56" s="143" t="n">
        <v>0.006024485306303954</v>
      </c>
      <c r="H56" s="143" t="n">
        <v>-0.008352931829409077</v>
      </c>
      <c r="I56" s="143" t="n">
        <v>-0.006240943744050272</v>
      </c>
      <c r="J56" s="143" t="n">
        <v>-0.009068838274512669</v>
      </c>
      <c r="K56" s="143" t="n">
        <v>-0.006866935816017695</v>
      </c>
      <c r="L56" s="143" t="n">
        <v>-0.01313368371217777</v>
      </c>
      <c r="M56" s="143" t="n">
        <v>-0.002138953838545638</v>
      </c>
      <c r="N56" s="143" t="n">
        <v>-0.01142838538876644</v>
      </c>
      <c r="O56" s="143" t="n">
        <v>-0.0144425870725199</v>
      </c>
      <c r="P56" s="143" t="n">
        <v>-0.01492168488200226</v>
      </c>
      <c r="Q56" s="143" t="n">
        <v>-0.001424921733332833</v>
      </c>
      <c r="R56" s="143" t="n">
        <v>-0.00969607895422145</v>
      </c>
      <c r="S56" s="143" t="n">
        <v>-0.008330572857584324</v>
      </c>
      <c r="T56" s="143" t="n">
        <v>-0.01393715827826691</v>
      </c>
      <c r="U56" s="143" t="n">
        <v>-0.05269934774161941</v>
      </c>
      <c r="V56" s="143" t="n">
        <v>0.09604306461910628</v>
      </c>
      <c r="W56" s="143" t="n">
        <v>0.03405954326896091</v>
      </c>
      <c r="X56" s="143" t="n">
        <v>0.0488073453741734</v>
      </c>
      <c r="Y56" s="143" t="n">
        <v>0.04434974159658856</v>
      </c>
      <c r="Z56" s="143" t="n">
        <v>0.007257587648554689</v>
      </c>
      <c r="AA56" s="143" t="n">
        <v>0.01991695515082346</v>
      </c>
      <c r="AB56" s="143" t="n">
        <v>0.007027954121817236</v>
      </c>
      <c r="AC56" s="143" t="n">
        <v>0.01690607978082471</v>
      </c>
      <c r="AD56" s="143" t="n">
        <v>0.009194421333452402</v>
      </c>
      <c r="AE56" s="143" t="n">
        <v>0.04861554673544867</v>
      </c>
      <c r="AF56" s="143" t="n">
        <v>0.04089010758676385</v>
      </c>
      <c r="AG56" s="143" t="n">
        <v>0.0118477897698576</v>
      </c>
      <c r="AH56" s="143" t="n">
        <v>0.009075913891774649</v>
      </c>
      <c r="AI56" s="143" t="n">
        <v>0.03040413661972701</v>
      </c>
      <c r="AJ56" s="143" t="n">
        <v>0.02429952624031145</v>
      </c>
      <c r="AK56" s="143" t="n">
        <v>0.01608663655676366</v>
      </c>
      <c r="AL56" s="143" t="n">
        <v>0.006430639787343326</v>
      </c>
      <c r="AM56" s="143" t="n">
        <v>-0.07697433084311288</v>
      </c>
      <c r="AN56" s="143" t="n">
        <v>-0.02725674626433661</v>
      </c>
      <c r="AO56" s="143" t="n">
        <v>-0.06770782956049781</v>
      </c>
      <c r="AP56" s="143" t="n">
        <v>-0.04170349225230435</v>
      </c>
      <c r="AQ56" s="143" t="n">
        <v>-0.06437007354931353</v>
      </c>
      <c r="AR56" s="143" t="n">
        <v>-0.001333956157772272</v>
      </c>
      <c r="AS56" s="143" t="n">
        <v>-0.01750677047172747</v>
      </c>
      <c r="AT56" s="143" t="n">
        <v>-0.02611506400391709</v>
      </c>
      <c r="AU56" s="143" t="n">
        <v>-0.01697884607901741</v>
      </c>
      <c r="AV56" s="143" t="n">
        <v>-0.0243824769544903</v>
      </c>
      <c r="AW56" s="143" t="n">
        <v>-0.01374715890154872</v>
      </c>
      <c r="AX56" s="143" t="n">
        <v>0.001826623683634191</v>
      </c>
      <c r="AY56" s="143" t="n">
        <v>-0.009064188064419708</v>
      </c>
      <c r="AZ56" s="143" t="n">
        <v>-0.001243935212493502</v>
      </c>
      <c r="BA56" s="143" t="n">
        <v>-0.008841281742665278</v>
      </c>
      <c r="BB56" s="143" t="n">
        <v>-0.004262742473382029</v>
      </c>
      <c r="BC56" s="143" t="n">
        <v>0.01382423143162135</v>
      </c>
      <c r="BD56" s="143" t="n">
        <v>-0.006182416502329036</v>
      </c>
      <c r="BE56" s="143" t="n">
        <v>0.0002136358086530096</v>
      </c>
      <c r="BF56" s="143" t="n">
        <v>-0.005284074467709962</v>
      </c>
      <c r="BG56" s="143" t="n">
        <v>0.01167237463976347</v>
      </c>
      <c r="BH56" s="143" t="n">
        <v>0.002620729351097024</v>
      </c>
      <c r="BI56" s="143" t="n">
        <v>-0.01719261729703725</v>
      </c>
      <c r="BJ56" s="143" t="n">
        <v>-0.001200078085035898</v>
      </c>
      <c r="BK56" s="143" t="n">
        <v>-0.01676277883594278</v>
      </c>
      <c r="BL56" s="143" t="n">
        <v>-0.02371902767615527</v>
      </c>
      <c r="BM56" s="143" t="n">
        <v>-0.03401582299222732</v>
      </c>
      <c r="BN56" s="143" t="n">
        <v>-0.03386204108900734</v>
      </c>
      <c r="BO56" s="143" t="n">
        <v>-0.0397534955668476</v>
      </c>
      <c r="BP56" s="143" t="n">
        <v>-0.03565936869747856</v>
      </c>
      <c r="BQ56" s="143" t="n">
        <v>-0.01073182934765781</v>
      </c>
      <c r="BR56" s="143" t="n">
        <v>-0.04131934142926656</v>
      </c>
      <c r="BS56" s="143" t="n">
        <v>-0.04263507403706594</v>
      </c>
      <c r="BT56" s="143" t="n">
        <v>-0.03462971060632232</v>
      </c>
      <c r="BU56" s="143" t="n">
        <v>-0.03196870503496294</v>
      </c>
      <c r="BV56" s="143" t="n">
        <v>-0.0007272487791566721</v>
      </c>
      <c r="BW56" s="143" t="n">
        <v>0.03120252707153165</v>
      </c>
      <c r="BX56" s="143" t="n">
        <v>-0.0187341577210168</v>
      </c>
      <c r="BY56" s="143" t="n">
        <v>0.01303493460926737</v>
      </c>
      <c r="BZ56" s="143" t="n">
        <v>-0.004367447858328518</v>
      </c>
      <c r="CA56" s="143" t="n">
        <v>-0.002256727071894712</v>
      </c>
      <c r="CB56" s="143" t="n">
        <v>0.04865883649456099</v>
      </c>
      <c r="CC56" s="143" t="n">
        <v>-0.007298104941798532</v>
      </c>
      <c r="CD56" s="143" t="n">
        <v>0.03899348933219533</v>
      </c>
      <c r="CE56" s="143" t="n">
        <v>0.001229460808490472</v>
      </c>
    </row>
    <row r="57">
      <c r="A57" s="251" t="n">
        <v>43466</v>
      </c>
      <c r="B57" s="3" t="n">
        <v>0</v>
      </c>
      <c r="C57" s="143" t="n">
        <v>0.08213974638985397</v>
      </c>
      <c r="D57" s="143" t="n">
        <v>0.02512348469008117</v>
      </c>
      <c r="E57" s="143" t="n">
        <v>0.007240814811314323</v>
      </c>
      <c r="F57" s="143" t="n">
        <v>0.02064024172609128</v>
      </c>
      <c r="G57" s="143" t="n">
        <v>0.009725639045042311</v>
      </c>
      <c r="H57" s="143" t="n">
        <v>-0.01155772064725314</v>
      </c>
      <c r="I57" s="143" t="n">
        <v>-0.007973570543602499</v>
      </c>
      <c r="J57" s="143" t="n">
        <v>-0.005581555960066229</v>
      </c>
      <c r="K57" s="143" t="n">
        <v>-0.008666879511240035</v>
      </c>
      <c r="L57" s="143" t="n">
        <v>-0.01367087971817153</v>
      </c>
      <c r="M57" s="143" t="n">
        <v>-0.002642910811953501</v>
      </c>
      <c r="N57" s="143" t="n">
        <v>-0.001611387172059498</v>
      </c>
      <c r="O57" s="143" t="n">
        <v>-0.01906750461239906</v>
      </c>
      <c r="P57" s="143" t="n">
        <v>-0.006089810375879039</v>
      </c>
      <c r="Q57" s="143" t="n">
        <v>0.004393508677776297</v>
      </c>
      <c r="R57" s="143" t="n">
        <v>-0.006712670045230236</v>
      </c>
      <c r="S57" s="143" t="n">
        <v>0.004907320828220705</v>
      </c>
      <c r="T57" s="143" t="n">
        <v>-0.0003179579835345662</v>
      </c>
      <c r="U57" s="143" t="n">
        <v>-0.05269934774161941</v>
      </c>
      <c r="V57" s="143" t="n">
        <v>0.1065126520441178</v>
      </c>
      <c r="W57" s="143" t="n">
        <v>0.04503695429652132</v>
      </c>
      <c r="X57" s="143" t="n">
        <v>0.05992394177682091</v>
      </c>
      <c r="Y57" s="143" t="n">
        <v>0.05692570058716608</v>
      </c>
      <c r="Z57" s="143" t="n">
        <v>0.009610134336802337</v>
      </c>
      <c r="AA57" s="143" t="n">
        <v>0.01890804841923851</v>
      </c>
      <c r="AB57" s="143" t="n">
        <v>0.00800250778266668</v>
      </c>
      <c r="AC57" s="143" t="n">
        <v>0.01697610214451265</v>
      </c>
      <c r="AD57" s="143" t="n">
        <v>0.01015129355925843</v>
      </c>
      <c r="AE57" s="143" t="n">
        <v>0.03569720287984294</v>
      </c>
      <c r="AF57" s="143" t="n">
        <v>0.04243110140079723</v>
      </c>
      <c r="AG57" s="143" t="n">
        <v>0.01894388247197521</v>
      </c>
      <c r="AH57" s="143" t="n">
        <v>-0.0120215699080229</v>
      </c>
      <c r="AI57" s="143" t="n">
        <v>-0.02411018418513041</v>
      </c>
      <c r="AJ57" s="143" t="n">
        <v>0.00412536263</v>
      </c>
      <c r="AK57" s="143" t="n">
        <v>-0.007627911515988408</v>
      </c>
      <c r="AL57" s="143" t="n">
        <v>-0.005968904136823273</v>
      </c>
      <c r="AM57" s="143" t="n">
        <v>-0.07697433084311288</v>
      </c>
      <c r="AN57" s="143" t="n">
        <v>0.009883936458336497</v>
      </c>
      <c r="AO57" s="143" t="n">
        <v>-0.06381135684507259</v>
      </c>
      <c r="AP57" s="143" t="n">
        <v>-0.01626998674184097</v>
      </c>
      <c r="AQ57" s="143" t="n">
        <v>-0.04150658474162155</v>
      </c>
      <c r="AR57" s="143" t="n">
        <v>-0.006783293526558929</v>
      </c>
      <c r="AS57" s="143" t="n">
        <v>-0.01426927112800494</v>
      </c>
      <c r="AT57" s="143" t="n">
        <v>-0.02304803492849045</v>
      </c>
      <c r="AU57" s="143" t="n">
        <v>-0.02197393388410843</v>
      </c>
      <c r="AV57" s="143" t="n">
        <v>-0.03312936522875158</v>
      </c>
      <c r="AW57" s="143" t="n">
        <v>-0.01148267435605821</v>
      </c>
      <c r="AX57" s="143" t="n">
        <v>0.004413571836019262</v>
      </c>
      <c r="AY57" s="143" t="n">
        <v>-0.0008754046961792379</v>
      </c>
      <c r="AZ57" s="143" t="n">
        <v>0.00241988870221887</v>
      </c>
      <c r="BA57" s="143" t="n">
        <v>-0.005966137463613973</v>
      </c>
      <c r="BB57" s="143" t="n">
        <v>-0.004666842172191468</v>
      </c>
      <c r="BC57" s="143" t="n">
        <v>0.010738505536144</v>
      </c>
      <c r="BD57" s="143" t="n">
        <v>-0.002573324947779598</v>
      </c>
      <c r="BE57" s="143" t="n">
        <v>0.001474104550252066</v>
      </c>
      <c r="BF57" s="143" t="n">
        <v>-0.004789377209454037</v>
      </c>
      <c r="BG57" s="143" t="n">
        <v>0.01152345826697222</v>
      </c>
      <c r="BH57" s="143" t="n">
        <v>0.003093581551269711</v>
      </c>
      <c r="BI57" s="143" t="n">
        <v>-0.008803021852085037</v>
      </c>
      <c r="BJ57" s="143" t="n">
        <v>0.002287816572255194</v>
      </c>
      <c r="BK57" s="143" t="n">
        <v>-0.01307304835148107</v>
      </c>
      <c r="BL57" s="143" t="n">
        <v>-0.02628838398162717</v>
      </c>
      <c r="BM57" s="143" t="n">
        <v>-0.052010560253623</v>
      </c>
      <c r="BN57" s="143" t="n">
        <v>-0.02149076741780359</v>
      </c>
      <c r="BO57" s="143" t="n">
        <v>-0.03640609896922703</v>
      </c>
      <c r="BP57" s="143" t="n">
        <v>-0.0353986376069255</v>
      </c>
      <c r="BQ57" s="143" t="n">
        <v>-0.01081644945408926</v>
      </c>
      <c r="BR57" s="143" t="n">
        <v>-0.02811173574372992</v>
      </c>
      <c r="BS57" s="143" t="n">
        <v>-0.02994059540915374</v>
      </c>
      <c r="BT57" s="143" t="n">
        <v>-0.025744124589044</v>
      </c>
      <c r="BU57" s="143" t="n">
        <v>-0.03006354593694143</v>
      </c>
      <c r="BV57" s="143" t="n">
        <v>0.0195463149568334</v>
      </c>
      <c r="BW57" s="143" t="n">
        <v>0.06684106897863297</v>
      </c>
      <c r="BX57" s="143" t="n">
        <v>0.007788301612806916</v>
      </c>
      <c r="BY57" s="143" t="n">
        <v>0.0493412053212948</v>
      </c>
      <c r="BZ57" s="143" t="n">
        <v>0.02490111044806407</v>
      </c>
      <c r="CA57" s="143" t="n">
        <v>0.002588400871867631</v>
      </c>
      <c r="CB57" s="143" t="n">
        <v>0.05360217554889281</v>
      </c>
      <c r="CC57" s="143" t="n">
        <v>0.0154300356192608</v>
      </c>
      <c r="CD57" s="143" t="n">
        <v>0.05459908694801387</v>
      </c>
      <c r="CE57" s="143" t="n">
        <v>0.00990901993673278</v>
      </c>
    </row>
    <row r="58">
      <c r="A58" s="251" t="n">
        <v>43556</v>
      </c>
      <c r="B58" s="3" t="n">
        <v>0</v>
      </c>
      <c r="C58" s="143" t="n">
        <v>0.07368586120491896</v>
      </c>
      <c r="D58" s="143" t="n">
        <v>0.001517020886115266</v>
      </c>
      <c r="E58" s="143" t="n">
        <v>0.005144598970820354</v>
      </c>
      <c r="F58" s="143" t="n">
        <v>0.003850189532268422</v>
      </c>
      <c r="G58" s="143" t="n">
        <v>0.0009213768119919975</v>
      </c>
      <c r="H58" s="143" t="n">
        <v>-0.01333222743197708</v>
      </c>
      <c r="I58" s="143" t="n">
        <v>-0.007478033325597059</v>
      </c>
      <c r="J58" s="143" t="n">
        <v>-0.004980018352303359</v>
      </c>
      <c r="K58" s="143" t="n">
        <v>-0.00951191598487367</v>
      </c>
      <c r="L58" s="143" t="n">
        <v>-0.01185964104293327</v>
      </c>
      <c r="M58" s="143" t="n">
        <v>-0.008215829043768316</v>
      </c>
      <c r="N58" s="143" t="n">
        <v>-5.512379675890375e-05</v>
      </c>
      <c r="O58" s="143" t="n">
        <v>-0.01779830952481259</v>
      </c>
      <c r="P58" s="143" t="n">
        <v>-0.002889855844674976</v>
      </c>
      <c r="Q58" s="143" t="n">
        <v>0.009261991266663515</v>
      </c>
      <c r="R58" s="143" t="n">
        <v>2.355377253428529e-17</v>
      </c>
      <c r="S58" s="143" t="n">
        <v>0.01046763192793851</v>
      </c>
      <c r="T58" s="143" t="n">
        <v>0.00523305847900708</v>
      </c>
      <c r="U58" s="143" t="n">
        <v>-0.05269934774161941</v>
      </c>
      <c r="V58" s="143" t="n">
        <v>0.1054113728482747</v>
      </c>
      <c r="W58" s="143" t="n">
        <v>0.05567449910016843</v>
      </c>
      <c r="X58" s="143" t="n">
        <v>0.06623811829828283</v>
      </c>
      <c r="Y58" s="143" t="n">
        <v>0.06586424033989366</v>
      </c>
      <c r="Z58" s="143" t="n">
        <v>0.01099904918914723</v>
      </c>
      <c r="AA58" s="143" t="n">
        <v>0.01853334961588888</v>
      </c>
      <c r="AB58" s="143" t="n">
        <v>0.008501660366073879</v>
      </c>
      <c r="AC58" s="143" t="n">
        <v>0.0153000527546271</v>
      </c>
      <c r="AD58" s="143" t="n">
        <v>0.0102485682647444</v>
      </c>
      <c r="AE58" s="143" t="n">
        <v>0.02898406044178628</v>
      </c>
      <c r="AF58" s="143" t="n">
        <v>0.0436750769021892</v>
      </c>
      <c r="AG58" s="143" t="n">
        <v>0.02664310737517186</v>
      </c>
      <c r="AH58" s="143" t="n">
        <v>-0.01301010293440637</v>
      </c>
      <c r="AI58" s="143" t="n">
        <v>-0.02560872217818066</v>
      </c>
      <c r="AJ58" s="143" t="n">
        <v>0.005118920548109323</v>
      </c>
      <c r="AK58" s="143" t="n">
        <v>-0.009145727458060856</v>
      </c>
      <c r="AL58" s="143" t="n">
        <v>-0.00505036467849863</v>
      </c>
      <c r="AM58" s="143" t="n">
        <v>-0.07697433084311288</v>
      </c>
      <c r="AN58" s="143" t="n">
        <v>0.03622285024765465</v>
      </c>
      <c r="AO58" s="143" t="n">
        <v>-0.03678822449097364</v>
      </c>
      <c r="AP58" s="143" t="n">
        <v>0.007825684447553364</v>
      </c>
      <c r="AQ58" s="143" t="n">
        <v>-0.02027292385974901</v>
      </c>
      <c r="AR58" s="143" t="n">
        <v>-0.0100444291353461</v>
      </c>
      <c r="AS58" s="143" t="n">
        <v>-0.01696136132147517</v>
      </c>
      <c r="AT58" s="143" t="n">
        <v>-0.02558743525437608</v>
      </c>
      <c r="AU58" s="143" t="n">
        <v>-0.02381842095319095</v>
      </c>
      <c r="AV58" s="143" t="n">
        <v>-0.0350307077773547</v>
      </c>
      <c r="AW58" s="143" t="n">
        <v>-0.01103871775231054</v>
      </c>
      <c r="AX58" s="143" t="n">
        <v>0.003125023874527565</v>
      </c>
      <c r="AY58" s="143" t="n">
        <v>0.00169444461894149</v>
      </c>
      <c r="AZ58" s="143" t="n">
        <v>0.002945602477558771</v>
      </c>
      <c r="BA58" s="143" t="n">
        <v>-0.003137113738813137</v>
      </c>
      <c r="BB58" s="143" t="n">
        <v>-0.002360059607932959</v>
      </c>
      <c r="BC58" s="143" t="n">
        <v>-0.0009568220678356046</v>
      </c>
      <c r="BD58" s="143" t="n">
        <v>0.002008389663287415</v>
      </c>
      <c r="BE58" s="143" t="n">
        <v>0.006094491300297992</v>
      </c>
      <c r="BF58" s="143" t="n">
        <v>-0.0007713327811874327</v>
      </c>
      <c r="BG58" s="143" t="n">
        <v>0.008161307769475925</v>
      </c>
      <c r="BH58" s="143" t="n">
        <v>0.003733986359231701</v>
      </c>
      <c r="BI58" s="143" t="n">
        <v>-0.001023069548557738</v>
      </c>
      <c r="BJ58" s="143" t="n">
        <v>-0.0009241065499062085</v>
      </c>
      <c r="BK58" s="143" t="n">
        <v>-0.01336375118437815</v>
      </c>
      <c r="BL58" s="143" t="n">
        <v>-0.02252211310842496</v>
      </c>
      <c r="BM58" s="143" t="n">
        <v>-0.04057364707342691</v>
      </c>
      <c r="BN58" s="143" t="n">
        <v>-0.01171216642700785</v>
      </c>
      <c r="BO58" s="143" t="n">
        <v>-0.02396345160317753</v>
      </c>
      <c r="BP58" s="143" t="n">
        <v>-0.02600704918763583</v>
      </c>
      <c r="BQ58" s="143" t="n">
        <v>-0.009485864498122668</v>
      </c>
      <c r="BR58" s="143" t="n">
        <v>-0.01325766497803867</v>
      </c>
      <c r="BS58" s="143" t="n">
        <v>-0.02398901319389121</v>
      </c>
      <c r="BT58" s="143" t="n">
        <v>-0.0176123443142029</v>
      </c>
      <c r="BU58" s="143" t="n">
        <v>-0.02551858418720409</v>
      </c>
      <c r="BV58" s="143" t="n">
        <v>0.02875091129861749</v>
      </c>
      <c r="BW58" s="143" t="n">
        <v>0.06228050168955807</v>
      </c>
      <c r="BX58" s="143" t="n">
        <v>0.03041026735076417</v>
      </c>
      <c r="BY58" s="143" t="n">
        <v>0.06193296842166646</v>
      </c>
      <c r="BZ58" s="143" t="n">
        <v>0.03816898539312543</v>
      </c>
      <c r="CA58" s="143" t="n">
        <v>0.00343604714043033</v>
      </c>
      <c r="CB58" s="143" t="n">
        <v>0.03906588439856257</v>
      </c>
      <c r="CC58" s="143" t="n">
        <v>0.02676622043774982</v>
      </c>
      <c r="CD58" s="143" t="n">
        <v>0.05259574262861171</v>
      </c>
      <c r="CE58" s="143" t="n">
        <v>0.01304266494875368</v>
      </c>
    </row>
    <row r="59">
      <c r="A59" s="251" t="n">
        <v>43647</v>
      </c>
      <c r="B59" s="3" t="n">
        <v>0</v>
      </c>
      <c r="C59" s="143" t="n">
        <v>0.06975636867069142</v>
      </c>
      <c r="D59" s="143" t="n">
        <v>-0.01128965062764346</v>
      </c>
      <c r="E59" s="143" t="n">
        <v>0.003692788187244314</v>
      </c>
      <c r="F59" s="143" t="n">
        <v>-0.0044316216422587</v>
      </c>
      <c r="G59" s="143" t="n">
        <v>-0.002197182257804465</v>
      </c>
      <c r="H59" s="143" t="n">
        <v>-0.01504619778604652</v>
      </c>
      <c r="I59" s="143" t="n">
        <v>-0.00784080651713101</v>
      </c>
      <c r="J59" s="143" t="n">
        <v>-0.007446761120204104</v>
      </c>
      <c r="K59" s="143" t="n">
        <v>-0.01043940336782267</v>
      </c>
      <c r="L59" s="143" t="n">
        <v>-0.01026646215916838</v>
      </c>
      <c r="M59" s="143" t="n">
        <v>-0.01551482019511652</v>
      </c>
      <c r="N59" s="143" t="n">
        <v>-0.009068288707009644</v>
      </c>
      <c r="O59" s="143" t="n">
        <v>-0.01496119571635156</v>
      </c>
      <c r="P59" s="143" t="n">
        <v>-0.005961812194630883</v>
      </c>
      <c r="Q59" s="143" t="n">
        <v>0.009736965177774438</v>
      </c>
      <c r="R59" s="143" t="n">
        <v>0.004806603242263638</v>
      </c>
      <c r="S59" s="143" t="n">
        <v>0.006668415802864416</v>
      </c>
      <c r="T59" s="143" t="n">
        <v>0.002132968139544635</v>
      </c>
      <c r="U59" s="143" t="n">
        <v>-0.05269934774161941</v>
      </c>
      <c r="V59" s="143" t="n">
        <v>0.09810440155304355</v>
      </c>
      <c r="W59" s="143" t="n">
        <v>0.06348403779088053</v>
      </c>
      <c r="X59" s="143" t="n">
        <v>0.06508236405837844</v>
      </c>
      <c r="Y59" s="143" t="n">
        <v>0.06876320850860371</v>
      </c>
      <c r="Z59" s="143" t="n">
        <v>0.01410625828913304</v>
      </c>
      <c r="AA59" s="143" t="n">
        <v>0.01959396499361343</v>
      </c>
      <c r="AB59" s="143" t="n">
        <v>0.008380139613843551</v>
      </c>
      <c r="AC59" s="143" t="n">
        <v>0.01574051685379321</v>
      </c>
      <c r="AD59" s="143" t="n">
        <v>0.01127096831043445</v>
      </c>
      <c r="AE59" s="143" t="n">
        <v>0.02529346509716803</v>
      </c>
      <c r="AF59" s="143" t="n">
        <v>0.04107731517181423</v>
      </c>
      <c r="AG59" s="143" t="n">
        <v>0.034626854169612</v>
      </c>
      <c r="AH59" s="143" t="n">
        <v>-0.009672577558952901</v>
      </c>
      <c r="AI59" s="143" t="n">
        <v>-0.02073325252435534</v>
      </c>
      <c r="AJ59" s="143" t="n">
        <v>0.007646575992357479</v>
      </c>
      <c r="AK59" s="143" t="n">
        <v>-0.006614526454334788</v>
      </c>
      <c r="AL59" s="143" t="n">
        <v>-0.001294773244953</v>
      </c>
      <c r="AM59" s="143" t="n">
        <v>-0.07697433084311288</v>
      </c>
      <c r="AN59" s="143" t="n">
        <v>0.01198304862116626</v>
      </c>
      <c r="AO59" s="143" t="n">
        <v>-0.009525884217293921</v>
      </c>
      <c r="AP59" s="143" t="n">
        <v>0.01355149944198521</v>
      </c>
      <c r="AQ59" s="143" t="n">
        <v>-0.01223665588122881</v>
      </c>
      <c r="AR59" s="143" t="n">
        <v>-0.01280222999159111</v>
      </c>
      <c r="AS59" s="143" t="n">
        <v>-0.01712037017250141</v>
      </c>
      <c r="AT59" s="143" t="n">
        <v>-0.03560441507692097</v>
      </c>
      <c r="AU59" s="143" t="n">
        <v>-0.02443753001486217</v>
      </c>
      <c r="AV59" s="143" t="n">
        <v>-0.03606278033382836</v>
      </c>
      <c r="AW59" s="143" t="n">
        <v>-0.01215966137783587</v>
      </c>
      <c r="AX59" s="143" t="n">
        <v>0.004903986615863596</v>
      </c>
      <c r="AY59" s="143" t="n">
        <v>0.000591340285439055</v>
      </c>
      <c r="AZ59" s="143" t="n">
        <v>0.001728414999651526</v>
      </c>
      <c r="BA59" s="143" t="n">
        <v>-0.00169981173363037</v>
      </c>
      <c r="BB59" s="143" t="n">
        <v>-0.001834363254323816</v>
      </c>
      <c r="BC59" s="143" t="n">
        <v>0.001185656411471457</v>
      </c>
      <c r="BD59" s="143" t="n">
        <v>0.004498513595833725</v>
      </c>
      <c r="BE59" s="143" t="n">
        <v>0.006337733880113215</v>
      </c>
      <c r="BF59" s="143" t="n">
        <v>0.0009629239136361142</v>
      </c>
      <c r="BG59" s="143" t="n">
        <v>0.004452062924832027</v>
      </c>
      <c r="BH59" s="143" t="n">
        <v>-0.003297818908787202</v>
      </c>
      <c r="BI59" s="143" t="n">
        <v>-0.002392257942345149</v>
      </c>
      <c r="BJ59" s="143" t="n">
        <v>-0.006344781563038316</v>
      </c>
      <c r="BK59" s="143" t="n">
        <v>-0.01388660742755276</v>
      </c>
      <c r="BL59" s="143" t="n">
        <v>-0.02145342630236766</v>
      </c>
      <c r="BM59" s="143" t="n">
        <v>-0.02540878453817737</v>
      </c>
      <c r="BN59" s="143" t="n">
        <v>-0.01508853092371829</v>
      </c>
      <c r="BO59" s="143" t="n">
        <v>-0.01906342510787236</v>
      </c>
      <c r="BP59" s="143" t="n">
        <v>-0.01952909429980507</v>
      </c>
      <c r="BQ59" s="143" t="n">
        <v>-0.01200185592537058</v>
      </c>
      <c r="BR59" s="143" t="n">
        <v>-0.005151226267719957</v>
      </c>
      <c r="BS59" s="143" t="n">
        <v>-0.02580123216249298</v>
      </c>
      <c r="BT59" s="143" t="n">
        <v>-0.01597234194523789</v>
      </c>
      <c r="BU59" s="143" t="n">
        <v>-0.02398673641275879</v>
      </c>
      <c r="BV59" s="143" t="n">
        <v>0.01751370639477872</v>
      </c>
      <c r="BW59" s="143" t="n">
        <v>0.02979191431206066</v>
      </c>
      <c r="BX59" s="143" t="n">
        <v>0.0277012438905739</v>
      </c>
      <c r="BY59" s="143" t="n">
        <v>0.03702566595536638</v>
      </c>
      <c r="BZ59" s="143" t="n">
        <v>0.02316289768254623</v>
      </c>
      <c r="CA59" s="143" t="n">
        <v>0.002372290396866878</v>
      </c>
      <c r="CB59" s="143" t="n">
        <v>0.02194166552181506</v>
      </c>
      <c r="CC59" s="143" t="n">
        <v>0.03427532959455729</v>
      </c>
      <c r="CD59" s="143" t="n">
        <v>0.04203985989840673</v>
      </c>
      <c r="CE59" s="143" t="n">
        <v>0.01344754978738093</v>
      </c>
    </row>
    <row r="60">
      <c r="A60" s="251" t="n">
        <v>43739</v>
      </c>
      <c r="B60" s="3" t="n">
        <v>0</v>
      </c>
      <c r="C60" s="143" t="n">
        <v>0.05945280712801291</v>
      </c>
      <c r="D60" s="143" t="n">
        <v>-0.02860763238141704</v>
      </c>
      <c r="E60" s="143" t="n">
        <v>-0.003685824615643344</v>
      </c>
      <c r="F60" s="143" t="n">
        <v>-0.0235175608217577</v>
      </c>
      <c r="G60" s="143" t="n">
        <v>-0.01126365037641431</v>
      </c>
      <c r="H60" s="143" t="n">
        <v>-0.01223587757808941</v>
      </c>
      <c r="I60" s="143" t="n">
        <v>-0.00425190544870451</v>
      </c>
      <c r="J60" s="143" t="n">
        <v>-0.005874916767749604</v>
      </c>
      <c r="K60" s="143" t="n">
        <v>-0.00469288657414361</v>
      </c>
      <c r="L60" s="143" t="n">
        <v>-0.005338205335976919</v>
      </c>
      <c r="M60" s="143" t="n">
        <v>-0.001095979904912602</v>
      </c>
      <c r="N60" s="143" t="n">
        <v>-0.001508190129065831</v>
      </c>
      <c r="O60" s="143" t="n">
        <v>-0.005881889967218436</v>
      </c>
      <c r="P60" s="143" t="n">
        <v>-0.002249864938434164</v>
      </c>
      <c r="Q60" s="143" t="n">
        <v>0.01175560429999599</v>
      </c>
      <c r="R60" s="143" t="n">
        <v>0.007209904863395457</v>
      </c>
      <c r="S60" s="143" t="n">
        <v>0.01011145541621282</v>
      </c>
      <c r="T60" s="143" t="n">
        <v>0.007074565133645009</v>
      </c>
      <c r="U60" s="143" t="n">
        <v>-0.05269934774161941</v>
      </c>
      <c r="V60" s="143" t="n">
        <v>0.087135499577963</v>
      </c>
      <c r="W60" s="143" t="n">
        <v>0.06667670141859086</v>
      </c>
      <c r="X60" s="143" t="n">
        <v>0.06052809993560795</v>
      </c>
      <c r="Y60" s="143" t="n">
        <v>0.06912278075737399</v>
      </c>
      <c r="Z60" s="143" t="n">
        <v>0.01904491506572222</v>
      </c>
      <c r="AA60" s="143" t="n">
        <v>0.02177648004976262</v>
      </c>
      <c r="AB60" s="143" t="n">
        <v>0.008615840700213227</v>
      </c>
      <c r="AC60" s="143" t="n">
        <v>0.0187281522467976</v>
      </c>
      <c r="AD60" s="143" t="n">
        <v>0.01324867332582861</v>
      </c>
      <c r="AE60" s="143" t="n">
        <v>0.0263846429376511</v>
      </c>
      <c r="AF60" s="143" t="n">
        <v>0.03746604924273138</v>
      </c>
      <c r="AG60" s="143" t="n">
        <v>0.04101306827953349</v>
      </c>
      <c r="AH60" s="143" t="n">
        <v>-0.01205047932225764</v>
      </c>
      <c r="AI60" s="143" t="n">
        <v>-0.02274622733176719</v>
      </c>
      <c r="AJ60" s="143" t="n">
        <v>0.006315983242980225</v>
      </c>
      <c r="AK60" s="143" t="n">
        <v>-0.009955602246879506</v>
      </c>
      <c r="AL60" s="143" t="n">
        <v>-0.00294057792346025</v>
      </c>
      <c r="AM60" s="143" t="n">
        <v>-0.0687201469953418</v>
      </c>
      <c r="AN60" s="143" t="n">
        <v>0.0368224409828385</v>
      </c>
      <c r="AO60" s="143" t="n">
        <v>0.009731846090519537</v>
      </c>
      <c r="AP60" s="143" t="n">
        <v>0.03834174925241533</v>
      </c>
      <c r="AQ60" s="143" t="n">
        <v>0.017090458607544</v>
      </c>
      <c r="AR60" s="143" t="n">
        <v>-0.01457895434669399</v>
      </c>
      <c r="AS60" s="143" t="n">
        <v>-0.01709614526822754</v>
      </c>
      <c r="AT60" s="143" t="n">
        <v>-0.03596700049097958</v>
      </c>
      <c r="AU60" s="143" t="n">
        <v>-0.02188632955893165</v>
      </c>
      <c r="AV60" s="143" t="n">
        <v>-0.0344917178322215</v>
      </c>
      <c r="AW60" s="143" t="n">
        <v>-0.01173634861592102</v>
      </c>
      <c r="AX60" s="143" t="n">
        <v>0.001666322667256329</v>
      </c>
      <c r="AY60" s="143" t="n">
        <v>0.00188209951388793</v>
      </c>
      <c r="AZ60" s="143" t="n">
        <v>0.001925090454843853</v>
      </c>
      <c r="BA60" s="143" t="n">
        <v>0.0002009251568868985</v>
      </c>
      <c r="BB60" s="143" t="n">
        <v>-0.007367712120635726</v>
      </c>
      <c r="BC60" s="143" t="n">
        <v>-0.006268957388675737</v>
      </c>
      <c r="BD60" s="143" t="n">
        <v>0.002480643961197008</v>
      </c>
      <c r="BE60" s="143" t="n">
        <v>-0.004222900921113074</v>
      </c>
      <c r="BF60" s="143" t="n">
        <v>-0.003384747084465666</v>
      </c>
      <c r="BG60" s="143" t="n">
        <v>0.00423656430606432</v>
      </c>
      <c r="BH60" s="143" t="n">
        <v>-0.00855097109682036</v>
      </c>
      <c r="BI60" s="143" t="n">
        <v>-0.004538100923803337</v>
      </c>
      <c r="BJ60" s="143" t="n">
        <v>-0.006155714202800286</v>
      </c>
      <c r="BK60" s="143" t="n">
        <v>-0.01021753369337329</v>
      </c>
      <c r="BL60" s="143" t="n">
        <v>-0.003743294040737702</v>
      </c>
      <c r="BM60" s="143" t="n">
        <v>0.03762353421371112</v>
      </c>
      <c r="BN60" s="143" t="n">
        <v>0.001876692631444075</v>
      </c>
      <c r="BO60" s="143" t="n">
        <v>0.01847636093532908</v>
      </c>
      <c r="BP60" s="143" t="n">
        <v>0.007848866275040476</v>
      </c>
      <c r="BQ60" s="143" t="n">
        <v>-0.01452754162414463</v>
      </c>
      <c r="BR60" s="143" t="n">
        <v>-0.006421198251044038</v>
      </c>
      <c r="BS60" s="143" t="n">
        <v>-0.02274218738140866</v>
      </c>
      <c r="BT60" s="143" t="n">
        <v>-0.01396295345551869</v>
      </c>
      <c r="BU60" s="143" t="n">
        <v>-0.02173230817374354</v>
      </c>
      <c r="BV60" s="143" t="n">
        <v>0.03062206431761756</v>
      </c>
      <c r="BW60" s="143" t="n">
        <v>0.04110397663240403</v>
      </c>
      <c r="BX60" s="143" t="n">
        <v>0.04531186272152667</v>
      </c>
      <c r="BY60" s="143" t="n">
        <v>0.05099027613485913</v>
      </c>
      <c r="BZ60" s="143" t="n">
        <v>0.04151857802291983</v>
      </c>
      <c r="CA60" s="143" t="n">
        <v>0.0004158141149428628</v>
      </c>
      <c r="CB60" s="143" t="n">
        <v>0.005081781251000519</v>
      </c>
      <c r="CC60" s="143" t="n">
        <v>0.03483977710866558</v>
      </c>
      <c r="CD60" s="143" t="n">
        <v>0.02686207476032263</v>
      </c>
      <c r="CE60" s="143" t="n">
        <v>0.01213399484267527</v>
      </c>
    </row>
    <row r="61">
      <c r="A61" s="251" t="n">
        <v>43831</v>
      </c>
      <c r="B61" s="3" t="n">
        <v>0</v>
      </c>
      <c r="C61" s="143" t="n">
        <v>0.06084932899613787</v>
      </c>
      <c r="D61" s="143" t="n">
        <v>-0.03451349062506049</v>
      </c>
      <c r="E61" s="143" t="n">
        <v>-0.004736824908953981</v>
      </c>
      <c r="F61" s="143" t="n">
        <v>-0.02007563094366029</v>
      </c>
      <c r="G61" s="143" t="n">
        <v>-0.008861030665693463</v>
      </c>
      <c r="H61" s="143" t="n">
        <v>0.003251298001099702</v>
      </c>
      <c r="I61" s="143" t="n">
        <v>0.01621617997168726</v>
      </c>
      <c r="J61" s="143" t="n">
        <v>0.004615013848907969</v>
      </c>
      <c r="K61" s="143" t="n">
        <v>0.01745765287150394</v>
      </c>
      <c r="L61" s="143" t="n">
        <v>0.009597488047449374</v>
      </c>
      <c r="M61" s="143" t="n">
        <v>0.03082820489675559</v>
      </c>
      <c r="N61" s="143" t="n">
        <v>0.01314054187646913</v>
      </c>
      <c r="O61" s="143" t="n">
        <v>0.006286835759637679</v>
      </c>
      <c r="P61" s="143" t="n">
        <v>0.01477389316757143</v>
      </c>
      <c r="Q61" s="143" t="n">
        <v>0.01935518687777114</v>
      </c>
      <c r="R61" s="143" t="n">
        <v>0.0165744939388401</v>
      </c>
      <c r="S61" s="143" t="n">
        <v>0.02944392496932414</v>
      </c>
      <c r="T61" s="143" t="n">
        <v>0.02845723952634731</v>
      </c>
      <c r="U61" s="143" t="n">
        <v>-0.05269934774161941</v>
      </c>
      <c r="V61" s="143" t="n">
        <v>0.08057408043584711</v>
      </c>
      <c r="W61" s="143" t="n">
        <v>0.0680992683594033</v>
      </c>
      <c r="X61" s="143" t="n">
        <v>0.06071792881622971</v>
      </c>
      <c r="Y61" s="143" t="n">
        <v>0.07356182626687321</v>
      </c>
      <c r="Z61" s="143" t="n">
        <v>0.02300060579048269</v>
      </c>
      <c r="AA61" s="143" t="n">
        <v>0.02473820605367184</v>
      </c>
      <c r="AB61" s="143" t="n">
        <v>0.009019385759182505</v>
      </c>
      <c r="AC61" s="143" t="n">
        <v>0.0202727001868534</v>
      </c>
      <c r="AD61" s="143" t="n">
        <v>0.0142529268477092</v>
      </c>
      <c r="AE61" s="143" t="n">
        <v>0.03256220853173967</v>
      </c>
      <c r="AF61" s="143" t="n">
        <v>0.03409872002155053</v>
      </c>
      <c r="AG61" s="143" t="n">
        <v>0.04452268076731063</v>
      </c>
      <c r="AH61" s="143" t="n">
        <v>-0.0145242771588583</v>
      </c>
      <c r="AI61" s="143" t="n">
        <v>-0.002694598528751834</v>
      </c>
      <c r="AJ61" s="143" t="n">
        <v>-0.02210767352896001</v>
      </c>
      <c r="AK61" s="143" t="n">
        <v>-0.01320826835521155</v>
      </c>
      <c r="AL61" s="143" t="n">
        <v>-0.004745344055946567</v>
      </c>
      <c r="AM61" s="143" t="n">
        <v>-0.05384893558557476</v>
      </c>
      <c r="AN61" s="143" t="n">
        <v>0.04084611713789987</v>
      </c>
      <c r="AO61" s="143" t="n">
        <v>0.05161120946160606</v>
      </c>
      <c r="AP61" s="143" t="n">
        <v>0.05628396070027569</v>
      </c>
      <c r="AQ61" s="143" t="n">
        <v>0.04055762057178366</v>
      </c>
      <c r="AR61" s="143" t="n">
        <v>-0.009334881795816069</v>
      </c>
      <c r="AS61" s="143" t="n">
        <v>-0.003293494124628238</v>
      </c>
      <c r="AT61" s="143" t="n">
        <v>-0.01825510865071505</v>
      </c>
      <c r="AU61" s="143" t="n">
        <v>-0.00765220981757874</v>
      </c>
      <c r="AV61" s="143" t="n">
        <v>-0.01917233082011099</v>
      </c>
      <c r="AW61" s="143" t="n">
        <v>0.0093386814458039</v>
      </c>
      <c r="AX61" s="143" t="n">
        <v>0.01725428668414702</v>
      </c>
      <c r="AY61" s="143" t="n">
        <v>0.01167526262675072</v>
      </c>
      <c r="AZ61" s="143" t="n">
        <v>0.017603051201797</v>
      </c>
      <c r="BA61" s="143" t="n">
        <v>0.01223864761735326</v>
      </c>
      <c r="BB61" s="143" t="n">
        <v>-0.007964124860223977</v>
      </c>
      <c r="BC61" s="143" t="n">
        <v>-0.006657238884114951</v>
      </c>
      <c r="BD61" s="143" t="n">
        <v>0.001340013534498269</v>
      </c>
      <c r="BE61" s="143" t="n">
        <v>-0.005983951779522747</v>
      </c>
      <c r="BF61" s="143" t="n">
        <v>-0.002940157117052878</v>
      </c>
      <c r="BG61" s="143" t="n">
        <v>0.0212640131154763</v>
      </c>
      <c r="BH61" s="143" t="n">
        <v>0.01120136195500783</v>
      </c>
      <c r="BI61" s="143" t="n">
        <v>0.0109391655708366</v>
      </c>
      <c r="BJ61" s="143" t="n">
        <v>0.02072321441114862</v>
      </c>
      <c r="BK61" s="143" t="n">
        <v>0.01769757145318927</v>
      </c>
      <c r="BL61" s="143" t="n">
        <v>0.0004790216983435685</v>
      </c>
      <c r="BM61" s="143" t="n">
        <v>0.05041539008244853</v>
      </c>
      <c r="BN61" s="143" t="n">
        <v>-0.0008297903912916997</v>
      </c>
      <c r="BO61" s="143" t="n">
        <v>0.02609109327435538</v>
      </c>
      <c r="BP61" s="143" t="n">
        <v>0.01491605190291494</v>
      </c>
      <c r="BQ61" s="143" t="n">
        <v>-0.01619910944954592</v>
      </c>
      <c r="BR61" s="143" t="n">
        <v>-0.009105834275927113</v>
      </c>
      <c r="BS61" s="143" t="n">
        <v>-0.01772935448437794</v>
      </c>
      <c r="BT61" s="143" t="n">
        <v>-0.01143687925541046</v>
      </c>
      <c r="BU61" s="143" t="n">
        <v>-0.01853409424622286</v>
      </c>
      <c r="BV61" s="143" t="n">
        <v>0.02374216456136972</v>
      </c>
      <c r="BW61" s="143" t="n">
        <v>0.005501431676207567</v>
      </c>
      <c r="BX61" s="143" t="n">
        <v>0.04533442070475421</v>
      </c>
      <c r="BY61" s="143" t="n">
        <v>0.02936494277956403</v>
      </c>
      <c r="BZ61" s="143" t="n">
        <v>0.03142112248332782</v>
      </c>
      <c r="CA61" s="143" t="n">
        <v>0.005689096896135643</v>
      </c>
      <c r="CB61" s="143" t="n">
        <v>0.005895908732401016</v>
      </c>
      <c r="CC61" s="143" t="n">
        <v>0.03857231423291704</v>
      </c>
      <c r="CD61" s="143" t="n">
        <v>0.0317251348949418</v>
      </c>
      <c r="CE61" s="143" t="n">
        <v>0.01841366405973582</v>
      </c>
    </row>
    <row r="62">
      <c r="A62" s="251" t="n">
        <v>43922</v>
      </c>
      <c r="B62" s="3" t="n">
        <v>0</v>
      </c>
      <c r="C62" s="143" t="n">
        <v>0.06443824154164812</v>
      </c>
      <c r="D62" s="143" t="n">
        <v>-0.01499114031679934</v>
      </c>
      <c r="E62" s="143" t="n">
        <v>-0.006797071800319981</v>
      </c>
      <c r="F62" s="143" t="n">
        <v>-0.01250139364840106</v>
      </c>
      <c r="G62" s="143" t="n">
        <v>-0.004690864666594726</v>
      </c>
      <c r="H62" s="143" t="n">
        <v>0.01339987180145937</v>
      </c>
      <c r="I62" s="143" t="n">
        <v>0.02927219841394584</v>
      </c>
      <c r="J62" s="143" t="n">
        <v>0.01220249176982864</v>
      </c>
      <c r="K62" s="143" t="n">
        <v>0.02968150151761696</v>
      </c>
      <c r="L62" s="143" t="n">
        <v>0.01807437942430688</v>
      </c>
      <c r="M62" s="143" t="n">
        <v>0.06143774089315959</v>
      </c>
      <c r="N62" s="143" t="n">
        <v>0.02481310854158454</v>
      </c>
      <c r="O62" s="143" t="n">
        <v>0.01408398171390047</v>
      </c>
      <c r="P62" s="143" t="n">
        <v>0.02987767855485461</v>
      </c>
      <c r="Q62" s="143" t="n">
        <v>0.03039833031110072</v>
      </c>
      <c r="R62" s="143" t="n">
        <v>0.02767940487786297</v>
      </c>
      <c r="S62" s="143" t="n">
        <v>0.04416588745398623</v>
      </c>
      <c r="T62" s="143" t="n">
        <v>0.04613040411114589</v>
      </c>
      <c r="U62" s="143" t="n">
        <v>-0.05269934774161941</v>
      </c>
      <c r="V62" s="143" t="n">
        <v>0.06961422108299901</v>
      </c>
      <c r="W62" s="143" t="n">
        <v>0.06370903341404062</v>
      </c>
      <c r="X62" s="143" t="n">
        <v>0.0554180606122198</v>
      </c>
      <c r="Y62" s="143" t="n">
        <v>0.07233328317124277</v>
      </c>
      <c r="Z62" s="143" t="n">
        <v>0.02530928028808566</v>
      </c>
      <c r="AA62" s="143" t="n">
        <v>0.02643741460678016</v>
      </c>
      <c r="AB62" s="143" t="n">
        <v>0.009293092278084066</v>
      </c>
      <c r="AC62" s="143" t="n">
        <v>0.01939543264208714</v>
      </c>
      <c r="AD62" s="143" t="n">
        <v>0.01386639489985936</v>
      </c>
      <c r="AE62" s="143" t="n">
        <v>0.0292687756689523</v>
      </c>
      <c r="AF62" s="143" t="n">
        <v>0.02909997475695036</v>
      </c>
      <c r="AG62" s="143" t="n">
        <v>0.04421833106722016</v>
      </c>
      <c r="AH62" s="143" t="n">
        <v>-0.009145267148860438</v>
      </c>
      <c r="AI62" s="143" t="n">
        <v>0.004161166200370924</v>
      </c>
      <c r="AJ62" s="143" t="n">
        <v>-0.01768921504093918</v>
      </c>
      <c r="AK62" s="143" t="n">
        <v>-0.004995520435341048</v>
      </c>
      <c r="AL62" s="143" t="n">
        <v>-0.001610152564097469</v>
      </c>
      <c r="AM62" s="143" t="n">
        <v>0.01097791986973694</v>
      </c>
      <c r="AN62" s="143" t="n">
        <v>0.09356674240171202</v>
      </c>
      <c r="AO62" s="143" t="n">
        <v>0.1320439734891184</v>
      </c>
      <c r="AP62" s="143" t="n">
        <v>0.1329578545467928</v>
      </c>
      <c r="AQ62" s="143" t="n">
        <v>0.130335164093155</v>
      </c>
      <c r="AR62" s="143" t="n">
        <v>-0.007184912232640605</v>
      </c>
      <c r="AS62" s="143" t="n">
        <v>0.003690956817683418</v>
      </c>
      <c r="AT62" s="143" t="n">
        <v>-0.01379353835064988</v>
      </c>
      <c r="AU62" s="143" t="n">
        <v>-0.001275020475377197</v>
      </c>
      <c r="AV62" s="143" t="n">
        <v>-0.01187932957932879</v>
      </c>
      <c r="AW62" s="143" t="n">
        <v>0.03008438177241225</v>
      </c>
      <c r="AX62" s="143" t="n">
        <v>0.03407798009372762</v>
      </c>
      <c r="AY62" s="143" t="n">
        <v>0.02004604384088877</v>
      </c>
      <c r="AZ62" s="143" t="n">
        <v>0.03093798078216687</v>
      </c>
      <c r="BA62" s="143" t="n">
        <v>0.02245192092775885</v>
      </c>
      <c r="BB62" s="143" t="n">
        <v>-0.0007628043481877886</v>
      </c>
      <c r="BC62" s="143" t="n">
        <v>0.003224870546170119</v>
      </c>
      <c r="BD62" s="143" t="n">
        <v>0.0007446746113379957</v>
      </c>
      <c r="BE62" s="143" t="n">
        <v>0.00551504907973023</v>
      </c>
      <c r="BF62" s="143" t="n">
        <v>0.004949388265902703</v>
      </c>
      <c r="BG62" s="143" t="n">
        <v>0.02951385043645526</v>
      </c>
      <c r="BH62" s="143" t="n">
        <v>0.02455481877496084</v>
      </c>
      <c r="BI62" s="143" t="n">
        <v>0.02164792907563215</v>
      </c>
      <c r="BJ62" s="143" t="n">
        <v>0.03090772977532541</v>
      </c>
      <c r="BK62" s="143" t="n">
        <v>0.02967704174174418</v>
      </c>
      <c r="BL62" s="143" t="n">
        <v>0.0006083582738256205</v>
      </c>
      <c r="BM62" s="143" t="n">
        <v>0.04356536272021527</v>
      </c>
      <c r="BN62" s="143" t="n">
        <v>0.001556258349135403</v>
      </c>
      <c r="BO62" s="143" t="n">
        <v>0.02654077051340637</v>
      </c>
      <c r="BP62" s="143" t="n">
        <v>0.01456075625369497</v>
      </c>
      <c r="BQ62" s="143" t="n">
        <v>-0.007968531763407033</v>
      </c>
      <c r="BR62" s="143" t="n">
        <v>0.002566868506541748</v>
      </c>
      <c r="BS62" s="143" t="n">
        <v>-0.005092780648048674</v>
      </c>
      <c r="BT62" s="143" t="n">
        <v>0.003508107460753191</v>
      </c>
      <c r="BU62" s="143" t="n">
        <v>-0.006200898736519673</v>
      </c>
      <c r="BV62" s="143" t="n">
        <v>0.009854130128127686</v>
      </c>
      <c r="BW62" s="143" t="n">
        <v>-0.02477671039431447</v>
      </c>
      <c r="BX62" s="143" t="n">
        <v>0.02350226543472558</v>
      </c>
      <c r="BY62" s="143" t="n">
        <v>-0.003269211948414507</v>
      </c>
      <c r="BZ62" s="143" t="n">
        <v>0.01143504137875952</v>
      </c>
      <c r="CA62" s="143" t="n">
        <v>0.01566793750527561</v>
      </c>
      <c r="CB62" s="143" t="n">
        <v>0.02325868406687439</v>
      </c>
      <c r="CC62" s="143" t="n">
        <v>0.04040470997207559</v>
      </c>
      <c r="CD62" s="143" t="n">
        <v>0.04867852576749718</v>
      </c>
      <c r="CE62" s="143" t="n">
        <v>0.0282426002666521</v>
      </c>
    </row>
    <row r="63">
      <c r="A63" s="251" t="n">
        <v>44013</v>
      </c>
      <c r="B63" s="3" t="n">
        <v>0</v>
      </c>
      <c r="C63" s="143" t="n">
        <v>0.05474204633853099</v>
      </c>
      <c r="D63" s="143" t="n">
        <v>-0.02433943231219139</v>
      </c>
      <c r="E63" s="143" t="n">
        <v>-0.01797322906090036</v>
      </c>
      <c r="F63" s="143" t="n">
        <v>-0.02770480948634728</v>
      </c>
      <c r="G63" s="143" t="n">
        <v>-0.0132109142685901</v>
      </c>
      <c r="H63" s="143" t="n">
        <v>0.0147516497169517</v>
      </c>
      <c r="I63" s="143" t="n">
        <v>0.0326292558171136</v>
      </c>
      <c r="J63" s="143" t="n">
        <v>0.01387898308302524</v>
      </c>
      <c r="K63" s="143" t="n">
        <v>0.02817325223447174</v>
      </c>
      <c r="L63" s="143" t="n">
        <v>0.01789998447276275</v>
      </c>
      <c r="M63" s="143" t="n">
        <v>0.06824404529308746</v>
      </c>
      <c r="N63" s="143" t="n">
        <v>0.02458340822802594</v>
      </c>
      <c r="O63" s="143" t="n">
        <v>0.01120695542625642</v>
      </c>
      <c r="P63" s="143" t="n">
        <v>0.01976582223624973</v>
      </c>
      <c r="Q63" s="143" t="n">
        <v>0.02386743903332514</v>
      </c>
      <c r="R63" s="143" t="n">
        <v>0.0234529089234587</v>
      </c>
      <c r="S63" s="143" t="n">
        <v>0.02505108132470718</v>
      </c>
      <c r="T63" s="143" t="n">
        <v>0.03017951193715971</v>
      </c>
      <c r="U63" s="143" t="n">
        <v>-0.05269934774161941</v>
      </c>
      <c r="V63" s="143" t="n">
        <v>0.04950884730459011</v>
      </c>
      <c r="W63" s="143" t="n">
        <v>0.05373098409549636</v>
      </c>
      <c r="X63" s="143" t="n">
        <v>0.04019693065366241</v>
      </c>
      <c r="Y63" s="143" t="n">
        <v>0.0606664737821876</v>
      </c>
      <c r="Z63" s="143" t="n">
        <v>0.02364565650429437</v>
      </c>
      <c r="AA63" s="143" t="n">
        <v>0.01762354667578412</v>
      </c>
      <c r="AB63" s="143" t="n">
        <v>0.007690902662713403</v>
      </c>
      <c r="AC63" s="143" t="n">
        <v>0.01298898865267508</v>
      </c>
      <c r="AD63" s="143" t="n">
        <v>0.01057882626892972</v>
      </c>
      <c r="AE63" s="143" t="n">
        <v>0.01708435535154471</v>
      </c>
      <c r="AF63" s="143" t="n">
        <v>0.02116967323218076</v>
      </c>
      <c r="AG63" s="143" t="n">
        <v>0.03763108139483371</v>
      </c>
      <c r="AH63" s="143" t="n">
        <v>-0.007343004376737444</v>
      </c>
      <c r="AI63" s="143" t="n">
        <v>0.002508189668337021</v>
      </c>
      <c r="AJ63" s="143" t="n">
        <v>-0.01503141226572819</v>
      </c>
      <c r="AK63" s="143" t="n">
        <v>-0.000843891737392455</v>
      </c>
      <c r="AL63" s="143" t="n">
        <v>-0.00100739202041811</v>
      </c>
      <c r="AM63" s="143" t="n">
        <v>0.02690712716714821</v>
      </c>
      <c r="AN63" s="143" t="n">
        <v>0.1092576355046085</v>
      </c>
      <c r="AO63" s="143" t="n">
        <v>0.1233465746653186</v>
      </c>
      <c r="AP63" s="143" t="n">
        <v>0.1317901957407631</v>
      </c>
      <c r="AQ63" s="143" t="n">
        <v>0.1450978046519282</v>
      </c>
      <c r="AR63" s="143" t="n">
        <v>0.003474150798977671</v>
      </c>
      <c r="AS63" s="143" t="n">
        <v>0.02100893986299636</v>
      </c>
      <c r="AT63" s="143" t="n">
        <v>0.004041861356953441</v>
      </c>
      <c r="AU63" s="143" t="n">
        <v>0.0185054763557664</v>
      </c>
      <c r="AV63" s="143" t="n">
        <v>0.01120590065666019</v>
      </c>
      <c r="AW63" s="143" t="n">
        <v>0.03472470108785512</v>
      </c>
      <c r="AX63" s="143" t="n">
        <v>0.03885223607360608</v>
      </c>
      <c r="AY63" s="143" t="n">
        <v>0.02357710573837672</v>
      </c>
      <c r="AZ63" s="143" t="n">
        <v>0.03019677542175551</v>
      </c>
      <c r="BA63" s="143" t="n">
        <v>0.02292980605770729</v>
      </c>
      <c r="BB63" s="143" t="n">
        <v>0.009585175366821876</v>
      </c>
      <c r="BC63" s="143" t="n">
        <v>0.02305613553344021</v>
      </c>
      <c r="BD63" s="143" t="n">
        <v>0.007959374399249998</v>
      </c>
      <c r="BE63" s="143" t="n">
        <v>0.02240708961491506</v>
      </c>
      <c r="BF63" s="143" t="n">
        <v>0.01502669777200742</v>
      </c>
      <c r="BG63" s="143" t="n">
        <v>0.02465799007733895</v>
      </c>
      <c r="BH63" s="143" t="n">
        <v>0.02323624343704716</v>
      </c>
      <c r="BI63" s="143" t="n">
        <v>0.0152578236521525</v>
      </c>
      <c r="BJ63" s="143" t="n">
        <v>0.01884509407975448</v>
      </c>
      <c r="BK63" s="143" t="n">
        <v>0.02020791554865296</v>
      </c>
      <c r="BL63" s="143" t="n">
        <v>-0.002767729366033618</v>
      </c>
      <c r="BM63" s="143" t="n">
        <v>0.03519379917765433</v>
      </c>
      <c r="BN63" s="143" t="n">
        <v>0.005090059526695201</v>
      </c>
      <c r="BO63" s="143" t="n">
        <v>0.01970654350481339</v>
      </c>
      <c r="BP63" s="143" t="n">
        <v>0.008962635167472695</v>
      </c>
      <c r="BQ63" s="143" t="n">
        <v>0.004435883561939711</v>
      </c>
      <c r="BR63" s="143" t="n">
        <v>0.02780768834900411</v>
      </c>
      <c r="BS63" s="143" t="n">
        <v>0.01079287141500098</v>
      </c>
      <c r="BT63" s="143" t="n">
        <v>0.02146611188288586</v>
      </c>
      <c r="BU63" s="143" t="n">
        <v>0.009257071604723034</v>
      </c>
      <c r="BV63" s="143" t="n">
        <v>-0.002779995845217311</v>
      </c>
      <c r="BW63" s="143" t="n">
        <v>-0.02660829792610653</v>
      </c>
      <c r="BX63" s="143" t="n">
        <v>0.001995056893208685</v>
      </c>
      <c r="BY63" s="143" t="n">
        <v>-0.02871975948947233</v>
      </c>
      <c r="BZ63" s="143" t="n">
        <v>-0.007375422970381649</v>
      </c>
      <c r="CA63" s="143" t="n">
        <v>0.02615533267885564</v>
      </c>
      <c r="CB63" s="143" t="n">
        <v>0.0452229581926022</v>
      </c>
      <c r="CC63" s="143" t="n">
        <v>0.04354249388938137</v>
      </c>
      <c r="CD63" s="143" t="n">
        <v>0.06653370652982241</v>
      </c>
      <c r="CE63" s="143" t="n">
        <v>0.03691762384419043</v>
      </c>
    </row>
    <row r="64">
      <c r="A64" s="251" t="n">
        <v>44105</v>
      </c>
      <c r="B64" s="3" t="n">
        <v>0</v>
      </c>
      <c r="C64" s="143" t="n">
        <v>0.04850238893765284</v>
      </c>
      <c r="D64" s="143" t="n">
        <v>-0.01775151461638478</v>
      </c>
      <c r="E64" s="143" t="n">
        <v>-0.02338605148682801</v>
      </c>
      <c r="F64" s="143" t="n">
        <v>-0.03383788661330402</v>
      </c>
      <c r="G64" s="143" t="n">
        <v>-0.01804784901003684</v>
      </c>
      <c r="H64" s="143" t="n">
        <v>0.0188967195574635</v>
      </c>
      <c r="I64" s="143" t="n">
        <v>0.03409083411427224</v>
      </c>
      <c r="J64" s="143" t="n">
        <v>0.01670673228297917</v>
      </c>
      <c r="K64" s="143" t="n">
        <v>0.02991953244454485</v>
      </c>
      <c r="L64" s="143" t="n">
        <v>0.02024337786887612</v>
      </c>
      <c r="M64" s="143" t="n">
        <v>0.06247299906557614</v>
      </c>
      <c r="N64" s="143" t="n">
        <v>0.02861518095595953</v>
      </c>
      <c r="O64" s="143" t="n">
        <v>0.01360591259444529</v>
      </c>
      <c r="P64" s="143" t="n">
        <v>0.003382055036484958</v>
      </c>
      <c r="Q64" s="143" t="n">
        <v>0.00522471302222041</v>
      </c>
      <c r="R64" s="143" t="n">
        <v>0.01185076316627066</v>
      </c>
      <c r="S64" s="143" t="n">
        <v>-0.0008112909433752219</v>
      </c>
      <c r="T64" s="143" t="n">
        <v>0.006398904418633928</v>
      </c>
      <c r="U64" s="143" t="n">
        <v>-0.05269934774161941</v>
      </c>
      <c r="V64" s="143" t="n">
        <v>0.02351633707632474</v>
      </c>
      <c r="W64" s="143" t="n">
        <v>0.04027708976951723</v>
      </c>
      <c r="X64" s="143" t="n">
        <v>0.02171340509348453</v>
      </c>
      <c r="Y64" s="143" t="n">
        <v>0.04418180327382583</v>
      </c>
      <c r="Z64" s="143" t="n">
        <v>0.01963005922067959</v>
      </c>
      <c r="AA64" s="143" t="n">
        <v>0.00108102367616477</v>
      </c>
      <c r="AB64" s="143" t="n">
        <v>0.004723444109598155</v>
      </c>
      <c r="AC64" s="143" t="n">
        <v>0.004095069382521565</v>
      </c>
      <c r="AD64" s="143" t="n">
        <v>0.005946144680523698</v>
      </c>
      <c r="AE64" s="143" t="n">
        <v>-0.001556954839921593</v>
      </c>
      <c r="AF64" s="143" t="n">
        <v>0.01240257376557464</v>
      </c>
      <c r="AG64" s="143" t="n">
        <v>0.02782848707318651</v>
      </c>
      <c r="AH64" s="143" t="n">
        <v>0.0004887437954649706</v>
      </c>
      <c r="AI64" s="143" t="n">
        <v>0.01350064900855978</v>
      </c>
      <c r="AJ64" s="143" t="n">
        <v>-0.007625438688971008</v>
      </c>
      <c r="AK64" s="143" t="n">
        <v>0.008777768362560702</v>
      </c>
      <c r="AL64" s="143" t="n">
        <v>0.003164500516376601</v>
      </c>
      <c r="AM64" s="143" t="n">
        <v>0.02950107640257378</v>
      </c>
      <c r="AN64" s="143" t="n">
        <v>0.09475965374693081</v>
      </c>
      <c r="AO64" s="143" t="n">
        <v>0.1338676104414532</v>
      </c>
      <c r="AP64" s="143" t="n">
        <v>0.1145285505466318</v>
      </c>
      <c r="AQ64" s="143" t="n">
        <v>0.1369771878837594</v>
      </c>
      <c r="AR64" s="143" t="n">
        <v>0.004582179541382126</v>
      </c>
      <c r="AS64" s="143" t="n">
        <v>0.02473247061132104</v>
      </c>
      <c r="AT64" s="143" t="n">
        <v>0.007937357632761181</v>
      </c>
      <c r="AU64" s="143" t="n">
        <v>0.01971681638765277</v>
      </c>
      <c r="AV64" s="143" t="n">
        <v>0.01497938467735975</v>
      </c>
      <c r="AW64" s="143" t="n">
        <v>0.03703415511813361</v>
      </c>
      <c r="AX64" s="143" t="n">
        <v>0.04041524774685342</v>
      </c>
      <c r="AY64" s="143" t="n">
        <v>0.02267475513898012</v>
      </c>
      <c r="AZ64" s="143" t="n">
        <v>0.0269229388886962</v>
      </c>
      <c r="BA64" s="143" t="n">
        <v>0.02202004975925125</v>
      </c>
      <c r="BB64" s="143" t="n">
        <v>0.01622138269710161</v>
      </c>
      <c r="BC64" s="143" t="n">
        <v>0.04762656226949722</v>
      </c>
      <c r="BD64" s="143" t="n">
        <v>0.01357905645963611</v>
      </c>
      <c r="BE64" s="143" t="n">
        <v>0.03090536776638015</v>
      </c>
      <c r="BF64" s="143" t="n">
        <v>0.02020481680319923</v>
      </c>
      <c r="BG64" s="143" t="n">
        <v>0.02258325720021997</v>
      </c>
      <c r="BH64" s="143" t="n">
        <v>0.0210981767446614</v>
      </c>
      <c r="BI64" s="143" t="n">
        <v>0.009601714058736506</v>
      </c>
      <c r="BJ64" s="143" t="n">
        <v>0.0123930669456089</v>
      </c>
      <c r="BK64" s="143" t="n">
        <v>0.0150926900657617</v>
      </c>
      <c r="BL64" s="143" t="n">
        <v>-0.02037866439645375</v>
      </c>
      <c r="BM64" s="143" t="n">
        <v>-0.03133208707921156</v>
      </c>
      <c r="BN64" s="143" t="n">
        <v>0.003272743230701031</v>
      </c>
      <c r="BO64" s="143" t="n">
        <v>-0.01520475501547433</v>
      </c>
      <c r="BP64" s="143" t="n">
        <v>-0.01428102253470599</v>
      </c>
      <c r="BQ64" s="143" t="n">
        <v>0.0158281883064156</v>
      </c>
      <c r="BR64" s="143" t="n">
        <v>0.05135272268837244</v>
      </c>
      <c r="BS64" s="143" t="n">
        <v>0.02140405523122936</v>
      </c>
      <c r="BT64" s="143" t="n">
        <v>0.03469295225188738</v>
      </c>
      <c r="BU64" s="143" t="n">
        <v>0.02254896128434157</v>
      </c>
      <c r="BV64" s="143" t="n">
        <v>-0.04157434399576836</v>
      </c>
      <c r="BW64" s="143" t="n">
        <v>-0.09466106868422162</v>
      </c>
      <c r="BX64" s="143" t="n">
        <v>-0.0335622866340312</v>
      </c>
      <c r="BY64" s="143" t="n">
        <v>-0.09010709050629406</v>
      </c>
      <c r="BZ64" s="143" t="n">
        <v>-0.06045769206709949</v>
      </c>
      <c r="CA64" s="143" t="n">
        <v>0.03355746696435351</v>
      </c>
      <c r="CB64" s="143" t="n">
        <v>0.06301816073285411</v>
      </c>
      <c r="CC64" s="143" t="n">
        <v>0.04414885610477575</v>
      </c>
      <c r="CD64" s="143" t="n">
        <v>0.07487929472667885</v>
      </c>
      <c r="CE64" s="143" t="n">
        <v>0.04043260580386624</v>
      </c>
    </row>
    <row r="65">
      <c r="A65" s="251" t="n">
        <v>44197</v>
      </c>
      <c r="B65" s="3" t="n">
        <v>0</v>
      </c>
      <c r="C65" s="143" t="n">
        <v>0.04367724972358187</v>
      </c>
      <c r="D65" s="143" t="n">
        <v>-0.02783733104082234</v>
      </c>
      <c r="E65" s="143" t="n">
        <v>-0.03145311378989581</v>
      </c>
      <c r="F65" s="143" t="n">
        <v>-0.03603383490040751</v>
      </c>
      <c r="G65" s="143" t="n">
        <v>-0.02123684623143331</v>
      </c>
      <c r="H65" s="143" t="n">
        <v>0.01497218750002471</v>
      </c>
      <c r="I65" s="143" t="n">
        <v>0.01283461504479689</v>
      </c>
      <c r="J65" s="143" t="n">
        <v>0.01626545846829154</v>
      </c>
      <c r="K65" s="143" t="n">
        <v>0.02018742972710203</v>
      </c>
      <c r="L65" s="143" t="n">
        <v>0.01523041495462595</v>
      </c>
      <c r="M65" s="143" t="n">
        <v>0.02666660288021869</v>
      </c>
      <c r="N65" s="143" t="n">
        <v>0.02680521718168827</v>
      </c>
      <c r="O65" s="143" t="n">
        <v>0.01259848902369435</v>
      </c>
      <c r="P65" s="143" t="n">
        <v>-0.005961812194630902</v>
      </c>
      <c r="Q65" s="143" t="n">
        <v>-0.01923644339999343</v>
      </c>
      <c r="R65" s="143" t="n">
        <v>8.287246969418402e-05</v>
      </c>
      <c r="S65" s="143" t="n">
        <v>-0.01519686450029635</v>
      </c>
      <c r="T65" s="143" t="n">
        <v>-0.006942082640505574</v>
      </c>
      <c r="U65" s="143" t="n">
        <v>-0.05269934774161941</v>
      </c>
      <c r="V65" s="143" t="n">
        <v>-0.02194347742258838</v>
      </c>
      <c r="W65" s="143" t="n">
        <v>0.02134144477135023</v>
      </c>
      <c r="X65" s="143" t="n">
        <v>-0.0004849641003444813</v>
      </c>
      <c r="Y65" s="143" t="n">
        <v>0.02267137808476853</v>
      </c>
      <c r="Z65" s="143" t="n">
        <v>0.01315546860867028</v>
      </c>
      <c r="AA65" s="143" t="n">
        <v>-0.0181883836631758</v>
      </c>
      <c r="AB65" s="143" t="n">
        <v>0.001353503880400108</v>
      </c>
      <c r="AC65" s="143" t="n">
        <v>-0.006823510311078646</v>
      </c>
      <c r="AD65" s="143" t="n">
        <v>8.251317385904943e-05</v>
      </c>
      <c r="AE65" s="143" t="n">
        <v>-0.02793993783185431</v>
      </c>
      <c r="AF65" s="143" t="n">
        <v>0.002309037115905495</v>
      </c>
      <c r="AG65" s="143" t="n">
        <v>0.01527751265123026</v>
      </c>
      <c r="AH65" s="143" t="n">
        <v>0.002688913877300701</v>
      </c>
      <c r="AI65" s="143" t="n">
        <v>0.01853298631938506</v>
      </c>
      <c r="AJ65" s="143" t="n">
        <v>0.01306296380903108</v>
      </c>
      <c r="AK65" s="143" t="n">
        <v>0.01194405890520256</v>
      </c>
      <c r="AL65" s="143" t="n">
        <v>0.003503628483600936</v>
      </c>
      <c r="AM65" s="143" t="n">
        <v>0.05751975391866264</v>
      </c>
      <c r="AN65" s="143" t="n">
        <v>0.1074437691833407</v>
      </c>
      <c r="AO65" s="143" t="n">
        <v>0.1508656080846542</v>
      </c>
      <c r="AP65" s="143" t="n">
        <v>0.1289673763373194</v>
      </c>
      <c r="AQ65" s="143" t="n">
        <v>0.1625545454903445</v>
      </c>
      <c r="AR65" s="143" t="n">
        <v>0.01001735516103049</v>
      </c>
      <c r="AS65" s="143" t="n">
        <v>0.02497913926150148</v>
      </c>
      <c r="AT65" s="143" t="n">
        <v>0.02254051696529499</v>
      </c>
      <c r="AU65" s="143" t="n">
        <v>0.02749318454962714</v>
      </c>
      <c r="AV65" s="143" t="n">
        <v>0.02665152688506911</v>
      </c>
      <c r="AW65" s="143" t="n">
        <v>0.02865826030639713</v>
      </c>
      <c r="AX65" s="143" t="n">
        <v>0.01600979088248662</v>
      </c>
      <c r="AY65" s="143" t="n">
        <v>0.01792363750509086</v>
      </c>
      <c r="AZ65" s="143" t="n">
        <v>0.01568906087529633</v>
      </c>
      <c r="BA65" s="143" t="n">
        <v>0.0152065580964376</v>
      </c>
      <c r="BB65" s="143" t="n">
        <v>0.01608897734678699</v>
      </c>
      <c r="BC65" s="143" t="n">
        <v>0.04856339672582111</v>
      </c>
      <c r="BD65" s="143" t="n">
        <v>0.01375916436599139</v>
      </c>
      <c r="BE65" s="143" t="n">
        <v>0.02644897218291835</v>
      </c>
      <c r="BF65" s="143" t="n">
        <v>0.01776701695894398</v>
      </c>
      <c r="BG65" s="143" t="n">
        <v>0.01063923005180997</v>
      </c>
      <c r="BH65" s="143" t="n">
        <v>-0.01221819933674939</v>
      </c>
      <c r="BI65" s="143" t="n">
        <v>-0.0007781319648169394</v>
      </c>
      <c r="BJ65" s="143" t="n">
        <v>-0.007848027432922658</v>
      </c>
      <c r="BK65" s="143" t="n">
        <v>-0.003796991955346082</v>
      </c>
      <c r="BL65" s="143" t="n">
        <v>-0.02902569990493319</v>
      </c>
      <c r="BM65" s="143" t="n">
        <v>-0.0555710204674893</v>
      </c>
      <c r="BN65" s="143" t="n">
        <v>-0.002681903556037885</v>
      </c>
      <c r="BO65" s="143" t="n">
        <v>-0.03253500819984603</v>
      </c>
      <c r="BP65" s="143" t="n">
        <v>-0.02392482505957066</v>
      </c>
      <c r="BQ65" s="143" t="n">
        <v>0.02195358979052666</v>
      </c>
      <c r="BR65" s="143" t="n">
        <v>0.06454283881066819</v>
      </c>
      <c r="BS65" s="143" t="n">
        <v>0.02640855661531309</v>
      </c>
      <c r="BT65" s="143" t="n">
        <v>0.03851120250642871</v>
      </c>
      <c r="BU65" s="143" t="n">
        <v>0.02877825647728066</v>
      </c>
      <c r="BV65" s="143" t="n">
        <v>-0.02456400000883626</v>
      </c>
      <c r="BW65" s="143" t="n">
        <v>-0.06333712810757314</v>
      </c>
      <c r="BX65" s="143" t="n">
        <v>-0.0362435327786328</v>
      </c>
      <c r="BY65" s="143" t="n">
        <v>-0.05538251980501031</v>
      </c>
      <c r="BZ65" s="143" t="n">
        <v>-0.03594503439491967</v>
      </c>
      <c r="CA65" s="143" t="n">
        <v>0.03140304867456523</v>
      </c>
      <c r="CB65" s="143" t="n">
        <v>0.04889454227322133</v>
      </c>
      <c r="CC65" s="143" t="n">
        <v>0.0355203788269963</v>
      </c>
      <c r="CD65" s="143" t="n">
        <v>0.05635098848679639</v>
      </c>
      <c r="CE65" s="143" t="n">
        <v>0.03219617698350428</v>
      </c>
    </row>
    <row r="66">
      <c r="A66" s="251" t="n">
        <v>44287</v>
      </c>
      <c r="B66" s="3" t="n">
        <v>0</v>
      </c>
      <c r="C66" s="143" t="n">
        <v>0.03382208225140943</v>
      </c>
      <c r="D66" s="143" t="n">
        <v>-0.04963127340804927</v>
      </c>
      <c r="E66" s="143" t="n">
        <v>-0.03259902721342283</v>
      </c>
      <c r="F66" s="143" t="n">
        <v>-0.04489777202451919</v>
      </c>
      <c r="G66" s="143" t="n">
        <v>-0.02839694417175309</v>
      </c>
      <c r="H66" s="143" t="n">
        <v>0.00653992784714445</v>
      </c>
      <c r="I66" s="143" t="n">
        <v>-0.007511779706701346</v>
      </c>
      <c r="J66" s="143" t="n">
        <v>0.01218359726590902</v>
      </c>
      <c r="K66" s="143" t="n">
        <v>0.004590421147655617</v>
      </c>
      <c r="L66" s="143" t="n">
        <v>0.006435294151320858</v>
      </c>
      <c r="M66" s="143" t="n">
        <v>-0.01492841820802271</v>
      </c>
      <c r="N66" s="143" t="n">
        <v>0.02168356663412648</v>
      </c>
      <c r="O66" s="143" t="n">
        <v>0.008795323152221059</v>
      </c>
      <c r="P66" s="143" t="n">
        <v>-0.01684165760072472</v>
      </c>
      <c r="Q66" s="143" t="n">
        <v>-0.0433413693888741</v>
      </c>
      <c r="R66" s="143" t="n">
        <v>-0.009033099196667872</v>
      </c>
      <c r="S66" s="143" t="n">
        <v>-0.02867220919391847</v>
      </c>
      <c r="T66" s="143" t="n">
        <v>-0.02095873041465616</v>
      </c>
      <c r="U66" s="143" t="n">
        <v>-0.05269934774161941</v>
      </c>
      <c r="V66" s="143" t="n">
        <v>-0.04713766592753845</v>
      </c>
      <c r="W66" s="143" t="n">
        <v>0.008181429762746831</v>
      </c>
      <c r="X66" s="143" t="n">
        <v>-0.01140567564154872</v>
      </c>
      <c r="Y66" s="143" t="n">
        <v>0.009493457531979383</v>
      </c>
      <c r="Z66" s="143" t="n">
        <v>0.004070861770446286</v>
      </c>
      <c r="AA66" s="143" t="n">
        <v>-0.03923688388126745</v>
      </c>
      <c r="AB66" s="143" t="n">
        <v>-0.002644977267661218</v>
      </c>
      <c r="AC66" s="143" t="n">
        <v>-0.0197929425399155</v>
      </c>
      <c r="AD66" s="143" t="n">
        <v>-0.007057181090328193</v>
      </c>
      <c r="AE66" s="143" t="n">
        <v>-0.0416564884821953</v>
      </c>
      <c r="AF66" s="143" t="n">
        <v>-0.006188233126992235</v>
      </c>
      <c r="AG66" s="143" t="n">
        <v>0.006288547154711977</v>
      </c>
      <c r="AH66" s="143" t="n">
        <v>-0.001854018536871201</v>
      </c>
      <c r="AI66" s="143" t="n">
        <v>0.007850294027026894</v>
      </c>
      <c r="AJ66" s="143" t="n">
        <v>0.00990664405482654</v>
      </c>
      <c r="AK66" s="143" t="n">
        <v>0.005771447744424101</v>
      </c>
      <c r="AL66" s="143" t="n">
        <v>0.001150799098067266</v>
      </c>
      <c r="AM66" s="143" t="n">
        <v>0.009004412057156954</v>
      </c>
      <c r="AN66" s="143" t="n">
        <v>-0.001903956299030494</v>
      </c>
      <c r="AO66" s="143" t="n">
        <v>0.09325492322623656</v>
      </c>
      <c r="AP66" s="143" t="n">
        <v>0.03982280512677723</v>
      </c>
      <c r="AQ66" s="143" t="n">
        <v>0.07888418016018366</v>
      </c>
      <c r="AR66" s="143" t="n">
        <v>0.003865185695186233</v>
      </c>
      <c r="AS66" s="143" t="n">
        <v>0.01426305060277606</v>
      </c>
      <c r="AT66" s="143" t="n">
        <v>0.01866177401232942</v>
      </c>
      <c r="AU66" s="143" t="n">
        <v>0.01382682948856211</v>
      </c>
      <c r="AV66" s="143" t="n">
        <v>0.01390575387003005</v>
      </c>
      <c r="AW66" s="143" t="n">
        <v>0.01104708594003046</v>
      </c>
      <c r="AX66" s="143" t="n">
        <v>-0.01577586796501773</v>
      </c>
      <c r="AY66" s="143" t="n">
        <v>0.009861702093358871</v>
      </c>
      <c r="AZ66" s="143" t="n">
        <v>-0.001576403189052796</v>
      </c>
      <c r="BA66" s="143" t="n">
        <v>0.003807509977364198</v>
      </c>
      <c r="BB66" s="143" t="n">
        <v>0.01785788251201012</v>
      </c>
      <c r="BC66" s="143" t="n">
        <v>0.03759530872635199</v>
      </c>
      <c r="BD66" s="143" t="n">
        <v>0.01340260202764032</v>
      </c>
      <c r="BE66" s="143" t="n">
        <v>0.02508276922219798</v>
      </c>
      <c r="BF66" s="143" t="n">
        <v>0.01735838565276893</v>
      </c>
      <c r="BG66" s="143" t="n">
        <v>-0.0008150751977503553</v>
      </c>
      <c r="BH66" s="143" t="n">
        <v>-0.03487740472889246</v>
      </c>
      <c r="BI66" s="143" t="n">
        <v>-0.007899330054691149</v>
      </c>
      <c r="BJ66" s="143" t="n">
        <v>-0.02510173924830372</v>
      </c>
      <c r="BK66" s="143" t="n">
        <v>-0.02060354820957787</v>
      </c>
      <c r="BL66" s="143" t="n">
        <v>-0.0434134544725967</v>
      </c>
      <c r="BM66" s="143" t="n">
        <v>-0.08291340925161379</v>
      </c>
      <c r="BN66" s="143" t="n">
        <v>-0.02046843121684864</v>
      </c>
      <c r="BO66" s="143" t="n">
        <v>-0.05938827746322859</v>
      </c>
      <c r="BP66" s="143" t="n">
        <v>-0.03933651488495982</v>
      </c>
      <c r="BQ66" s="143" t="n">
        <v>0.01683837984230043</v>
      </c>
      <c r="BR66" s="143" t="n">
        <v>0.04196579872587347</v>
      </c>
      <c r="BS66" s="143" t="n">
        <v>0.02121405140317667</v>
      </c>
      <c r="BT66" s="143" t="n">
        <v>0.02597406445742615</v>
      </c>
      <c r="BU66" s="143" t="n">
        <v>0.02201082157434104</v>
      </c>
      <c r="BV66" s="143" t="n">
        <v>-0.01459259139774105</v>
      </c>
      <c r="BW66" s="143" t="n">
        <v>-0.03205357218629439</v>
      </c>
      <c r="BX66" s="143" t="n">
        <v>-0.03561347639296733</v>
      </c>
      <c r="BY66" s="143" t="n">
        <v>-0.03106929686747246</v>
      </c>
      <c r="BZ66" s="143" t="n">
        <v>-0.02344467272275118</v>
      </c>
      <c r="CA66" s="143" t="n">
        <v>0.02107877557841309</v>
      </c>
      <c r="CB66" s="143" t="n">
        <v>0.01028859559122707</v>
      </c>
      <c r="CC66" s="143" t="n">
        <v>0.02174853574300151</v>
      </c>
      <c r="CD66" s="143" t="n">
        <v>0.01743986967362455</v>
      </c>
      <c r="CE66" s="143" t="n">
        <v>0.01512097803339265</v>
      </c>
    </row>
    <row r="67">
      <c r="A67" s="251" t="n">
        <v>44378</v>
      </c>
      <c r="B67" s="3" t="n">
        <v>0</v>
      </c>
      <c r="C67" s="143" t="n">
        <v>0.0363974613561393</v>
      </c>
      <c r="D67" s="143" t="n">
        <v>-0.02973805774222501</v>
      </c>
      <c r="E67" s="143" t="n">
        <v>-0.02727959957397354</v>
      </c>
      <c r="F67" s="143" t="n">
        <v>-0.03162413720691907</v>
      </c>
      <c r="G67" s="143" t="n">
        <v>-0.02315013595562132</v>
      </c>
      <c r="H67" s="143" t="n">
        <v>0.002020370575235902</v>
      </c>
      <c r="I67" s="143" t="n">
        <v>-0.01394101248260731</v>
      </c>
      <c r="J67" s="143" t="n">
        <v>0.01046349491056119</v>
      </c>
      <c r="K67" s="143" t="n">
        <v>-0.004707349852536285</v>
      </c>
      <c r="L67" s="143" t="n">
        <v>0.001522155357375646</v>
      </c>
      <c r="M67" s="143" t="n">
        <v>-0.02844182117177994</v>
      </c>
      <c r="N67" s="143" t="n">
        <v>0.01855658455324306</v>
      </c>
      <c r="O67" s="143" t="n">
        <v>0.005578377571395132</v>
      </c>
      <c r="P67" s="143" t="n">
        <v>-0.02874548845680382</v>
      </c>
      <c r="Q67" s="143" t="n">
        <v>-0.04500377807776237</v>
      </c>
      <c r="R67" s="143" t="n">
        <v>-0.0147512996055677</v>
      </c>
      <c r="S67" s="143" t="n">
        <v>-0.04123732502424163</v>
      </c>
      <c r="T67" s="143" t="n">
        <v>-0.03533308092028319</v>
      </c>
      <c r="U67" s="143" t="n">
        <v>-0.05269934774161941</v>
      </c>
      <c r="V67" s="143" t="n">
        <v>-0.05548205849138208</v>
      </c>
      <c r="W67" s="143" t="n">
        <v>-0.002174239221481394</v>
      </c>
      <c r="X67" s="143" t="n">
        <v>-0.02002965983578551</v>
      </c>
      <c r="Y67" s="143" t="n">
        <v>-0.002420984515666734</v>
      </c>
      <c r="Z67" s="143" t="n">
        <v>-0.0009675278528796511</v>
      </c>
      <c r="AA67" s="143" t="n">
        <v>-0.04547158988173131</v>
      </c>
      <c r="AB67" s="143" t="n">
        <v>-0.005754726203796314</v>
      </c>
      <c r="AC67" s="143" t="n">
        <v>-0.02547246671402397</v>
      </c>
      <c r="AD67" s="143" t="n">
        <v>-0.0107530068739369</v>
      </c>
      <c r="AE67" s="143" t="n">
        <v>-0.04502429728039332</v>
      </c>
      <c r="AF67" s="143" t="n">
        <v>-0.01395728790430981</v>
      </c>
      <c r="AG67" s="143" t="n">
        <v>-0.001002780534751722</v>
      </c>
      <c r="AH67" s="143" t="n">
        <v>-0.005734964944015267</v>
      </c>
      <c r="AI67" s="143" t="n">
        <v>0.001731333414302352</v>
      </c>
      <c r="AJ67" s="143" t="n">
        <v>0.00349661451204156</v>
      </c>
      <c r="AK67" s="143" t="n">
        <v>0.000668869175396459</v>
      </c>
      <c r="AL67" s="143" t="n">
        <v>-0.000554443112980812</v>
      </c>
      <c r="AM67" s="143" t="n">
        <v>-0.004704772350957527</v>
      </c>
      <c r="AN67" s="143" t="n">
        <v>-0.03049781451492325</v>
      </c>
      <c r="AO67" s="143" t="n">
        <v>0.08012784000998606</v>
      </c>
      <c r="AP67" s="143" t="n">
        <v>0.006147036303677825</v>
      </c>
      <c r="AQ67" s="143" t="n">
        <v>0.04557155793750201</v>
      </c>
      <c r="AR67" s="143" t="n">
        <v>0.0002248303393091252</v>
      </c>
      <c r="AS67" s="143" t="n">
        <v>-0.00419410058115227</v>
      </c>
      <c r="AT67" s="143" t="n">
        <v>0.01747769862085661</v>
      </c>
      <c r="AU67" s="143" t="n">
        <v>0.004918701304610714</v>
      </c>
      <c r="AV67" s="143" t="n">
        <v>0.006785241868466413</v>
      </c>
      <c r="AW67" s="143" t="n">
        <v>0.002178922516566125</v>
      </c>
      <c r="AX67" s="143" t="n">
        <v>-0.02697010699839094</v>
      </c>
      <c r="AY67" s="143" t="n">
        <v>0.006402431388822954</v>
      </c>
      <c r="AZ67" s="143" t="n">
        <v>-0.01044908937830589</v>
      </c>
      <c r="BA67" s="143" t="n">
        <v>-0.002063989925812481</v>
      </c>
      <c r="BB67" s="143" t="n">
        <v>0.02142763378707189</v>
      </c>
      <c r="BC67" s="143" t="n">
        <v>0.02391001383197922</v>
      </c>
      <c r="BD67" s="143" t="n">
        <v>0.01542052533657421</v>
      </c>
      <c r="BE67" s="143" t="n">
        <v>0.02680797034239974</v>
      </c>
      <c r="BF67" s="143" t="n">
        <v>0.01930499703932603</v>
      </c>
      <c r="BG67" s="143" t="n">
        <v>-0.004731887738536291</v>
      </c>
      <c r="BH67" s="143" t="n">
        <v>-0.03379752635750848</v>
      </c>
      <c r="BI67" s="143" t="n">
        <v>-0.008081992241287276</v>
      </c>
      <c r="BJ67" s="143" t="n">
        <v>-0.02935253379273615</v>
      </c>
      <c r="BK67" s="143" t="n">
        <v>-0.02558458278909824</v>
      </c>
      <c r="BL67" s="143" t="n">
        <v>-0.04640552919800941</v>
      </c>
      <c r="BM67" s="143" t="n">
        <v>-0.08219013553917456</v>
      </c>
      <c r="BN67" s="143" t="n">
        <v>-0.0244469894456402</v>
      </c>
      <c r="BO67" s="143" t="n">
        <v>-0.06011604228733215</v>
      </c>
      <c r="BP67" s="143" t="n">
        <v>-0.03862945744462375</v>
      </c>
      <c r="BQ67" s="143" t="n">
        <v>0.0139536024447799</v>
      </c>
      <c r="BR67" s="143" t="n">
        <v>0.0161011044548899</v>
      </c>
      <c r="BS67" s="143" t="n">
        <v>0.02091685599543916</v>
      </c>
      <c r="BT67" s="143" t="n">
        <v>0.01756924618274792</v>
      </c>
      <c r="BU67" s="143" t="n">
        <v>0.01737572763741697</v>
      </c>
      <c r="BV67" s="143" t="n">
        <v>-0.002284318588884018</v>
      </c>
      <c r="BW67" s="143" t="n">
        <v>0.0006499123696472415</v>
      </c>
      <c r="BX67" s="143" t="n">
        <v>-0.0162671785047563</v>
      </c>
      <c r="BY67" s="143" t="n">
        <v>-0.003237472451795068</v>
      </c>
      <c r="BZ67" s="143" t="n">
        <v>-0.007535865897646653</v>
      </c>
      <c r="CA67" s="143" t="n">
        <v>0.008033518717789526</v>
      </c>
      <c r="CB67" s="143" t="n">
        <v>-0.0344582507745884</v>
      </c>
      <c r="CC67" s="143" t="n">
        <v>0.006978706662049394</v>
      </c>
      <c r="CD67" s="143" t="n">
        <v>-0.02517203559511619</v>
      </c>
      <c r="CE67" s="143" t="n">
        <v>-0.00326015649885983</v>
      </c>
    </row>
    <row r="68">
      <c r="A68" s="251" t="n">
        <v>44470</v>
      </c>
      <c r="B68" s="3" t="n">
        <v>0</v>
      </c>
      <c r="C68" s="143" t="n">
        <v>0.04142624296344517</v>
      </c>
      <c r="D68" s="143" t="n">
        <v>-0.01147100562783982</v>
      </c>
      <c r="E68" s="143" t="n">
        <v>-0.014741413664033</v>
      </c>
      <c r="F68" s="143" t="n">
        <v>-0.01546989308965214</v>
      </c>
      <c r="G68" s="143" t="n">
        <v>-0.0155864875851197</v>
      </c>
      <c r="H68" s="143" t="n">
        <v>-0.004025462758504678</v>
      </c>
      <c r="I68" s="143" t="n">
        <v>-0.02510026103727751</v>
      </c>
      <c r="J68" s="143" t="n">
        <v>0.005033796593415783</v>
      </c>
      <c r="K68" s="143" t="n">
        <v>-0.0155657880256876</v>
      </c>
      <c r="L68" s="143" t="n">
        <v>-0.004499429864986646</v>
      </c>
      <c r="M68" s="143" t="n">
        <v>-0.05977028264868248</v>
      </c>
      <c r="N68" s="143" t="n">
        <v>0.001260059879082902</v>
      </c>
      <c r="O68" s="143" t="n">
        <v>0.0003690383273904086</v>
      </c>
      <c r="P68" s="143" t="n">
        <v>-0.03399341388797848</v>
      </c>
      <c r="Q68" s="143" t="n">
        <v>-0.03467309551109925</v>
      </c>
      <c r="R68" s="143" t="n">
        <v>-0.02055237248416173</v>
      </c>
      <c r="S68" s="143" t="n">
        <v>-0.04420546262195572</v>
      </c>
      <c r="T68" s="143" t="n">
        <v>-0.04057938764860422</v>
      </c>
      <c r="U68" s="143" t="n">
        <v>-0.05269934774161941</v>
      </c>
      <c r="V68" s="143" t="n">
        <v>-0.05657526303043733</v>
      </c>
      <c r="W68" s="143" t="n">
        <v>-0.01203339563623971</v>
      </c>
      <c r="X68" s="143" t="n">
        <v>-0.02737560980950401</v>
      </c>
      <c r="Y68" s="143" t="n">
        <v>-0.01351755023662007</v>
      </c>
      <c r="Z68" s="143" t="n">
        <v>-0.00584202192686119</v>
      </c>
      <c r="AA68" s="143" t="n">
        <v>-0.04705835744644543</v>
      </c>
      <c r="AB68" s="143" t="n">
        <v>-0.009501097275374034</v>
      </c>
      <c r="AC68" s="143" t="n">
        <v>-0.02954289450807602</v>
      </c>
      <c r="AD68" s="143" t="n">
        <v>-0.01389424974941966</v>
      </c>
      <c r="AE68" s="143" t="n">
        <v>-0.04452049751136999</v>
      </c>
      <c r="AF68" s="143" t="n">
        <v>-0.0230178097721836</v>
      </c>
      <c r="AG68" s="143" t="n">
        <v>-0.00746183216802768</v>
      </c>
      <c r="AH68" s="143" t="n">
        <v>-0.004906575040925698</v>
      </c>
      <c r="AI68" s="143" t="n">
        <v>-0.005808996714990341</v>
      </c>
      <c r="AJ68" s="143" t="n">
        <v>0.00634381332688227</v>
      </c>
      <c r="AK68" s="143" t="n">
        <v>0.0009940405041695486</v>
      </c>
      <c r="AL68" s="143" t="n">
        <v>0.0007145931384875113</v>
      </c>
      <c r="AM68" s="143" t="n">
        <v>-0.01314829414893703</v>
      </c>
      <c r="AN68" s="143" t="n">
        <v>-0.04114629655561262</v>
      </c>
      <c r="AO68" s="143" t="n">
        <v>0.05454459460981748</v>
      </c>
      <c r="AP68" s="143" t="n">
        <v>-0.0183976540583554</v>
      </c>
      <c r="AQ68" s="143" t="n">
        <v>0.02366199591239406</v>
      </c>
      <c r="AR68" s="143" t="n">
        <v>-0.003494055309631563</v>
      </c>
      <c r="AS68" s="143" t="n">
        <v>-0.01042450004626936</v>
      </c>
      <c r="AT68" s="143" t="n">
        <v>0.01487200639985157</v>
      </c>
      <c r="AU68" s="143" t="n">
        <v>-0.003936781843503961</v>
      </c>
      <c r="AV68" s="143" t="n">
        <v>-0.0003251178135371115</v>
      </c>
      <c r="AW68" s="143" t="n">
        <v>-0.007963456276113931</v>
      </c>
      <c r="AX68" s="143" t="n">
        <v>-0.03728871906740826</v>
      </c>
      <c r="AY68" s="143" t="n">
        <v>0.001684663180194615</v>
      </c>
      <c r="AZ68" s="143" t="n">
        <v>-0.01955510670281359</v>
      </c>
      <c r="BA68" s="143" t="n">
        <v>-0.008365620233740328</v>
      </c>
      <c r="BB68" s="143" t="n">
        <v>0.01432806106853959</v>
      </c>
      <c r="BC68" s="143" t="n">
        <v>-0.003822630801886111</v>
      </c>
      <c r="BD68" s="143" t="n">
        <v>0.01438226561394885</v>
      </c>
      <c r="BE68" s="143" t="n">
        <v>0.01024729619973193</v>
      </c>
      <c r="BF68" s="143" t="n">
        <v>0.01011317698426143</v>
      </c>
      <c r="BG68" s="143" t="n">
        <v>0.001035006589608014</v>
      </c>
      <c r="BH68" s="143" t="n">
        <v>-0.02477987736229952</v>
      </c>
      <c r="BI68" s="143" t="n">
        <v>-0.0028174111091036</v>
      </c>
      <c r="BJ68" s="143" t="n">
        <v>-0.01883509410016588</v>
      </c>
      <c r="BK68" s="143" t="n">
        <v>-0.01577824340645742</v>
      </c>
      <c r="BL68" s="143" t="n">
        <v>-0.05709745171671353</v>
      </c>
      <c r="BM68" s="143" t="n">
        <v>-0.0691584387459168</v>
      </c>
      <c r="BN68" s="143" t="n">
        <v>-0.05227409228956925</v>
      </c>
      <c r="BO68" s="143" t="n">
        <v>-0.07459442169335853</v>
      </c>
      <c r="BP68" s="143" t="n">
        <v>-0.04836163260963758</v>
      </c>
      <c r="BQ68" s="143" t="n">
        <v>0.003824767569828236</v>
      </c>
      <c r="BR68" s="143" t="n">
        <v>-0.02030616090628969</v>
      </c>
      <c r="BS68" s="143" t="n">
        <v>0.0147896678656066</v>
      </c>
      <c r="BT68" s="143" t="n">
        <v>-0.0006322558967569335</v>
      </c>
      <c r="BU68" s="143" t="n">
        <v>0.004767245746917914</v>
      </c>
      <c r="BV68" s="143" t="n">
        <v>0.002039786923186567</v>
      </c>
      <c r="BW68" s="143" t="n">
        <v>0.05718511957825957</v>
      </c>
      <c r="BX68" s="143" t="n">
        <v>-0.02348481774476733</v>
      </c>
      <c r="BY68" s="143" t="n">
        <v>0.007437377550671217</v>
      </c>
      <c r="BZ68" s="143" t="n">
        <v>-0.002109021985044134</v>
      </c>
      <c r="CA68" s="143" t="n">
        <v>-0.005833516547256469</v>
      </c>
      <c r="CB68" s="143" t="n">
        <v>-0.0749011324703435</v>
      </c>
      <c r="CC68" s="143" t="n">
        <v>-0.007703671898280241</v>
      </c>
      <c r="CD68" s="143" t="n">
        <v>-0.0658953739280307</v>
      </c>
      <c r="CE68" s="143" t="n">
        <v>-0.02059108958308504</v>
      </c>
    </row>
    <row r="69">
      <c r="A69" s="251" t="n">
        <v>44562</v>
      </c>
      <c r="B69" s="3" t="n">
        <v>1</v>
      </c>
      <c r="C69" s="143" t="n">
        <v>0.03893282209738035</v>
      </c>
      <c r="D69" s="143" t="n">
        <v>-0.007691101370634197</v>
      </c>
      <c r="E69" s="143" t="n">
        <v>-0.01792245551153062</v>
      </c>
      <c r="F69" s="143" t="n">
        <v>-0.01589154645105807</v>
      </c>
      <c r="G69" s="143" t="n">
        <v>-0.01515425795638363</v>
      </c>
      <c r="H69" s="143" t="n">
        <v>0.002015417553908179</v>
      </c>
      <c r="I69" s="143" t="n">
        <v>-0.01418792955070955</v>
      </c>
      <c r="J69" s="143" t="n">
        <v>-0.0007577169877095833</v>
      </c>
      <c r="K69" s="143" t="n">
        <v>-0.008908560682919097</v>
      </c>
      <c r="L69" s="143" t="n">
        <v>0.0004783660768810655</v>
      </c>
      <c r="M69" s="143" t="n">
        <v>-0.03102404343480828</v>
      </c>
      <c r="N69" s="143" t="n">
        <v>-0.002031525018313875</v>
      </c>
      <c r="O69" s="143" t="n">
        <v>0.00607985598431075</v>
      </c>
      <c r="P69" s="143" t="n">
        <v>-0.02375355938812548</v>
      </c>
      <c r="Q69" s="143" t="n">
        <v>-0.01650534341110546</v>
      </c>
      <c r="R69" s="143" t="n">
        <v>-0.02494461337795435</v>
      </c>
      <c r="S69" s="143" t="n">
        <v>-0.02663408804348809</v>
      </c>
      <c r="T69" s="143" t="n">
        <v>-0.02588707915944258</v>
      </c>
      <c r="U69" s="143" t="n">
        <v>-0.05269934774161941</v>
      </c>
      <c r="V69" s="143" t="n">
        <v>-0.03873557130829017</v>
      </c>
      <c r="W69" s="143" t="n">
        <v>-0.02208707570302948</v>
      </c>
      <c r="X69" s="143" t="n">
        <v>-0.02754899517005807</v>
      </c>
      <c r="Y69" s="143" t="n">
        <v>-0.01837806843117197</v>
      </c>
      <c r="Z69" s="143" t="n">
        <v>-0.01090268081663153</v>
      </c>
      <c r="AA69" s="143" t="n">
        <v>-0.04444619144380949</v>
      </c>
      <c r="AB69" s="143" t="n">
        <v>-0.01294327317600687</v>
      </c>
      <c r="AC69" s="143" t="n">
        <v>-0.03219699746730418</v>
      </c>
      <c r="AD69" s="143" t="n">
        <v>-0.01666350462391927</v>
      </c>
      <c r="AE69" s="143" t="n">
        <v>-0.04657152812696847</v>
      </c>
      <c r="AF69" s="143" t="n">
        <v>-0.03722190923688604</v>
      </c>
      <c r="AG69" s="143" t="n">
        <v>-0.01589505651120893</v>
      </c>
      <c r="AH69" s="143" t="n">
        <v>-0.01264829399419561</v>
      </c>
      <c r="AI69" s="143" t="n">
        <v>-0.01651316499438753</v>
      </c>
      <c r="AJ69" s="143" t="n">
        <v>0.001665879963158616</v>
      </c>
      <c r="AK69" s="143" t="n">
        <v>-0.007357704413763379</v>
      </c>
      <c r="AL69" s="143" t="n">
        <v>-0.003250198308783301</v>
      </c>
      <c r="AM69" s="143" t="n">
        <v>-0.004768366586204405</v>
      </c>
      <c r="AN69" s="143" t="n">
        <v>-0.06009292622711886</v>
      </c>
      <c r="AO69" s="143" t="n">
        <v>0.04817330360909543</v>
      </c>
      <c r="AP69" s="143" t="n">
        <v>-0.01651095147292858</v>
      </c>
      <c r="AQ69" s="143" t="n">
        <v>0.02442674643591839</v>
      </c>
      <c r="AR69" s="143" t="n">
        <v>-0.001790677089706922</v>
      </c>
      <c r="AS69" s="143" t="n">
        <v>-0.01524136370659309</v>
      </c>
      <c r="AT69" s="143" t="n">
        <v>0.01012164930829885</v>
      </c>
      <c r="AU69" s="143" t="n">
        <v>-0.003410537424184649</v>
      </c>
      <c r="AV69" s="143" t="n">
        <v>0.003295043169059727</v>
      </c>
      <c r="AW69" s="143" t="n">
        <v>0.003355064327922153</v>
      </c>
      <c r="AX69" s="143" t="n">
        <v>-0.02096830780821285</v>
      </c>
      <c r="AY69" s="143" t="n">
        <v>-0.002671790906016956</v>
      </c>
      <c r="AZ69" s="143" t="n">
        <v>-0.01127906062667712</v>
      </c>
      <c r="BA69" s="143" t="n">
        <v>-0.002593386487974371</v>
      </c>
      <c r="BB69" s="143" t="n">
        <v>0.0178150916376079</v>
      </c>
      <c r="BC69" s="143" t="n">
        <v>0.003485037912274426</v>
      </c>
      <c r="BD69" s="143" t="n">
        <v>0.017089206075232</v>
      </c>
      <c r="BE69" s="143" t="n">
        <v>0.01152990684973516</v>
      </c>
      <c r="BF69" s="143" t="n">
        <v>0.01207332463529637</v>
      </c>
      <c r="BG69" s="143" t="n">
        <v>0.01283185496015493</v>
      </c>
      <c r="BH69" s="143" t="n">
        <v>0.002521456489073583</v>
      </c>
      <c r="BI69" s="143" t="n">
        <v>-0.007420405366552818</v>
      </c>
      <c r="BJ69" s="143" t="n">
        <v>-0.0002835771287766541</v>
      </c>
      <c r="BK69" s="143" t="n">
        <v>0.002590239088514858</v>
      </c>
      <c r="BL69" s="143" t="n">
        <v>-0.05110415618643635</v>
      </c>
      <c r="BM69" s="143" t="n">
        <v>-0.04158393230776053</v>
      </c>
      <c r="BN69" s="143" t="n">
        <v>-0.05053896301229414</v>
      </c>
      <c r="BO69" s="143" t="n">
        <v>-0.05038530893421891</v>
      </c>
      <c r="BP69" s="143" t="n">
        <v>-0.03695753060147612</v>
      </c>
      <c r="BQ69" s="143" t="n">
        <v>-0.001403542123447833</v>
      </c>
      <c r="BR69" s="143" t="n">
        <v>-0.0395132095560823</v>
      </c>
      <c r="BS69" s="143" t="n">
        <v>0.0119233783783501</v>
      </c>
      <c r="BT69" s="143" t="n">
        <v>-0.01087044505772997</v>
      </c>
      <c r="BU69" s="143" t="n">
        <v>-0.00197934818987814</v>
      </c>
      <c r="BV69" s="143" t="n">
        <v>-0.01833411597601755</v>
      </c>
      <c r="BW69" s="143" t="n">
        <v>0.008168376988582776</v>
      </c>
      <c r="BX69" s="143" t="n">
        <v>-0.03457225490334</v>
      </c>
      <c r="BY69" s="143" t="n">
        <v>-0.01894196441718289</v>
      </c>
      <c r="BZ69" s="143" t="n">
        <v>-0.02951215712926664</v>
      </c>
      <c r="CA69" s="143" t="n">
        <v>-0.009841071440987774</v>
      </c>
      <c r="CB69" s="143" t="n">
        <v>-0.07842483302015761</v>
      </c>
      <c r="CC69" s="143" t="n">
        <v>-0.01914434166812906</v>
      </c>
      <c r="CD69" s="143" t="n">
        <v>-0.07491027055585738</v>
      </c>
      <c r="CE69" s="143" t="n">
        <v>-0.02479286651244577</v>
      </c>
    </row>
    <row r="70">
      <c r="A70" s="251" t="n">
        <v>44652</v>
      </c>
      <c r="B70" s="3" t="n">
        <v>0</v>
      </c>
      <c r="C70" s="143" t="n">
        <v>0.04272236448269435</v>
      </c>
      <c r="D70" s="143" t="n">
        <v>0.01442807821327679</v>
      </c>
      <c r="E70" s="143" t="n">
        <v>-0.01775838833628328</v>
      </c>
      <c r="F70" s="143" t="n">
        <v>-0.004425426401075133</v>
      </c>
      <c r="G70" s="143" t="n">
        <v>-0.00849125237048781</v>
      </c>
      <c r="H70" s="143" t="n">
        <v>0.002466639237400285</v>
      </c>
      <c r="I70" s="143" t="n">
        <v>-0.004460334796025259</v>
      </c>
      <c r="J70" s="143" t="n">
        <v>-0.006703153256605705</v>
      </c>
      <c r="K70" s="143" t="n">
        <v>-0.008104439758425315</v>
      </c>
      <c r="L70" s="143" t="n">
        <v>-0.0001174290358310524</v>
      </c>
      <c r="M70" s="143" t="n">
        <v>-0.01481210721087147</v>
      </c>
      <c r="N70" s="143" t="n">
        <v>-0.01386562150174272</v>
      </c>
      <c r="O70" s="143" t="n">
        <v>0.007280277316368221</v>
      </c>
      <c r="P70" s="143" t="n">
        <v>0.0005660950490253606</v>
      </c>
      <c r="Q70" s="143" t="n">
        <v>0.01614911297777223</v>
      </c>
      <c r="R70" s="143" t="n">
        <v>-0.01897779555997194</v>
      </c>
      <c r="S70" s="143" t="n">
        <v>0.009399102392761359</v>
      </c>
      <c r="T70" s="143" t="n">
        <v>0.006147187681669012</v>
      </c>
      <c r="U70" s="143" t="n">
        <v>-0.05269934774161941</v>
      </c>
      <c r="V70" s="143" t="n">
        <v>-0.02632843447933569</v>
      </c>
      <c r="W70" s="143" t="n">
        <v>-0.02674154185392254</v>
      </c>
      <c r="X70" s="143" t="n">
        <v>-0.02166295571576151</v>
      </c>
      <c r="Y70" s="143" t="n">
        <v>-0.01820073062177408</v>
      </c>
      <c r="Z70" s="143" t="n">
        <v>-0.01426511277368171</v>
      </c>
      <c r="AA70" s="143" t="n">
        <v>-0.03387476819144026</v>
      </c>
      <c r="AB70" s="143" t="n">
        <v>-0.01510833407123549</v>
      </c>
      <c r="AC70" s="143" t="n">
        <v>-0.03100527479342344</v>
      </c>
      <c r="AD70" s="143" t="n">
        <v>-0.01781685175232943</v>
      </c>
      <c r="AE70" s="143" t="n">
        <v>-0.06777412983420779</v>
      </c>
      <c r="AF70" s="143" t="n">
        <v>-0.05466563421206146</v>
      </c>
      <c r="AG70" s="143" t="n">
        <v>-0.0303742449109776</v>
      </c>
      <c r="AH70" s="143" t="n">
        <v>-0.01234108660381102</v>
      </c>
      <c r="AI70" s="143" t="n">
        <v>-0.0112911480856036</v>
      </c>
      <c r="AJ70" s="143" t="n">
        <v>-0.002837899452488917</v>
      </c>
      <c r="AK70" s="143" t="n">
        <v>-0.007287377632031342</v>
      </c>
      <c r="AL70" s="143" t="n">
        <v>-0.003033505550597399</v>
      </c>
      <c r="AM70" s="143" t="n">
        <v>0.02921981372185576</v>
      </c>
      <c r="AN70" s="143" t="n">
        <v>0.01950295868685585</v>
      </c>
      <c r="AO70" s="143" t="n">
        <v>0.01790468832898585</v>
      </c>
      <c r="AP70" s="143" t="n">
        <v>0.02014933059342591</v>
      </c>
      <c r="AQ70" s="143" t="n">
        <v>0.05991169438238925</v>
      </c>
      <c r="AR70" s="143" t="n">
        <v>-0.002455341813493749</v>
      </c>
      <c r="AS70" s="143" t="n">
        <v>-0.008158299074030919</v>
      </c>
      <c r="AT70" s="143" t="n">
        <v>0.006345407505014208</v>
      </c>
      <c r="AU70" s="143" t="n">
        <v>-0.006072994955596183</v>
      </c>
      <c r="AV70" s="143" t="n">
        <v>0.001217739189643208</v>
      </c>
      <c r="AW70" s="143" t="n">
        <v>-0.002988621348249311</v>
      </c>
      <c r="AX70" s="143" t="n">
        <v>-0.01163114062654328</v>
      </c>
      <c r="AY70" s="143" t="n">
        <v>-0.01476768102497435</v>
      </c>
      <c r="AZ70" s="143" t="n">
        <v>-0.01554853023451644</v>
      </c>
      <c r="BA70" s="143" t="n">
        <v>-0.006631064207723424</v>
      </c>
      <c r="BB70" s="143" t="n">
        <v>0.01797603889717031</v>
      </c>
      <c r="BC70" s="143" t="n">
        <v>0.0002385586424087356</v>
      </c>
      <c r="BD70" s="143" t="n">
        <v>0.01242209800512465</v>
      </c>
      <c r="BE70" s="143" t="n">
        <v>0.006463641007302449</v>
      </c>
      <c r="BF70" s="143" t="n">
        <v>0.01034102474913501</v>
      </c>
      <c r="BG70" s="143" t="n">
        <v>-0.006590726338550198</v>
      </c>
      <c r="BH70" s="143" t="n">
        <v>-0.006641835086415904</v>
      </c>
      <c r="BI70" s="143" t="n">
        <v>-0.03177248224279278</v>
      </c>
      <c r="BJ70" s="143" t="n">
        <v>-0.02822187976269949</v>
      </c>
      <c r="BK70" s="143" t="n">
        <v>-0.02569626661657474</v>
      </c>
      <c r="BL70" s="143" t="n">
        <v>-0.05817343151044308</v>
      </c>
      <c r="BM70" s="143" t="n">
        <v>-0.0277998551248401</v>
      </c>
      <c r="BN70" s="143" t="n">
        <v>-0.05759185109415599</v>
      </c>
      <c r="BO70" s="143" t="n">
        <v>-0.05157329982891587</v>
      </c>
      <c r="BP70" s="143" t="n">
        <v>-0.0434574018028381</v>
      </c>
      <c r="BQ70" s="143" t="n">
        <v>0.006672487717388462</v>
      </c>
      <c r="BR70" s="143" t="n">
        <v>-0.01719761772702262</v>
      </c>
      <c r="BS70" s="143" t="n">
        <v>0.01179883212767332</v>
      </c>
      <c r="BT70" s="143" t="n">
        <v>-0.002395838306109759</v>
      </c>
      <c r="BU70" s="143" t="n">
        <v>0.005657798256652218</v>
      </c>
      <c r="BV70" s="143" t="n">
        <v>-0.02862647614786957</v>
      </c>
      <c r="BW70" s="143" t="n">
        <v>-0.01840067337521632</v>
      </c>
      <c r="BX70" s="143" t="n">
        <v>-0.03161784530423827</v>
      </c>
      <c r="BY70" s="143" t="n">
        <v>-0.02684397502883113</v>
      </c>
      <c r="BZ70" s="143" t="n">
        <v>-0.03900229238197802</v>
      </c>
      <c r="CA70" s="143" t="n">
        <v>-0.01635311564170249</v>
      </c>
      <c r="CB70" s="143" t="n">
        <v>-0.07117595939352502</v>
      </c>
      <c r="CC70" s="143" t="n">
        <v>-0.03947297728600252</v>
      </c>
      <c r="CD70" s="143" t="n">
        <v>-0.08768153066768279</v>
      </c>
      <c r="CE70" s="143" t="n">
        <v>-0.03099587738690122</v>
      </c>
    </row>
    <row r="71">
      <c r="A71" s="251" t="n">
        <v>44743</v>
      </c>
      <c r="B71" s="3" t="n">
        <v>0</v>
      </c>
      <c r="C71" s="143" t="n">
        <v>0.04497572262546948</v>
      </c>
      <c r="D71" s="143" t="n">
        <v>0.01390605615772148</v>
      </c>
      <c r="E71" s="143" t="n">
        <v>-0.007986514596834535</v>
      </c>
      <c r="F71" s="143" t="n">
        <v>0.004298874268993164</v>
      </c>
      <c r="G71" s="143" t="n">
        <v>-0.004133185595765228</v>
      </c>
      <c r="H71" s="143" t="n">
        <v>-0.007440422652425381</v>
      </c>
      <c r="I71" s="143" t="n">
        <v>-0.01035976314823126</v>
      </c>
      <c r="J71" s="143" t="n">
        <v>-0.01360593596651636</v>
      </c>
      <c r="K71" s="143" t="n">
        <v>-0.0194424688484238</v>
      </c>
      <c r="L71" s="143" t="n">
        <v>-0.009953067033366108</v>
      </c>
      <c r="M71" s="143" t="n">
        <v>-0.04207056774781563</v>
      </c>
      <c r="N71" s="143" t="n">
        <v>-0.03287427112238095</v>
      </c>
      <c r="O71" s="143" t="n">
        <v>-0.0005209975198989678</v>
      </c>
      <c r="P71" s="143" t="n">
        <v>0.008117987742666956</v>
      </c>
      <c r="Q71" s="143" t="n">
        <v>0.03419812159998829</v>
      </c>
      <c r="R71" s="143" t="n">
        <v>-0.007541394742172241</v>
      </c>
      <c r="S71" s="143" t="n">
        <v>0.02327019876607874</v>
      </c>
      <c r="T71" s="143" t="n">
        <v>0.01516924546446352</v>
      </c>
      <c r="U71" s="143" t="n">
        <v>-0.05269934774161941</v>
      </c>
      <c r="V71" s="143" t="n">
        <v>-0.02439038040254489</v>
      </c>
      <c r="W71" s="143" t="n">
        <v>-0.02907343871292457</v>
      </c>
      <c r="X71" s="143" t="n">
        <v>-0.02171718494398674</v>
      </c>
      <c r="Y71" s="143" t="n">
        <v>-0.02307750049821404</v>
      </c>
      <c r="Z71" s="143" t="n">
        <v>-0.01837134054329333</v>
      </c>
      <c r="AA71" s="143" t="n">
        <v>-0.03215264719724483</v>
      </c>
      <c r="AB71" s="143" t="n">
        <v>-0.01604084810787292</v>
      </c>
      <c r="AC71" s="143" t="n">
        <v>-0.02986106904718932</v>
      </c>
      <c r="AD71" s="143" t="n">
        <v>-0.01921289980741239</v>
      </c>
      <c r="AE71" s="143" t="n">
        <v>-0.07543964740037544</v>
      </c>
      <c r="AF71" s="143" t="n">
        <v>-0.060177288924939</v>
      </c>
      <c r="AG71" s="143" t="n">
        <v>-0.03917171638496505</v>
      </c>
      <c r="AH71" s="143" t="n">
        <v>-0.01832845194458776</v>
      </c>
      <c r="AI71" s="143" t="n">
        <v>-0.01355907349222355</v>
      </c>
      <c r="AJ71" s="143" t="n">
        <v>-0.009755117921275111</v>
      </c>
      <c r="AK71" s="143" t="n">
        <v>-0.01269214869232313</v>
      </c>
      <c r="AL71" s="143" t="n">
        <v>-0.006676728444652029</v>
      </c>
      <c r="AM71" s="143" t="n">
        <v>0.001262617229847839</v>
      </c>
      <c r="AN71" s="143" t="n">
        <v>0.005757083356204248</v>
      </c>
      <c r="AO71" s="143" t="n">
        <v>-0.02517046538584107</v>
      </c>
      <c r="AP71" s="143" t="n">
        <v>-0.01964920046636514</v>
      </c>
      <c r="AQ71" s="143" t="n">
        <v>0.009369541808943352</v>
      </c>
      <c r="AR71" s="143" t="n">
        <v>0.002025383543889524</v>
      </c>
      <c r="AS71" s="143" t="n">
        <v>0.002324086323728303</v>
      </c>
      <c r="AT71" s="143" t="n">
        <v>-0.001943732262921554</v>
      </c>
      <c r="AU71" s="143" t="n">
        <v>0.0003683612238126163</v>
      </c>
      <c r="AV71" s="143" t="n">
        <v>0.008614771480527927</v>
      </c>
      <c r="AW71" s="143" t="n">
        <v>-0.01946984595259355</v>
      </c>
      <c r="AX71" s="143" t="n">
        <v>-0.01793994882370712</v>
      </c>
      <c r="AY71" s="143" t="n">
        <v>-0.02419882407008658</v>
      </c>
      <c r="AZ71" s="143" t="n">
        <v>-0.02496920126844119</v>
      </c>
      <c r="BA71" s="143" t="n">
        <v>-0.01576734615825974</v>
      </c>
      <c r="BB71" s="143" t="n">
        <v>0.01317076689935252</v>
      </c>
      <c r="BC71" s="143" t="n">
        <v>-0.01667067719288758</v>
      </c>
      <c r="BD71" s="143" t="n">
        <v>0.002376911362150068</v>
      </c>
      <c r="BE71" s="143" t="n">
        <v>-0.005364650737257681</v>
      </c>
      <c r="BF71" s="143" t="n">
        <v>0.00376610695013182</v>
      </c>
      <c r="BG71" s="143" t="n">
        <v>-0.03355907230355949</v>
      </c>
      <c r="BH71" s="143" t="n">
        <v>-0.03315044506999829</v>
      </c>
      <c r="BI71" s="143" t="n">
        <v>-0.05123174804821892</v>
      </c>
      <c r="BJ71" s="143" t="n">
        <v>-0.06237600969035671</v>
      </c>
      <c r="BK71" s="143" t="n">
        <v>-0.0629725835641467</v>
      </c>
      <c r="BL71" s="143" t="n">
        <v>-0.07127424050459019</v>
      </c>
      <c r="BM71" s="143" t="n">
        <v>-0.0468392714766237</v>
      </c>
      <c r="BN71" s="143" t="n">
        <v>-0.06711971178406974</v>
      </c>
      <c r="BO71" s="143" t="n">
        <v>-0.06257242104993449</v>
      </c>
      <c r="BP71" s="143" t="n">
        <v>-0.05662255844170828</v>
      </c>
      <c r="BQ71" s="143" t="n">
        <v>0.008842990647618487</v>
      </c>
      <c r="BR71" s="143" t="n">
        <v>-0.008645610927093629</v>
      </c>
      <c r="BS71" s="143" t="n">
        <v>0.003551577589307202</v>
      </c>
      <c r="BT71" s="143" t="n">
        <v>-0.001932574901355172</v>
      </c>
      <c r="BU71" s="143" t="n">
        <v>0.006520817190252695</v>
      </c>
      <c r="BV71" s="143" t="n">
        <v>-0.002526278684059409</v>
      </c>
      <c r="BW71" s="143" t="n">
        <v>-0.0003172484853930318</v>
      </c>
      <c r="BX71" s="143" t="n">
        <v>0.0002084683878155228</v>
      </c>
      <c r="BY71" s="143" t="n">
        <v>0.02168807250646432</v>
      </c>
      <c r="BZ71" s="143" t="n">
        <v>0.002069045117730458</v>
      </c>
      <c r="CA71" s="143" t="n">
        <v>-0.02519572563810132</v>
      </c>
      <c r="CB71" s="143" t="n">
        <v>-0.06318471415308585</v>
      </c>
      <c r="CC71" s="143" t="n">
        <v>-0.06330145199327161</v>
      </c>
      <c r="CD71" s="143" t="n">
        <v>-0.1012049807137986</v>
      </c>
      <c r="CE71" s="143" t="n">
        <v>-0.03914404456771498</v>
      </c>
    </row>
    <row r="72">
      <c r="A72" s="251" t="n">
        <v>44835</v>
      </c>
      <c r="B72" s="3" t="n">
        <v>0</v>
      </c>
      <c r="C72" s="143" t="n">
        <v>0.04300371819239229</v>
      </c>
      <c r="D72" s="143" t="n">
        <v>0.002557215085017594</v>
      </c>
      <c r="E72" s="143" t="n">
        <v>-0.00449659620758608</v>
      </c>
      <c r="F72" s="143" t="n">
        <v>0.002979626291698517</v>
      </c>
      <c r="G72" s="143" t="n">
        <v>-0.004049291322288684</v>
      </c>
      <c r="H72" s="143" t="n">
        <v>-0.009804338705715994</v>
      </c>
      <c r="I72" s="143" t="n">
        <v>-0.006327988006447445</v>
      </c>
      <c r="J72" s="143" t="n">
        <v>-0.01759658829514879</v>
      </c>
      <c r="K72" s="143" t="n">
        <v>-0.01889803977884493</v>
      </c>
      <c r="L72" s="143" t="n">
        <v>-0.0125800765358615</v>
      </c>
      <c r="M72" s="143" t="n">
        <v>-0.02571246485257464</v>
      </c>
      <c r="N72" s="143" t="n">
        <v>-0.03985374854973041</v>
      </c>
      <c r="O72" s="143" t="n">
        <v>-0.005284923204930501</v>
      </c>
      <c r="P72" s="143" t="n">
        <v>0.00517402957395924</v>
      </c>
      <c r="Q72" s="143" t="n">
        <v>0.03633550419998757</v>
      </c>
      <c r="R72" s="143" t="n">
        <v>0.001160214575718812</v>
      </c>
      <c r="S72" s="143" t="n">
        <v>0.02142995345549599</v>
      </c>
      <c r="T72" s="143" t="n">
        <v>0.01005542122928197</v>
      </c>
      <c r="U72" s="143" t="n">
        <v>-0.05269934774161941</v>
      </c>
      <c r="V72" s="143" t="n">
        <v>-0.01681198689039202</v>
      </c>
      <c r="W72" s="143" t="n">
        <v>-0.02671284040439561</v>
      </c>
      <c r="X72" s="143" t="n">
        <v>-0.0187186916848639</v>
      </c>
      <c r="Y72" s="143" t="n">
        <v>-0.02448294718385285</v>
      </c>
      <c r="Z72" s="143" t="n">
        <v>-0.01703150310192994</v>
      </c>
      <c r="AA72" s="143" t="n">
        <v>-0.02067198992209141</v>
      </c>
      <c r="AB72" s="143" t="n">
        <v>-0.01399630135271791</v>
      </c>
      <c r="AC72" s="143" t="n">
        <v>-0.02088793337647602</v>
      </c>
      <c r="AD72" s="143" t="n">
        <v>-0.0163897259077104</v>
      </c>
      <c r="AE72" s="143" t="n">
        <v>-0.06171790580899834</v>
      </c>
      <c r="AF72" s="143" t="n">
        <v>-0.05307097578844788</v>
      </c>
      <c r="AG72" s="143" t="n">
        <v>-0.04084490202435879</v>
      </c>
      <c r="AH72" s="143" t="n">
        <v>-0.02563104199635928</v>
      </c>
      <c r="AI72" s="143" t="n">
        <v>-0.02231348398764442</v>
      </c>
      <c r="AJ72" s="143" t="n">
        <v>-0.02319446603371778</v>
      </c>
      <c r="AK72" s="143" t="n">
        <v>-0.018427249192195</v>
      </c>
      <c r="AL72" s="143" t="n">
        <v>-0.01064438693425901</v>
      </c>
      <c r="AM72" s="143" t="n">
        <v>0.01778037087380894</v>
      </c>
      <c r="AN72" s="143" t="n">
        <v>0.02983865896820436</v>
      </c>
      <c r="AO72" s="143" t="n">
        <v>-0.0115040456429353</v>
      </c>
      <c r="AP72" s="143" t="n">
        <v>0.006310643869334337</v>
      </c>
      <c r="AQ72" s="143" t="n">
        <v>0.02177300885197095</v>
      </c>
      <c r="AR72" s="143" t="n">
        <v>0.004093591061040246</v>
      </c>
      <c r="AS72" s="143" t="n">
        <v>0.009793848420866053</v>
      </c>
      <c r="AT72" s="143" t="n">
        <v>-0.0006555126016252656</v>
      </c>
      <c r="AU72" s="143" t="n">
        <v>0.004093378907173765</v>
      </c>
      <c r="AV72" s="143" t="n">
        <v>0.01021510604800341</v>
      </c>
      <c r="AW72" s="143" t="n">
        <v>-0.02783380508911146</v>
      </c>
      <c r="AX72" s="143" t="n">
        <v>-0.01646620413175966</v>
      </c>
      <c r="AY72" s="143" t="n">
        <v>-0.02896469188438676</v>
      </c>
      <c r="AZ72" s="143" t="n">
        <v>-0.02618207583670005</v>
      </c>
      <c r="BA72" s="143" t="n">
        <v>-0.01989803397531641</v>
      </c>
      <c r="BB72" s="143" t="n">
        <v>-0.002129652172118106</v>
      </c>
      <c r="BC72" s="143" t="n">
        <v>-0.03322824849897725</v>
      </c>
      <c r="BD72" s="143" t="n">
        <v>-0.0121650173735978</v>
      </c>
      <c r="BE72" s="143" t="n">
        <v>-0.03142634057029853</v>
      </c>
      <c r="BF72" s="143" t="n">
        <v>-0.01297563846989491</v>
      </c>
      <c r="BG72" s="143" t="n">
        <v>-0.0379149592337783</v>
      </c>
      <c r="BH72" s="143" t="n">
        <v>-0.04479135656116541</v>
      </c>
      <c r="BI72" s="143" t="n">
        <v>-0.05323919234252135</v>
      </c>
      <c r="BJ72" s="143" t="n">
        <v>-0.05793283916874584</v>
      </c>
      <c r="BK72" s="143" t="n">
        <v>-0.06469351851082651</v>
      </c>
      <c r="BL72" s="143" t="n">
        <v>-0.06178657663971632</v>
      </c>
      <c r="BM72" s="143" t="n">
        <v>-0.008831788368471242</v>
      </c>
      <c r="BN72" s="143" t="n">
        <v>-0.04056967854816953</v>
      </c>
      <c r="BO72" s="143" t="n">
        <v>-0.02806139207106929</v>
      </c>
      <c r="BP72" s="143" t="n">
        <v>-0.03889628054155062</v>
      </c>
      <c r="BQ72" s="143" t="n">
        <v>-0.0003355559865317453</v>
      </c>
      <c r="BR72" s="143" t="n">
        <v>-0.007038010364842993</v>
      </c>
      <c r="BS72" s="143" t="n">
        <v>-0.01302595804324148</v>
      </c>
      <c r="BT72" s="143" t="n">
        <v>-0.01517468914906065</v>
      </c>
      <c r="BU72" s="143" t="n">
        <v>-0.004912054616222371</v>
      </c>
      <c r="BV72" s="143" t="n">
        <v>0.005646578631083567</v>
      </c>
      <c r="BW72" s="143" t="n">
        <v>0.004729082312639309</v>
      </c>
      <c r="BX72" s="143" t="n">
        <v>0.03879938418928968</v>
      </c>
      <c r="BY72" s="143" t="n">
        <v>0.03447043518174676</v>
      </c>
      <c r="BZ72" s="143" t="n">
        <v>0.01515964457006009</v>
      </c>
      <c r="CA72" s="143" t="n">
        <v>-0.03487409411463858</v>
      </c>
      <c r="CB72" s="143" t="n">
        <v>-0.05522005173464811</v>
      </c>
      <c r="CC72" s="143" t="n">
        <v>-0.08435692117052268</v>
      </c>
      <c r="CD72" s="143" t="n">
        <v>-0.1103123558732808</v>
      </c>
      <c r="CE72" s="143" t="n">
        <v>-0.04750461840805178</v>
      </c>
    </row>
    <row r="73">
      <c r="A73" s="251" t="n">
        <v>44927</v>
      </c>
      <c r="B73" s="3" t="n">
        <v>0</v>
      </c>
      <c r="C73" s="143" t="n">
        <v>0.04716020526133501</v>
      </c>
      <c r="D73" s="143" t="n">
        <v>0.01333725433592202</v>
      </c>
      <c r="E73" s="143" t="n">
        <v>0.002848223759487822</v>
      </c>
      <c r="F73" s="143" t="n">
        <v>0.01148612537829636</v>
      </c>
      <c r="G73" s="143" t="n">
        <v>0.0009341275921888226</v>
      </c>
      <c r="H73" s="143" t="n">
        <v>-0.004599398235907476</v>
      </c>
      <c r="I73" s="143" t="n">
        <v>-0.007243359325443227</v>
      </c>
      <c r="J73" s="143" t="n">
        <v>-0.0119993183986608</v>
      </c>
      <c r="K73" s="143" t="n">
        <v>-0.007225242910689615</v>
      </c>
      <c r="L73" s="143" t="n">
        <v>-0.00819638656903642</v>
      </c>
      <c r="M73" s="143" t="n">
        <v>-0.03005671945842789</v>
      </c>
      <c r="N73" s="143" t="n">
        <v>-0.02847706042130828</v>
      </c>
      <c r="O73" s="143" t="n">
        <v>-0.007904310355212484</v>
      </c>
      <c r="P73" s="143" t="n">
        <v>0.01720585861128652</v>
      </c>
      <c r="Q73" s="143" t="n">
        <v>0.03799791288887591</v>
      </c>
      <c r="R73" s="143" t="n">
        <v>0.0149999170146503</v>
      </c>
      <c r="S73" s="143" t="n">
        <v>0.03603319043624954</v>
      </c>
      <c r="T73" s="143" t="n">
        <v>0.02423104799519985</v>
      </c>
      <c r="U73" s="143" t="n">
        <v>-0.05269934774161941</v>
      </c>
      <c r="V73" s="143" t="n">
        <v>-0.01730038147380438</v>
      </c>
      <c r="W73" s="143" t="n">
        <v>-0.0203969962792063</v>
      </c>
      <c r="X73" s="143" t="n">
        <v>-0.01609146121562293</v>
      </c>
      <c r="Y73" s="143" t="n">
        <v>-0.02488979967615945</v>
      </c>
      <c r="Z73" s="143" t="n">
        <v>-0.01559170207554261</v>
      </c>
      <c r="AA73" s="143" t="n">
        <v>-0.008662725169479236</v>
      </c>
      <c r="AB73" s="143" t="n">
        <v>-0.0109748204507402</v>
      </c>
      <c r="AC73" s="143" t="n">
        <v>-0.01268996804636156</v>
      </c>
      <c r="AD73" s="143" t="n">
        <v>-0.01328755938101382</v>
      </c>
      <c r="AE73" s="143" t="n">
        <v>-0.04132447589997286</v>
      </c>
      <c r="AF73" s="143" t="n">
        <v>-0.04390810249235727</v>
      </c>
      <c r="AG73" s="143" t="n">
        <v>-0.04389157174176696</v>
      </c>
      <c r="AH73" s="143" t="n">
        <v>-0.02351612661528736</v>
      </c>
      <c r="AI73" s="143" t="n">
        <v>-0.0117011071837267</v>
      </c>
      <c r="AJ73" s="143" t="n">
        <v>-0.0232701725221569</v>
      </c>
      <c r="AK73" s="143" t="n">
        <v>-0.01322366123299229</v>
      </c>
      <c r="AL73" s="143" t="n">
        <v>-0.008687086842829326</v>
      </c>
      <c r="AM73" s="143" t="n">
        <v>0.02277840184254871</v>
      </c>
      <c r="AN73" s="143" t="n">
        <v>0.02657594914675973</v>
      </c>
      <c r="AO73" s="143" t="n">
        <v>-0.0340991503455183</v>
      </c>
      <c r="AP73" s="143" t="n">
        <v>0.01481740589256507</v>
      </c>
      <c r="AQ73" s="143" t="n">
        <v>0.01879863827528929</v>
      </c>
      <c r="AR73" s="143" t="n">
        <v>0.004699718396625066</v>
      </c>
      <c r="AS73" s="143" t="n">
        <v>0.008377558267647701</v>
      </c>
      <c r="AT73" s="143" t="n">
        <v>-0.00713438414981552</v>
      </c>
      <c r="AU73" s="143" t="n">
        <v>0.005198314376531886</v>
      </c>
      <c r="AV73" s="143" t="n">
        <v>0.008389216073423704</v>
      </c>
      <c r="AW73" s="143" t="n">
        <v>-0.01671176602833199</v>
      </c>
      <c r="AX73" s="143" t="n">
        <v>-0.01662902488693786</v>
      </c>
      <c r="AY73" s="143" t="n">
        <v>-0.02025851945048779</v>
      </c>
      <c r="AZ73" s="143" t="n">
        <v>-0.01150943635324283</v>
      </c>
      <c r="BA73" s="143" t="n">
        <v>-0.01325918397712012</v>
      </c>
      <c r="BB73" s="143" t="n">
        <v>-0.00474174123013221</v>
      </c>
      <c r="BC73" s="143" t="n">
        <v>-0.04554241752295916</v>
      </c>
      <c r="BD73" s="143" t="n">
        <v>-0.01380881542641433</v>
      </c>
      <c r="BE73" s="143" t="n">
        <v>-0.03195293169593014</v>
      </c>
      <c r="BF73" s="143" t="n">
        <v>-0.01605939526001215</v>
      </c>
      <c r="BG73" s="143" t="n">
        <v>-0.0360515260804365</v>
      </c>
      <c r="BH73" s="143" t="n">
        <v>-0.05621450247306234</v>
      </c>
      <c r="BI73" s="143" t="n">
        <v>-0.04108845339356965</v>
      </c>
      <c r="BJ73" s="143" t="n">
        <v>-0.04359647734207597</v>
      </c>
      <c r="BK73" s="143" t="n">
        <v>-0.0569076820541824</v>
      </c>
      <c r="BL73" s="143" t="n">
        <v>-0.05144966330648993</v>
      </c>
      <c r="BM73" s="143" t="n">
        <v>-0.0006507495138686227</v>
      </c>
      <c r="BN73" s="143" t="n">
        <v>-0.02197002789304108</v>
      </c>
      <c r="BO73" s="143" t="n">
        <v>0.001597179903201675</v>
      </c>
      <c r="BP73" s="143" t="n">
        <v>-0.01917576668072177</v>
      </c>
      <c r="BQ73" s="143" t="n">
        <v>-0.009244397512138144</v>
      </c>
      <c r="BR73" s="143" t="n">
        <v>-0.01326435810755064</v>
      </c>
      <c r="BS73" s="143" t="n">
        <v>-0.02514167919715285</v>
      </c>
      <c r="BT73" s="143" t="n">
        <v>-0.02455001552061758</v>
      </c>
      <c r="BU73" s="143" t="n">
        <v>-0.015481764408167</v>
      </c>
      <c r="BV73" s="143" t="n">
        <v>-0.006298182092635173</v>
      </c>
      <c r="BW73" s="143" t="n">
        <v>0.01578103939835973</v>
      </c>
      <c r="BX73" s="143" t="n">
        <v>0.01500823040800343</v>
      </c>
      <c r="BY73" s="143" t="n">
        <v>0.006448369637988701</v>
      </c>
      <c r="BZ73" s="143" t="n">
        <v>0.002041629096715053</v>
      </c>
      <c r="CA73" s="143" t="n">
        <v>-0.04239159652678529</v>
      </c>
      <c r="CB73" s="143" t="n">
        <v>-0.06189414363599144</v>
      </c>
      <c r="CC73" s="143" t="n">
        <v>-0.09096809965903385</v>
      </c>
      <c r="CD73" s="143" t="n">
        <v>-0.1074164170148563</v>
      </c>
      <c r="CE73" s="143" t="n">
        <v>-0.05268866778578558</v>
      </c>
    </row>
    <row r="74">
      <c r="A74" s="251" t="n">
        <v>45017</v>
      </c>
      <c r="B74" s="3" t="n">
        <v>0</v>
      </c>
      <c r="C74" s="143" t="n">
        <v>0.05355644708025735</v>
      </c>
      <c r="D74" s="143" t="n">
        <v>0.01756292519997684</v>
      </c>
      <c r="E74" s="143" t="n">
        <v>0.01613798573500747</v>
      </c>
      <c r="F74" s="143" t="n">
        <v>0.02195433969668372</v>
      </c>
      <c r="G74" s="143" t="n">
        <v>0.007729564108182224</v>
      </c>
      <c r="H74" s="143" t="n">
        <v>-0.004700798005288787</v>
      </c>
      <c r="I74" s="143" t="n">
        <v>-0.007848491181159227</v>
      </c>
      <c r="J74" s="143" t="n">
        <v>-0.006891677064662738</v>
      </c>
      <c r="K74" s="143" t="n">
        <v>-0.004112015992378005</v>
      </c>
      <c r="L74" s="143" t="n">
        <v>-0.007711927996564167</v>
      </c>
      <c r="M74" s="143" t="n">
        <v>-0.02375608220993086</v>
      </c>
      <c r="N74" s="143" t="n">
        <v>-0.01798125315488279</v>
      </c>
      <c r="O74" s="143" t="n">
        <v>-0.01228720356647707</v>
      </c>
      <c r="P74" s="143" t="n">
        <v>0.02168579495497221</v>
      </c>
      <c r="Q74" s="143" t="n">
        <v>0.01959267383332667</v>
      </c>
      <c r="R74" s="143" t="n">
        <v>0.02494461337795436</v>
      </c>
      <c r="S74" s="143" t="n">
        <v>0.03799216125074086</v>
      </c>
      <c r="T74" s="143" t="n">
        <v>0.02954359597009058</v>
      </c>
      <c r="U74" s="143" t="n">
        <v>-0.05269934774161941</v>
      </c>
      <c r="V74" s="143" t="n">
        <v>-0.02425330528106605</v>
      </c>
      <c r="W74" s="143" t="n">
        <v>-0.01841167155131098</v>
      </c>
      <c r="X74" s="143" t="n">
        <v>-0.0148396300624954</v>
      </c>
      <c r="Y74" s="143" t="n">
        <v>-0.02405683657912643</v>
      </c>
      <c r="Z74" s="143" t="n">
        <v>-0.01527049856701137</v>
      </c>
      <c r="AA74" s="143" t="n">
        <v>-0.001857398449700419</v>
      </c>
      <c r="AB74" s="143" t="n">
        <v>-0.007383959948908544</v>
      </c>
      <c r="AC74" s="143" t="n">
        <v>-0.007361321565699196</v>
      </c>
      <c r="AD74" s="143" t="n">
        <v>-0.01081957550568549</v>
      </c>
      <c r="AE74" s="143" t="n">
        <v>-0.001234502324424995</v>
      </c>
      <c r="AF74" s="143" t="n">
        <v>-0.0344729902937326</v>
      </c>
      <c r="AG74" s="143" t="n">
        <v>-0.04193228806167281</v>
      </c>
      <c r="AH74" s="143" t="n">
        <v>-0.02175127327139159</v>
      </c>
      <c r="AI74" s="143" t="n">
        <v>-0.0101316984402705</v>
      </c>
      <c r="AJ74" s="143" t="n">
        <v>-0.0176688355250034</v>
      </c>
      <c r="AK74" s="143" t="n">
        <v>-0.008348356057966749</v>
      </c>
      <c r="AL74" s="143" t="n">
        <v>-0.007171362886252875</v>
      </c>
      <c r="AM74" s="143" t="n">
        <v>-0.02070641212025417</v>
      </c>
      <c r="AN74" s="143" t="n">
        <v>-0.04816669666720731</v>
      </c>
      <c r="AO74" s="143" t="n">
        <v>-0.02916161288988399</v>
      </c>
      <c r="AP74" s="143" t="n">
        <v>-0.03670151306310983</v>
      </c>
      <c r="AQ74" s="143" t="n">
        <v>-0.04830993123809148</v>
      </c>
      <c r="AR74" s="143" t="n">
        <v>0.00199083019497913</v>
      </c>
      <c r="AS74" s="143" t="n">
        <v>0.005738951524203081</v>
      </c>
      <c r="AT74" s="143" t="n">
        <v>-0.002514720873999425</v>
      </c>
      <c r="AU74" s="143" t="n">
        <v>0.001812990725054053</v>
      </c>
      <c r="AV74" s="143" t="n">
        <v>0.0009342561706444209</v>
      </c>
      <c r="AW74" s="143" t="n">
        <v>-0.0121727475574979</v>
      </c>
      <c r="AX74" s="143" t="n">
        <v>-0.007610721802448212</v>
      </c>
      <c r="AY74" s="143" t="n">
        <v>-0.01036806646476845</v>
      </c>
      <c r="AZ74" s="143" t="n">
        <v>-0.003719135994108041</v>
      </c>
      <c r="BA74" s="143" t="n">
        <v>-0.009685070006297125</v>
      </c>
      <c r="BB74" s="143" t="n">
        <v>-0.003672965777369919</v>
      </c>
      <c r="BC74" s="143" t="n">
        <v>-0.04370950548002108</v>
      </c>
      <c r="BD74" s="143" t="n">
        <v>-0.01427293585213179</v>
      </c>
      <c r="BE74" s="143" t="n">
        <v>-0.025875283480023</v>
      </c>
      <c r="BF74" s="143" t="n">
        <v>-0.01524992170178385</v>
      </c>
      <c r="BG74" s="143" t="n">
        <v>-0.03415339961299834</v>
      </c>
      <c r="BH74" s="143" t="n">
        <v>-0.03169629293162183</v>
      </c>
      <c r="BI74" s="143" t="n">
        <v>-0.02933814532957565</v>
      </c>
      <c r="BJ74" s="143" t="n">
        <v>-0.03183246464468257</v>
      </c>
      <c r="BK74" s="143" t="n">
        <v>-0.04724150415532799</v>
      </c>
      <c r="BL74" s="143" t="n">
        <v>-0.03276776820346809</v>
      </c>
      <c r="BM74" s="143" t="n">
        <v>0.04785060013802179</v>
      </c>
      <c r="BN74" s="143" t="n">
        <v>0.01043018221556152</v>
      </c>
      <c r="BO74" s="143" t="n">
        <v>0.0426733858351238</v>
      </c>
      <c r="BP74" s="143" t="n">
        <v>0.01072797085946771</v>
      </c>
      <c r="BQ74" s="143" t="n">
        <v>-0.01399399719979091</v>
      </c>
      <c r="BR74" s="143" t="n">
        <v>-0.03496144784932068</v>
      </c>
      <c r="BS74" s="143" t="n">
        <v>-0.02484704301458924</v>
      </c>
      <c r="BT74" s="143" t="n">
        <v>-0.02570669395587604</v>
      </c>
      <c r="BU74" s="143" t="n">
        <v>-0.02106345446272963</v>
      </c>
      <c r="BV74" s="143" t="n">
        <v>0.0071964072594506</v>
      </c>
      <c r="BW74" s="143" t="n">
        <v>0.04696954468936466</v>
      </c>
      <c r="BX74" s="143" t="n">
        <v>0.01790307522537824</v>
      </c>
      <c r="BY74" s="143" t="n">
        <v>0.02405126672696722</v>
      </c>
      <c r="BZ74" s="143" t="n">
        <v>0.02331825597995022</v>
      </c>
      <c r="CA74" s="143" t="n">
        <v>-0.03786369960474997</v>
      </c>
      <c r="CB74" s="143" t="n">
        <v>-0.04090192615921344</v>
      </c>
      <c r="CC74" s="143" t="n">
        <v>-0.07265953975362401</v>
      </c>
      <c r="CD74" s="143" t="n">
        <v>-0.06899112891842854</v>
      </c>
      <c r="CE74" s="143" t="n">
        <v>-0.0430214132978118</v>
      </c>
    </row>
    <row r="75">
      <c r="A75" s="251" t="n">
        <v>45108</v>
      </c>
      <c r="B75" s="3" t="n">
        <v>0</v>
      </c>
      <c r="C75" s="143" t="n">
        <v>0.05030361823415377</v>
      </c>
      <c r="D75" s="143" t="n">
        <v>0.008636950217608243</v>
      </c>
      <c r="E75" s="143" t="n">
        <v>0.01137190698927982</v>
      </c>
      <c r="F75" s="143" t="n">
        <v>0.0119097940704003</v>
      </c>
      <c r="G75" s="143" t="n">
        <v>0.005614375643027834</v>
      </c>
      <c r="H75" s="143" t="n">
        <v>-0.001099715996442572</v>
      </c>
      <c r="I75" s="143" t="n">
        <v>0.006943204186762844</v>
      </c>
      <c r="J75" s="143" t="n">
        <v>-0.001912921758619719</v>
      </c>
      <c r="K75" s="143" t="n">
        <v>0.002534052130016048</v>
      </c>
      <c r="L75" s="143" t="n">
        <v>-0.003234331152255818</v>
      </c>
      <c r="M75" s="143" t="n">
        <v>0.02692676917390026</v>
      </c>
      <c r="N75" s="143" t="n">
        <v>-0.007060338584036666</v>
      </c>
      <c r="O75" s="143" t="n">
        <v>-0.01001082883801137</v>
      </c>
      <c r="P75" s="143" t="n">
        <v>0.01093394773012655</v>
      </c>
      <c r="Q75" s="143" t="n">
        <v>0.002612356511110238</v>
      </c>
      <c r="R75" s="143" t="n">
        <v>0.02569046560520215</v>
      </c>
      <c r="S75" s="143" t="n">
        <v>0.01873884203356851</v>
      </c>
      <c r="T75" s="143" t="n">
        <v>0.01703724861772936</v>
      </c>
      <c r="U75" s="143" t="n">
        <v>-0.05269934774161941</v>
      </c>
      <c r="V75" s="143" t="n">
        <v>-0.01689820521209299</v>
      </c>
      <c r="W75" s="143" t="n">
        <v>-0.01502897845656977</v>
      </c>
      <c r="X75" s="143" t="n">
        <v>-0.01212897880366656</v>
      </c>
      <c r="Y75" s="143" t="n">
        <v>-0.02066398335609011</v>
      </c>
      <c r="Z75" s="143" t="n">
        <v>-0.01140866002001206</v>
      </c>
      <c r="AA75" s="143" t="n">
        <v>0.01286319350790884</v>
      </c>
      <c r="AB75" s="143" t="n">
        <v>-0.003986115784940721</v>
      </c>
      <c r="AC75" s="143" t="n">
        <v>0.001186494986948891</v>
      </c>
      <c r="AD75" s="143" t="n">
        <v>-0.005765673777146495</v>
      </c>
      <c r="AE75" s="143" t="n">
        <v>0.02570145822933388</v>
      </c>
      <c r="AF75" s="143" t="n">
        <v>-0.0248465164268099</v>
      </c>
      <c r="AG75" s="143" t="n">
        <v>-0.03590659691429403</v>
      </c>
      <c r="AH75" s="143" t="n">
        <v>-0.01906342991753655</v>
      </c>
      <c r="AI75" s="143" t="n">
        <v>-0.0007913312929076019</v>
      </c>
      <c r="AJ75" s="143" t="n">
        <v>-0.01183572601145536</v>
      </c>
      <c r="AK75" s="143" t="n">
        <v>-0.003342942250367927</v>
      </c>
      <c r="AL75" s="143" t="n">
        <v>-0.004917621874156694</v>
      </c>
      <c r="AM75" s="143" t="n">
        <v>-0.02613430163034545</v>
      </c>
      <c r="AN75" s="143" t="n">
        <v>-0.02643138066410776</v>
      </c>
      <c r="AO75" s="143" t="n">
        <v>-0.02103339959626788</v>
      </c>
      <c r="AP75" s="143" t="n">
        <v>-0.03895752910447236</v>
      </c>
      <c r="AQ75" s="143" t="n">
        <v>-0.05206099310068286</v>
      </c>
      <c r="AR75" s="143" t="n">
        <v>0.004531669133300972</v>
      </c>
      <c r="AS75" s="143" t="n">
        <v>0.003235019130171105</v>
      </c>
      <c r="AT75" s="143" t="n">
        <v>0.00577825146563985</v>
      </c>
      <c r="AU75" s="143" t="n">
        <v>0.006408822833896996</v>
      </c>
      <c r="AV75" s="143" t="n">
        <v>0.004348376065922773</v>
      </c>
      <c r="AW75" s="143" t="n">
        <v>-0.005230031658165085</v>
      </c>
      <c r="AX75" s="143" t="n">
        <v>0.01180028046699582</v>
      </c>
      <c r="AY75" s="143" t="n">
        <v>-0.003308229119137033</v>
      </c>
      <c r="AZ75" s="143" t="n">
        <v>0.003792615759520547</v>
      </c>
      <c r="BA75" s="143" t="n">
        <v>-0.004111201288868804</v>
      </c>
      <c r="BB75" s="143" t="n">
        <v>-0.005294866944546539</v>
      </c>
      <c r="BC75" s="143" t="n">
        <v>-0.03728225550439122</v>
      </c>
      <c r="BD75" s="143" t="n">
        <v>-0.01771451517491125</v>
      </c>
      <c r="BE75" s="143" t="n">
        <v>-0.0241054900249317</v>
      </c>
      <c r="BF75" s="143" t="n">
        <v>-0.01664521938871353</v>
      </c>
      <c r="BG75" s="143" t="n">
        <v>-0.03149981987428915</v>
      </c>
      <c r="BH75" s="143" t="n">
        <v>0.002368081918919505</v>
      </c>
      <c r="BI75" s="143" t="n">
        <v>-0.02355611737978507</v>
      </c>
      <c r="BJ75" s="143" t="n">
        <v>-0.02145802470271577</v>
      </c>
      <c r="BK75" s="143" t="n">
        <v>-0.0357146791343711</v>
      </c>
      <c r="BL75" s="143" t="n">
        <v>-0.01908896759999479</v>
      </c>
      <c r="BM75" s="143" t="n">
        <v>0.09828897583499714</v>
      </c>
      <c r="BN75" s="143" t="n">
        <v>0.02676358364947615</v>
      </c>
      <c r="BO75" s="143" t="n">
        <v>0.06628126410842333</v>
      </c>
      <c r="BP75" s="143" t="n">
        <v>0.03212019704882434</v>
      </c>
      <c r="BQ75" s="143" t="n">
        <v>-0.008362424481328831</v>
      </c>
      <c r="BR75" s="143" t="n">
        <v>-0.02910636357209326</v>
      </c>
      <c r="BS75" s="143" t="n">
        <v>-0.01798392904286255</v>
      </c>
      <c r="BT75" s="143" t="n">
        <v>-0.01279642100675821</v>
      </c>
      <c r="BU75" s="143" t="n">
        <v>-0.01463910432144633</v>
      </c>
      <c r="BV75" s="143" t="n">
        <v>-0.01875325045263423</v>
      </c>
      <c r="BW75" s="143" t="n">
        <v>-0.02127616213890221</v>
      </c>
      <c r="BX75" s="143" t="n">
        <v>-0.01353180706819828</v>
      </c>
      <c r="BY75" s="143" t="n">
        <v>-0.02096849418717491</v>
      </c>
      <c r="BZ75" s="143" t="n">
        <v>-0.01089918122723512</v>
      </c>
      <c r="CA75" s="143" t="n">
        <v>-0.02241795608127523</v>
      </c>
      <c r="CB75" s="143" t="n">
        <v>0.005281870798849088</v>
      </c>
      <c r="CC75" s="143" t="n">
        <v>-0.03753812741734254</v>
      </c>
      <c r="CD75" s="143" t="n">
        <v>-0.005247467107700614</v>
      </c>
      <c r="CE75" s="143" t="n">
        <v>-0.02047287190499313</v>
      </c>
    </row>
    <row r="76">
      <c r="A76" s="251" t="n">
        <v>45200</v>
      </c>
      <c r="B76" s="3" t="n">
        <v>0</v>
      </c>
      <c r="C76" s="143" t="n">
        <v>0.0459054334057523</v>
      </c>
      <c r="D76" s="143" t="n">
        <v>0.00470391533246572</v>
      </c>
      <c r="E76" s="143" t="n">
        <v>0.003662905398235422</v>
      </c>
      <c r="F76" s="143" t="n">
        <v>0.001133230481374685</v>
      </c>
      <c r="G76" s="143" t="n">
        <v>0.001982405803236886</v>
      </c>
      <c r="H76" s="143" t="n">
        <v>0.001358623835065725</v>
      </c>
      <c r="I76" s="143" t="n">
        <v>0.01222367355170114</v>
      </c>
      <c r="J76" s="143" t="n">
        <v>0.003300977764085868</v>
      </c>
      <c r="K76" s="143" t="n">
        <v>0.00631545030737459</v>
      </c>
      <c r="L76" s="143" t="n">
        <v>7.758174476902095e-05</v>
      </c>
      <c r="M76" s="143" t="n">
        <v>0.03809472060224092</v>
      </c>
      <c r="N76" s="143" t="n">
        <v>0.00577285266969685</v>
      </c>
      <c r="O76" s="143" t="n">
        <v>-0.01088417301451777</v>
      </c>
      <c r="P76" s="143" t="n">
        <v>0.001846076861506985</v>
      </c>
      <c r="Q76" s="143" t="n">
        <v>-0.003087330422221194</v>
      </c>
      <c r="R76" s="143" t="n">
        <v>0.02320429151437612</v>
      </c>
      <c r="S76" s="143" t="n">
        <v>0.001365343294948472</v>
      </c>
      <c r="T76" s="143" t="n">
        <v>0.006663869404912753</v>
      </c>
      <c r="U76" s="143" t="n">
        <v>-0.05269934774161941</v>
      </c>
      <c r="V76" s="143" t="n">
        <v>-0.01424231053699865</v>
      </c>
      <c r="W76" s="143" t="n">
        <v>-0.01130371409125485</v>
      </c>
      <c r="X76" s="143" t="n">
        <v>-0.01046359561525099</v>
      </c>
      <c r="Y76" s="143" t="n">
        <v>-0.01760709022609014</v>
      </c>
      <c r="Z76" s="143" t="n">
        <v>-0.007820766769802713</v>
      </c>
      <c r="AA76" s="143" t="n">
        <v>0.01701636078150025</v>
      </c>
      <c r="AB76" s="143" t="n">
        <v>-0.000755426320303491</v>
      </c>
      <c r="AC76" s="143" t="n">
        <v>0.007847010378416874</v>
      </c>
      <c r="AD76" s="143" t="n">
        <v>-0.001224175538974008</v>
      </c>
      <c r="AE76" s="143" t="n">
        <v>0.03046219279316559</v>
      </c>
      <c r="AF76" s="143" t="n">
        <v>-0.01561366828633342</v>
      </c>
      <c r="AG76" s="143" t="n">
        <v>-0.02871247841821222</v>
      </c>
      <c r="AH76" s="143" t="n">
        <v>-0.002199592999969626</v>
      </c>
      <c r="AI76" s="143" t="n">
        <v>0.02522801976584343</v>
      </c>
      <c r="AJ76" s="143" t="n">
        <v>0.002403810027511505</v>
      </c>
      <c r="AK76" s="143" t="n">
        <v>0.01457972228604265</v>
      </c>
      <c r="AL76" s="143" t="n">
        <v>0.005837930848611534</v>
      </c>
      <c r="AM76" s="143" t="n">
        <v>-0.04419433148239118</v>
      </c>
      <c r="AN76" s="143" t="n">
        <v>-0.05979055374367543</v>
      </c>
      <c r="AO76" s="143" t="n">
        <v>-0.03047214432952041</v>
      </c>
      <c r="AP76" s="143" t="n">
        <v>-0.05920245800284777</v>
      </c>
      <c r="AQ76" s="143" t="n">
        <v>-0.07041565708221233</v>
      </c>
      <c r="AR76" s="143" t="n">
        <v>0.002960268198336521</v>
      </c>
      <c r="AS76" s="143" t="n">
        <v>-0.001462850505543463</v>
      </c>
      <c r="AT76" s="143" t="n">
        <v>0.008659414956895393</v>
      </c>
      <c r="AU76" s="143" t="n">
        <v>0.002914906664212584</v>
      </c>
      <c r="AV76" s="143" t="n">
        <v>0.001158506845752159</v>
      </c>
      <c r="AW76" s="143" t="n">
        <v>0.002341733213841092</v>
      </c>
      <c r="AX76" s="143" t="n">
        <v>0.02500593110661117</v>
      </c>
      <c r="AY76" s="143" t="n">
        <v>0.004601449427932378</v>
      </c>
      <c r="AZ76" s="143" t="n">
        <v>0.01027638734136097</v>
      </c>
      <c r="BA76" s="143" t="n">
        <v>0.001695538700102732</v>
      </c>
      <c r="BB76" s="143" t="n">
        <v>-0.006334487904456633</v>
      </c>
      <c r="BC76" s="143" t="n">
        <v>-0.008489595399338728</v>
      </c>
      <c r="BD76" s="143" t="n">
        <v>-0.01369733472965725</v>
      </c>
      <c r="BE76" s="143" t="n">
        <v>-0.02029817743070342</v>
      </c>
      <c r="BF76" s="143" t="n">
        <v>-0.01644252559355777</v>
      </c>
      <c r="BG76" s="143" t="n">
        <v>-0.02786714643219538</v>
      </c>
      <c r="BH76" s="143" t="n">
        <v>0.01155469989104127</v>
      </c>
      <c r="BI76" s="143" t="n">
        <v>-0.02543425863669024</v>
      </c>
      <c r="BJ76" s="143" t="n">
        <v>-0.01084358147066657</v>
      </c>
      <c r="BK76" s="143" t="n">
        <v>-0.02367618000922718</v>
      </c>
      <c r="BL76" s="143" t="n">
        <v>-0.01278967240358538</v>
      </c>
      <c r="BM76" s="143" t="n">
        <v>0.09228380476727681</v>
      </c>
      <c r="BN76" s="143" t="n">
        <v>0.04341084267558847</v>
      </c>
      <c r="BO76" s="143" t="n">
        <v>0.07179646828710187</v>
      </c>
      <c r="BP76" s="143" t="n">
        <v>0.04207464082102284</v>
      </c>
      <c r="BQ76" s="143" t="n">
        <v>0.0007205325402282978</v>
      </c>
      <c r="BR76" s="143" t="n">
        <v>0.001786582677245455</v>
      </c>
      <c r="BS76" s="143" t="n">
        <v>-0.002501625521852161</v>
      </c>
      <c r="BT76" s="143" t="n">
        <v>0.003362428559464529</v>
      </c>
      <c r="BU76" s="143" t="n">
        <v>-0.004008671558547482</v>
      </c>
      <c r="BV76" s="143" t="n">
        <v>-0.007836078820652351</v>
      </c>
      <c r="BW76" s="143" t="n">
        <v>-0.01767792599244818</v>
      </c>
      <c r="BX76" s="143" t="n">
        <v>-0.00811457057340848</v>
      </c>
      <c r="BY76" s="143" t="n">
        <v>-0.0005952816780573798</v>
      </c>
      <c r="BZ76" s="143" t="n">
        <v>0.005390529433953432</v>
      </c>
      <c r="CA76" s="143" t="n">
        <v>-0.004907410809966216</v>
      </c>
      <c r="CB76" s="143" t="n">
        <v>0.05698102245247438</v>
      </c>
      <c r="CC76" s="143" t="n">
        <v>0.001141628620542253</v>
      </c>
      <c r="CD76" s="143" t="n">
        <v>0.05431459867323261</v>
      </c>
      <c r="CE76" s="143" t="n">
        <v>0.003946460858535715</v>
      </c>
    </row>
    <row r="77">
      <c r="A77" s="251" t="n">
        <v>45292</v>
      </c>
      <c r="B77" s="3" t="n">
        <v>0</v>
      </c>
      <c r="C77" s="143" t="n">
        <v>0.04775951399634112</v>
      </c>
      <c r="D77" s="143" t="n">
        <v>0.0009715279895477861</v>
      </c>
      <c r="E77" s="143" t="n">
        <v>0.007218120734471628</v>
      </c>
      <c r="F77" s="143" t="n">
        <v>0.00340601396662877</v>
      </c>
      <c r="G77" s="143" t="n">
        <v>0.003849183501261578</v>
      </c>
      <c r="H77" s="143" t="n">
        <v>0.001491046757445381</v>
      </c>
      <c r="I77" s="143" t="n">
        <v>0.006669162519479754</v>
      </c>
      <c r="J77" s="143" t="n">
        <v>-0.0003214911775985831</v>
      </c>
      <c r="K77" s="143" t="n">
        <v>0.005597779502166161</v>
      </c>
      <c r="L77" s="143" t="n">
        <v>0.001474395571845407</v>
      </c>
      <c r="M77" s="143" t="n">
        <v>0.02208713858359211</v>
      </c>
      <c r="N77" s="143" t="n">
        <v>-0.003715576318224618</v>
      </c>
      <c r="O77" s="143" t="n">
        <v>-0.008956130508529005</v>
      </c>
      <c r="P77" s="143" t="n">
        <v>0.00402204594272577</v>
      </c>
      <c r="Q77" s="143" t="n">
        <v>-0.01223057821110695</v>
      </c>
      <c r="R77" s="143" t="n">
        <v>0.0179833259236415</v>
      </c>
      <c r="S77" s="143" t="n">
        <v>-0.001484068798857064</v>
      </c>
      <c r="T77" s="143" t="n">
        <v>0.009525491256724278</v>
      </c>
      <c r="U77" s="143" t="n">
        <v>-0.05269934774161941</v>
      </c>
      <c r="V77" s="143" t="n">
        <v>-0.01078828881258003</v>
      </c>
      <c r="W77" s="143" t="n">
        <v>-0.01022423060329055</v>
      </c>
      <c r="X77" s="143" t="n">
        <v>-0.008966785629069114</v>
      </c>
      <c r="Y77" s="143" t="n">
        <v>-0.01441752336891825</v>
      </c>
      <c r="Z77" s="143" t="n">
        <v>-0.005655299450461518</v>
      </c>
      <c r="AA77" s="143" t="n">
        <v>0.01835699186707438</v>
      </c>
      <c r="AB77" s="143" t="n">
        <v>0.002003295175128381</v>
      </c>
      <c r="AC77" s="143" t="n">
        <v>0.01113138535678071</v>
      </c>
      <c r="AD77" s="143" t="n">
        <v>0.001882782169857608</v>
      </c>
      <c r="AE77" s="143" t="n">
        <v>0.03708580727708478</v>
      </c>
      <c r="AF77" s="143" t="n">
        <v>-0.002117410209773166</v>
      </c>
      <c r="AG77" s="143" t="n">
        <v>-0.01925256841765201</v>
      </c>
      <c r="AH77" s="143" t="n">
        <v>-0.01003774519503065</v>
      </c>
      <c r="AI77" s="143" t="n">
        <v>0.0145118158477611</v>
      </c>
      <c r="AJ77" s="143" t="n">
        <v>0.002318176953447578</v>
      </c>
      <c r="AK77" s="143" t="n">
        <v>0.006671144636508789</v>
      </c>
      <c r="AL77" s="143" t="n">
        <v>0.001247592333965989</v>
      </c>
      <c r="AM77" s="143" t="n">
        <v>-0.05195874748916528</v>
      </c>
      <c r="AN77" s="143" t="n">
        <v>-0.07210321911808087</v>
      </c>
      <c r="AO77" s="143" t="n">
        <v>-0.04631805606606472</v>
      </c>
      <c r="AP77" s="143" t="n">
        <v>-0.06431413581381797</v>
      </c>
      <c r="AQ77" s="143" t="n">
        <v>-0.07259983872579279</v>
      </c>
      <c r="AR77" s="143" t="n">
        <v>0.004176165549245226</v>
      </c>
      <c r="AS77" s="143" t="n">
        <v>-0.0006757823147070272</v>
      </c>
      <c r="AT77" s="143" t="n">
        <v>0.008005388377170094</v>
      </c>
      <c r="AU77" s="143" t="n">
        <v>0.003592418851691358</v>
      </c>
      <c r="AV77" s="143" t="n">
        <v>0.003755447272276073</v>
      </c>
      <c r="AW77" s="143" t="n">
        <v>0.002022386589178944</v>
      </c>
      <c r="AX77" s="143" t="n">
        <v>0.0155246585824247</v>
      </c>
      <c r="AY77" s="143" t="n">
        <v>-0.0005950641882456944</v>
      </c>
      <c r="AZ77" s="143" t="n">
        <v>0.00904988998762335</v>
      </c>
      <c r="BA77" s="143" t="n">
        <v>0.003065383684088702</v>
      </c>
      <c r="BB77" s="143" t="n">
        <v>-0.006729730342216679</v>
      </c>
      <c r="BC77" s="143" t="n">
        <v>-0.004013765172819604</v>
      </c>
      <c r="BD77" s="143" t="n">
        <v>-0.01627091812229373</v>
      </c>
      <c r="BE77" s="143" t="n">
        <v>-0.01667805457656929</v>
      </c>
      <c r="BF77" s="143" t="n">
        <v>-0.01494099080018743</v>
      </c>
      <c r="BG77" s="143" t="n">
        <v>-0.02951392221351674</v>
      </c>
      <c r="BH77" s="143" t="n">
        <v>0.007518059121968131</v>
      </c>
      <c r="BI77" s="143" t="n">
        <v>-0.03726481719179603</v>
      </c>
      <c r="BJ77" s="143" t="n">
        <v>-0.007853335500641585</v>
      </c>
      <c r="BK77" s="143" t="n">
        <v>-0.01997241021354792</v>
      </c>
      <c r="BL77" s="143" t="n">
        <v>-0.01521752963596478</v>
      </c>
      <c r="BM77" s="143" t="n">
        <v>0.06824184511410372</v>
      </c>
      <c r="BN77" s="143" t="n">
        <v>0.03516016201873899</v>
      </c>
      <c r="BO77" s="143" t="n">
        <v>0.05656592305103016</v>
      </c>
      <c r="BP77" s="143" t="n">
        <v>0.03809739400713715</v>
      </c>
      <c r="BQ77" s="143" t="n">
        <v>0.003653972336295345</v>
      </c>
      <c r="BR77" s="143" t="n">
        <v>0.02182014438374091</v>
      </c>
      <c r="BS77" s="143" t="n">
        <v>0.004075724656473713</v>
      </c>
      <c r="BT77" s="143" t="n">
        <v>0.007883068678106238</v>
      </c>
      <c r="BU77" s="143" t="n">
        <v>0.0003824039052561513</v>
      </c>
      <c r="BV77" s="143" t="n">
        <v>0.006968304472714308</v>
      </c>
      <c r="BW77" s="143" t="n">
        <v>0.01739449129532403</v>
      </c>
      <c r="BX77" s="143" t="n">
        <v>0.02078990153722743</v>
      </c>
      <c r="BY77" s="143" t="n">
        <v>0.02458725312802012</v>
      </c>
      <c r="BZ77" s="143" t="n">
        <v>0.02134054851917377</v>
      </c>
      <c r="CA77" s="143" t="n">
        <v>0.0009918483168463749</v>
      </c>
      <c r="CB77" s="143" t="n">
        <v>0.08249271431100362</v>
      </c>
      <c r="CC77" s="143" t="n">
        <v>0.01335395165110082</v>
      </c>
      <c r="CD77" s="143" t="n">
        <v>0.07047434409382448</v>
      </c>
      <c r="CE77" s="143" t="n">
        <v>0.01425941038541165</v>
      </c>
    </row>
    <row r="78">
      <c r="A78" s="251" t="n">
        <v>45383</v>
      </c>
      <c r="B78" s="3" t="n">
        <v>0</v>
      </c>
      <c r="C78" s="143" t="n">
        <v>0.04482391536773835</v>
      </c>
      <c r="D78" s="143" t="n">
        <v>-0.01415614103845721</v>
      </c>
      <c r="E78" s="143" t="n">
        <v>0.001718565482009102</v>
      </c>
      <c r="F78" s="143" t="n">
        <v>-0.003686981108606995</v>
      </c>
      <c r="G78" s="143" t="n">
        <v>0.0008957008864303908</v>
      </c>
      <c r="H78" s="143" t="n">
        <v>-0.0009750823289079597</v>
      </c>
      <c r="I78" s="143" t="n">
        <v>0.004079735286054755</v>
      </c>
      <c r="J78" s="143" t="n">
        <v>-0.002110115831741171</v>
      </c>
      <c r="K78" s="143" t="n">
        <v>0.002410826668231351</v>
      </c>
      <c r="L78" s="143" t="n">
        <v>0.0002977430005864091</v>
      </c>
      <c r="M78" s="143" t="n">
        <v>0.0154910286512121</v>
      </c>
      <c r="N78" s="143" t="n">
        <v>-0.003853331530720722</v>
      </c>
      <c r="O78" s="143" t="n">
        <v>-0.005300406599230589</v>
      </c>
      <c r="P78" s="143" t="n">
        <v>0.001718078680258867</v>
      </c>
      <c r="Q78" s="143" t="n">
        <v>-0.018523982533327</v>
      </c>
      <c r="R78" s="143" t="n">
        <v>0.0007458522272478328</v>
      </c>
      <c r="S78" s="143" t="n">
        <v>-0.008627386617355712</v>
      </c>
      <c r="T78" s="143" t="n">
        <v>0.005630505958425317</v>
      </c>
      <c r="U78" s="143" t="n">
        <v>-0.05269934774161941</v>
      </c>
      <c r="V78" s="143" t="n">
        <v>-0.009139058908555819</v>
      </c>
      <c r="W78" s="143" t="n">
        <v>-0.01215476661525162</v>
      </c>
      <c r="X78" s="143" t="n">
        <v>-0.008849424615465291</v>
      </c>
      <c r="Y78" s="143" t="n">
        <v>-0.01319245896957685</v>
      </c>
      <c r="Z78" s="143" t="n">
        <v>-0.004014239367788944</v>
      </c>
      <c r="AA78" s="143" t="n">
        <v>0.020795358880913</v>
      </c>
      <c r="AB78" s="143" t="n">
        <v>0.00391348061097099</v>
      </c>
      <c r="AC78" s="143" t="n">
        <v>0.0124723778495039</v>
      </c>
      <c r="AD78" s="143" t="n">
        <v>0.004121492794180854</v>
      </c>
      <c r="AE78" s="143" t="n">
        <v>0.0434764715888517</v>
      </c>
      <c r="AF78" s="143" t="n">
        <v>0.02110180930833832</v>
      </c>
      <c r="AG78" s="143" t="n">
        <v>-0.009674429537051048</v>
      </c>
      <c r="AH78" s="143" t="n">
        <v>-0.00526379459709474</v>
      </c>
      <c r="AI78" s="143" t="n">
        <v>0.01775163106422367</v>
      </c>
      <c r="AJ78" s="143" t="n">
        <v>0.006284661381559455</v>
      </c>
      <c r="AK78" s="143" t="n">
        <v>0.01097302633165074</v>
      </c>
      <c r="AL78" s="143" t="n">
        <v>0.004765049490206281</v>
      </c>
      <c r="AM78" s="143" t="n">
        <v>-0.02611214845797626</v>
      </c>
      <c r="AN78" s="143" t="n">
        <v>-0.005215224224346386</v>
      </c>
      <c r="AO78" s="143" t="n">
        <v>-0.05430913837633441</v>
      </c>
      <c r="AP78" s="143" t="n">
        <v>-0.02253082223014002</v>
      </c>
      <c r="AQ78" s="143" t="n">
        <v>-0.02554241467679045</v>
      </c>
      <c r="AR78" s="143" t="n">
        <v>0.001639349234518681</v>
      </c>
      <c r="AS78" s="143" t="n">
        <v>-0.0004536783979384731</v>
      </c>
      <c r="AT78" s="143" t="n">
        <v>0.005493624368417674</v>
      </c>
      <c r="AU78" s="143" t="n">
        <v>-0.001843935263149021</v>
      </c>
      <c r="AV78" s="143" t="n">
        <v>-0.0001850678322208516</v>
      </c>
      <c r="AW78" s="143" t="n">
        <v>0.00129093299865826</v>
      </c>
      <c r="AX78" s="143" t="n">
        <v>0.01115711226254145</v>
      </c>
      <c r="AY78" s="143" t="n">
        <v>0.001910896730290915</v>
      </c>
      <c r="AZ78" s="143" t="n">
        <v>0.008618902616487237</v>
      </c>
      <c r="BA78" s="143" t="n">
        <v>0.003858095077724778</v>
      </c>
      <c r="BB78" s="143" t="n">
        <v>-0.005497899302273919</v>
      </c>
      <c r="BC78" s="143" t="n">
        <v>-0.003684554699240909</v>
      </c>
      <c r="BD78" s="143" t="n">
        <v>-0.01556102247410433</v>
      </c>
      <c r="BE78" s="143" t="n">
        <v>-0.009562284762506507</v>
      </c>
      <c r="BF78" s="143" t="n">
        <v>-0.01177146000613618</v>
      </c>
      <c r="BG78" s="143" t="n">
        <v>-0.03230400104385363</v>
      </c>
      <c r="BH78" s="143" t="n">
        <v>0.002126755928615797</v>
      </c>
      <c r="BI78" s="143" t="n">
        <v>-0.02262800555922547</v>
      </c>
      <c r="BJ78" s="143" t="n">
        <v>-0.004046092598285272</v>
      </c>
      <c r="BK78" s="143" t="n">
        <v>-0.0191671627219588</v>
      </c>
      <c r="BL78" s="143" t="n">
        <v>-0.0167859573387686</v>
      </c>
      <c r="BM78" s="143" t="n">
        <v>0.03010113264621092</v>
      </c>
      <c r="BN78" s="143" t="n">
        <v>0.04054965421104281</v>
      </c>
      <c r="BO78" s="143" t="n">
        <v>0.04499100407335408</v>
      </c>
      <c r="BP78" s="143" t="n">
        <v>0.03456353770346367</v>
      </c>
      <c r="BQ78" s="143" t="n">
        <v>0.003239623388190249</v>
      </c>
      <c r="BR78" s="143" t="n">
        <v>0.02915407868615498</v>
      </c>
      <c r="BS78" s="143" t="n">
        <v>-0.002766459671091626</v>
      </c>
      <c r="BT78" s="143" t="n">
        <v>0.006458692122159933</v>
      </c>
      <c r="BU78" s="143" t="n">
        <v>0.001545651609902912</v>
      </c>
      <c r="BV78" s="143" t="n">
        <v>-0.004888310565645565</v>
      </c>
      <c r="BW78" s="143" t="n">
        <v>-0.01584500296891869</v>
      </c>
      <c r="BX78" s="143" t="n">
        <v>0.01950462115388541</v>
      </c>
      <c r="BY78" s="143" t="n">
        <v>0.001005349377420837</v>
      </c>
      <c r="BZ78" s="143" t="n">
        <v>0.002077007436422939</v>
      </c>
      <c r="CA78" s="143" t="n">
        <v>0.005865057730345762</v>
      </c>
      <c r="CB78" s="143" t="n">
        <v>0.08314931880170365</v>
      </c>
      <c r="CC78" s="143" t="n">
        <v>0.02738877602887627</v>
      </c>
      <c r="CD78" s="143" t="n">
        <v>0.08030709425233078</v>
      </c>
      <c r="CE78" s="143" t="n">
        <v>0.02264993569768097</v>
      </c>
    </row>
    <row r="79">
      <c r="A79" s="251" t="n">
        <v>45474</v>
      </c>
      <c r="B79" s="3" t="n">
        <v>0</v>
      </c>
      <c r="C79" s="143" t="n">
        <v>0.04905566004262768</v>
      </c>
      <c r="D79" s="143" t="n">
        <v>-0.002023041284123237</v>
      </c>
      <c r="E79" s="143" t="n">
        <v>0.00333641201066547</v>
      </c>
      <c r="F79" s="143" t="n">
        <v>0.003283286318458917</v>
      </c>
      <c r="G79" s="143" t="n">
        <v>0.003884470650938012</v>
      </c>
      <c r="H79" s="143" t="n">
        <v>-0.00491744622884979</v>
      </c>
      <c r="I79" s="143" t="n">
        <v>-0.004180493117209545</v>
      </c>
      <c r="J79" s="143" t="n">
        <v>0.001546834161895062</v>
      </c>
      <c r="K79" s="143" t="n">
        <v>-0.002251812987689553</v>
      </c>
      <c r="L79" s="143" t="n">
        <v>-0.002608275425485623</v>
      </c>
      <c r="M79" s="143" t="n">
        <v>-0.004155826397887745</v>
      </c>
      <c r="N79" s="143" t="n">
        <v>0.01061626414876472</v>
      </c>
      <c r="O79" s="143" t="n">
        <v>-0.00443277492342214</v>
      </c>
      <c r="P79" s="143" t="n">
        <v>-0.006985797644616197</v>
      </c>
      <c r="Q79" s="143" t="n">
        <v>-0.01662408688888321</v>
      </c>
      <c r="R79" s="143" t="n">
        <v>-0.009778951423915645</v>
      </c>
      <c r="S79" s="143" t="n">
        <v>-0.0195699205609285</v>
      </c>
      <c r="T79" s="143" t="n">
        <v>-0.007101061632272891</v>
      </c>
      <c r="U79" s="143" t="n">
        <v>-0.05269934774161941</v>
      </c>
      <c r="V79" s="143" t="n">
        <v>-0.00633332354445479</v>
      </c>
      <c r="W79" s="143" t="n">
        <v>-0.008456238933783097</v>
      </c>
      <c r="X79" s="143" t="n">
        <v>-0.0057345727567355</v>
      </c>
      <c r="Y79" s="143" t="n">
        <v>-0.009996201150068291</v>
      </c>
      <c r="Z79" s="143" t="n">
        <v>7.089804758130662e-05</v>
      </c>
      <c r="AA79" s="143" t="n">
        <v>0.02120789203453797</v>
      </c>
      <c r="AB79" s="143" t="n">
        <v>0.007040701830031346</v>
      </c>
      <c r="AC79" s="143" t="n">
        <v>0.01628894752312203</v>
      </c>
      <c r="AD79" s="143" t="n">
        <v>0.007441853919122088</v>
      </c>
      <c r="AE79" s="143" t="n">
        <v>0.04700541403146222</v>
      </c>
      <c r="AF79" s="143" t="n">
        <v>0.0363204315653217</v>
      </c>
      <c r="AG79" s="143" t="n">
        <v>-0.001035479956982417</v>
      </c>
      <c r="AH79" s="143" t="n">
        <v>-0.01494813547090001</v>
      </c>
      <c r="AI79" s="143" t="n">
        <v>0.004430828398961115</v>
      </c>
      <c r="AJ79" s="143" t="n">
        <v>0.003001733484993147</v>
      </c>
      <c r="AK79" s="143" t="n">
        <v>0.0007503734971919206</v>
      </c>
      <c r="AL79" s="143" t="n">
        <v>-0.0009020589835862239</v>
      </c>
      <c r="AM79" s="143" t="n">
        <v>-0.03815985921014167</v>
      </c>
      <c r="AN79" s="143" t="n">
        <v>-0.01160174586462595</v>
      </c>
      <c r="AO79" s="143" t="n">
        <v>-0.03869374306949028</v>
      </c>
      <c r="AP79" s="143" t="n">
        <v>-0.02928453168468175</v>
      </c>
      <c r="AQ79" s="143" t="n">
        <v>-0.03781661227706792</v>
      </c>
      <c r="AR79" s="143" t="n">
        <v>0.0006733755659678772</v>
      </c>
      <c r="AS79" s="143" t="n">
        <v>-0.004980140153568751</v>
      </c>
      <c r="AT79" s="143" t="n">
        <v>-0.001813915601132043</v>
      </c>
      <c r="AU79" s="143" t="n">
        <v>-0.004291301193598712</v>
      </c>
      <c r="AV79" s="143" t="n">
        <v>-0.001685285490957126</v>
      </c>
      <c r="AW79" s="143" t="n">
        <v>-0.003277064253241686</v>
      </c>
      <c r="AX79" s="143" t="n">
        <v>0.001618389302310916</v>
      </c>
      <c r="AY79" s="143" t="n">
        <v>0.007230363513426448</v>
      </c>
      <c r="AZ79" s="143" t="n">
        <v>0.004725426685902054</v>
      </c>
      <c r="BA79" s="143" t="n">
        <v>0.001857951349780096</v>
      </c>
      <c r="BB79" s="143" t="n">
        <v>-0.00620645286308091</v>
      </c>
      <c r="BC79" s="143" t="n">
        <v>-0.001840498919035612</v>
      </c>
      <c r="BD79" s="143" t="n">
        <v>-0.01284528184606127</v>
      </c>
      <c r="BE79" s="143" t="n">
        <v>-0.005879091171527915</v>
      </c>
      <c r="BF79" s="143" t="n">
        <v>-0.01051942197102011</v>
      </c>
      <c r="BG79" s="143" t="n">
        <v>-0.03493455230501235</v>
      </c>
      <c r="BH79" s="143" t="n">
        <v>-0.003949844929115411</v>
      </c>
      <c r="BI79" s="143" t="n">
        <v>-0.001210439723302112</v>
      </c>
      <c r="BJ79" s="143" t="n">
        <v>-0.003158433591947406</v>
      </c>
      <c r="BK79" s="143" t="n">
        <v>-0.01917653879657343</v>
      </c>
      <c r="BL79" s="143" t="n">
        <v>-0.005015978997041162</v>
      </c>
      <c r="BM79" s="143" t="n">
        <v>0.02650593854803994</v>
      </c>
      <c r="BN79" s="143" t="n">
        <v>0.06491697419396442</v>
      </c>
      <c r="BO79" s="143" t="n">
        <v>0.05760270448269412</v>
      </c>
      <c r="BP79" s="143" t="n">
        <v>0.04697640478119899</v>
      </c>
      <c r="BQ79" s="143" t="n">
        <v>-0.001082328777177141</v>
      </c>
      <c r="BR79" s="143" t="n">
        <v>0.01231572216169119</v>
      </c>
      <c r="BS79" s="143" t="n">
        <v>-0.007998567166740486</v>
      </c>
      <c r="BT79" s="143" t="n">
        <v>0.001160389955983358</v>
      </c>
      <c r="BU79" s="143" t="n">
        <v>-0.001794173753510626</v>
      </c>
      <c r="BV79" s="143" t="n">
        <v>-0.1024234092990846</v>
      </c>
      <c r="BW79" s="143" t="n">
        <v>-0.1260444073993549</v>
      </c>
      <c r="BX79" s="143" t="n">
        <v>-0.08357265381848272</v>
      </c>
      <c r="BY79" s="143" t="n">
        <v>-0.1204960045235484</v>
      </c>
      <c r="BZ79" s="143" t="n">
        <v>-0.1077342527442223</v>
      </c>
      <c r="CA79" s="143" t="n">
        <v>0.005411398998776435</v>
      </c>
      <c r="CB79" s="143" t="n">
        <v>0.0529169374712569</v>
      </c>
      <c r="CC79" s="143" t="n">
        <v>0.03773000001080039</v>
      </c>
      <c r="CD79" s="143" t="n">
        <v>0.0712795072010077</v>
      </c>
      <c r="CE79" s="143" t="n">
        <v>0.02357213311279381</v>
      </c>
    </row>
    <row r="80">
      <c r="A80" s="251" t="n">
        <v>45566</v>
      </c>
      <c r="B80" s="3" t="n">
        <v>0</v>
      </c>
      <c r="C80" s="143" t="n">
        <v>0.05319619666817102</v>
      </c>
      <c r="D80" s="143" t="n">
        <v>0.0118189176310509</v>
      </c>
      <c r="E80" s="143" t="n">
        <v>0.008335007165066704</v>
      </c>
      <c r="F80" s="143" t="n">
        <v>0.009659084184355739</v>
      </c>
      <c r="G80" s="143" t="n">
        <v>0.006666556678492253</v>
      </c>
      <c r="H80" s="143" t="n">
        <v>-0.004390039018793497</v>
      </c>
      <c r="I80" s="143" t="n">
        <v>-0.006294904047885921</v>
      </c>
      <c r="J80" s="143" t="n">
        <v>0.003319501379485852</v>
      </c>
      <c r="K80" s="143" t="n">
        <v>-0.001970320484021292</v>
      </c>
      <c r="L80" s="143" t="n">
        <v>-0.001639438222833986</v>
      </c>
      <c r="M80" s="143" t="n">
        <v>-0.01127380944088981</v>
      </c>
      <c r="N80" s="143" t="n">
        <v>0.01250443955703958</v>
      </c>
      <c r="O80" s="143" t="n">
        <v>0.0002545900766819489</v>
      </c>
      <c r="P80" s="143" t="n">
        <v>-0.00762578855085701</v>
      </c>
      <c r="Q80" s="143" t="n">
        <v>-0.008787017355552524</v>
      </c>
      <c r="R80" s="143" t="n">
        <v>-0.008287246969420051</v>
      </c>
      <c r="S80" s="143" t="n">
        <v>-0.01802648901011712</v>
      </c>
      <c r="T80" s="143" t="n">
        <v>-0.01014815897447953</v>
      </c>
      <c r="U80" s="143" t="n">
        <v>-0.05269934774161941</v>
      </c>
      <c r="V80" s="143" t="n">
        <v>-0.0006065083502529582</v>
      </c>
      <c r="W80" s="143" t="n">
        <v>-0.005404946084733251</v>
      </c>
      <c r="X80" s="143" t="n">
        <v>-0.001934771569517728</v>
      </c>
      <c r="Y80" s="143" t="n">
        <v>-0.006050586469846925</v>
      </c>
      <c r="Z80" s="143" t="n">
        <v>0.005586275494614715</v>
      </c>
      <c r="AA80" s="143" t="n">
        <v>0.02476881977268153</v>
      </c>
      <c r="AB80" s="143" t="n">
        <v>0.008634799640577879</v>
      </c>
      <c r="AC80" s="143" t="n">
        <v>0.02065860881258301</v>
      </c>
      <c r="AD80" s="143" t="n">
        <v>0.0112296476373495</v>
      </c>
      <c r="AE80" s="143" t="n">
        <v>0.0519336379256095</v>
      </c>
      <c r="AF80" s="143" t="n">
        <v>0.04116051258751168</v>
      </c>
      <c r="AG80" s="143" t="n">
        <v>0.007835103769041629</v>
      </c>
      <c r="AH80" s="143" t="n">
        <v>-0.02916375284109348</v>
      </c>
      <c r="AI80" s="143" t="n">
        <v>-0.02903159584992155</v>
      </c>
      <c r="AJ80" s="143" t="n">
        <v>-0.0031370602480508</v>
      </c>
      <c r="AK80" s="143" t="n">
        <v>-0.01340808641427709</v>
      </c>
      <c r="AL80" s="143" t="n">
        <v>-0.009009386530902318</v>
      </c>
      <c r="AM80" s="143" t="n">
        <v>-0.03836088225016049</v>
      </c>
      <c r="AN80" s="143" t="n">
        <v>0.005627863411526305</v>
      </c>
      <c r="AO80" s="143" t="n">
        <v>-0.05510346939479761</v>
      </c>
      <c r="AP80" s="143" t="n">
        <v>-0.0230631319203961</v>
      </c>
      <c r="AQ80" s="143" t="n">
        <v>-0.03433552674246318</v>
      </c>
      <c r="AR80" s="143" t="n">
        <v>0.002973335696829088</v>
      </c>
      <c r="AS80" s="143" t="n">
        <v>1.686703533928203e-05</v>
      </c>
      <c r="AT80" s="143" t="n">
        <v>-0.001502985718707234</v>
      </c>
      <c r="AU80" s="143" t="n">
        <v>-0.0002025136323351477</v>
      </c>
      <c r="AV80" s="143" t="n">
        <v>0.002663746872993332</v>
      </c>
      <c r="AW80" s="143" t="n">
        <v>0.0006056721983041982</v>
      </c>
      <c r="AX80" s="143" t="n">
        <v>-0.001438642840951119</v>
      </c>
      <c r="AY80" s="143" t="n">
        <v>0.01269872976352672</v>
      </c>
      <c r="AZ80" s="143" t="n">
        <v>0.006143543105667983</v>
      </c>
      <c r="BA80" s="143" t="n">
        <v>0.004168327709946882</v>
      </c>
      <c r="BB80" s="143" t="n">
        <v>-0.005772908820640791</v>
      </c>
      <c r="BC80" s="143" t="n">
        <v>0.001133832451446645</v>
      </c>
      <c r="BD80" s="143" t="n">
        <v>-0.002415137933179605</v>
      </c>
      <c r="BE80" s="143" t="n">
        <v>-0.001153325602077447</v>
      </c>
      <c r="BF80" s="143" t="n">
        <v>-0.007751475687752216</v>
      </c>
      <c r="BG80" s="143" t="n">
        <v>-0.03376073881598897</v>
      </c>
      <c r="BH80" s="143" t="n">
        <v>-0.00677746417251457</v>
      </c>
      <c r="BI80" s="143" t="n">
        <v>0.003655766283576348</v>
      </c>
      <c r="BJ80" s="143" t="n">
        <v>-0.001111570613558998</v>
      </c>
      <c r="BK80" s="143" t="n">
        <v>-0.01383150857978387</v>
      </c>
      <c r="BL80" s="143" t="n">
        <v>-0.002021616449662297</v>
      </c>
      <c r="BM80" s="143" t="n">
        <v>0.02028122365825248</v>
      </c>
      <c r="BN80" s="143" t="n">
        <v>0.05855511886497373</v>
      </c>
      <c r="BO80" s="143" t="n">
        <v>0.04749291609998524</v>
      </c>
      <c r="BP80" s="143" t="n">
        <v>0.04638537286436022</v>
      </c>
      <c r="BQ80" s="143" t="n">
        <v>-0.00614459548562033</v>
      </c>
      <c r="BR80" s="143" t="n">
        <v>-0.01161372223754898</v>
      </c>
      <c r="BS80" s="143" t="n">
        <v>-0.004681359925971883</v>
      </c>
      <c r="BT80" s="143" t="n">
        <v>-0.004040948794031156</v>
      </c>
      <c r="BU80" s="143" t="n">
        <v>-0.00578395488600285</v>
      </c>
      <c r="BV80" s="143" t="n">
        <v>-0.1024234092990846</v>
      </c>
      <c r="BW80" s="143" t="n">
        <v>-0.1260444073993549</v>
      </c>
      <c r="BX80" s="143" t="n">
        <v>-0.08357265381848272</v>
      </c>
      <c r="BY80" s="143" t="n">
        <v>-0.1204960045235484</v>
      </c>
      <c r="BZ80" s="143" t="n">
        <v>-0.1077342527442223</v>
      </c>
      <c r="CA80" s="143" t="n">
        <v>0.008415758537698674</v>
      </c>
      <c r="CB80" s="143" t="n">
        <v>0.02533372826144703</v>
      </c>
      <c r="CC80" s="143" t="n">
        <v>0.05336424641053274</v>
      </c>
      <c r="CD80" s="143" t="n">
        <v>0.06898405602752811</v>
      </c>
      <c r="CE80" s="143" t="n">
        <v>0.02722271096772361</v>
      </c>
    </row>
    <row r="81">
      <c r="A81" s="251" t="n">
        <v>45658</v>
      </c>
      <c r="B81" s="3" t="n">
        <v>0</v>
      </c>
      <c r="C81" s="143" t="n">
        <v>0.0445390897702749</v>
      </c>
      <c r="D81" s="143" t="n">
        <v>-0.005220568450098106</v>
      </c>
      <c r="E81" s="143" t="n">
        <v>-0.002143444938379838</v>
      </c>
      <c r="F81" s="143" t="n">
        <v>-0.007781581368337193</v>
      </c>
      <c r="G81" s="143" t="n">
        <v>-0.002023103167540007</v>
      </c>
      <c r="H81" s="143" t="n">
        <v>-0.001954681635883063</v>
      </c>
      <c r="I81" s="143" t="n">
        <v>-0.003773143453093143</v>
      </c>
      <c r="J81" s="143" t="n">
        <v>0.001621472934594846</v>
      </c>
      <c r="K81" s="143" t="n">
        <v>0.0003643123994158259</v>
      </c>
      <c r="L81" s="143" t="n">
        <v>0.0005213693534127559</v>
      </c>
      <c r="M81" s="143" t="n">
        <v>0.003957111290157487</v>
      </c>
      <c r="N81" s="143" t="n">
        <v>0.01214234469498655</v>
      </c>
      <c r="O81" s="143" t="n">
        <v>-0.0009215917191107081</v>
      </c>
      <c r="P81" s="143" t="n">
        <v>0.01157393863636737</v>
      </c>
      <c r="Q81" s="143" t="n">
        <v>0.007005865188886502</v>
      </c>
      <c r="R81" s="143" t="n">
        <v>-0.003646388666544827</v>
      </c>
      <c r="S81" s="143" t="n">
        <v>0.00769737017007199</v>
      </c>
      <c r="T81" s="143" t="n">
        <v>0.01096955043194395</v>
      </c>
      <c r="U81" s="143" t="n">
        <v>-0.05269934774161941</v>
      </c>
      <c r="V81" s="143" t="n">
        <v>0.008800266432116967</v>
      </c>
      <c r="W81" s="143" t="n">
        <v>-0.0007236369345760643</v>
      </c>
      <c r="X81" s="143" t="n">
        <v>0.004102606208303936</v>
      </c>
      <c r="Y81" s="143" t="n">
        <v>-0.0002768842865953006</v>
      </c>
      <c r="Z81" s="143" t="n">
        <v>0.01005136488599102</v>
      </c>
      <c r="AA81" s="143" t="n">
        <v>0.02901725306051327</v>
      </c>
      <c r="AB81" s="143" t="n">
        <v>0.00978976535815025</v>
      </c>
      <c r="AC81" s="143" t="n">
        <v>0.02288811244744066</v>
      </c>
      <c r="AD81" s="143" t="n">
        <v>0.01368053892482342</v>
      </c>
      <c r="AE81" s="143" t="n">
        <v>0.05324221355107748</v>
      </c>
      <c r="AF81" s="143" t="n">
        <v>0.0451230069030107</v>
      </c>
      <c r="AG81" s="143" t="n">
        <v>0.01856800724630364</v>
      </c>
      <c r="AH81" s="143" t="n">
        <v>-0.02335702002821819</v>
      </c>
      <c r="AI81" s="143" t="n">
        <v>-0.01434051000474322</v>
      </c>
      <c r="AJ81" s="143" t="n">
        <v>0.000141287235620124</v>
      </c>
      <c r="AK81" s="143" t="n">
        <v>-0.007364524216959291</v>
      </c>
      <c r="AL81" s="143" t="n">
        <v>-0.004290009297199948</v>
      </c>
      <c r="AM81" s="143" t="n">
        <v>-0.03691912652804659</v>
      </c>
      <c r="AN81" s="143" t="n">
        <v>0.01450958586605159</v>
      </c>
      <c r="AO81" s="143" t="n">
        <v>-0.05859400609121236</v>
      </c>
      <c r="AP81" s="143" t="n">
        <v>-0.01192884736746624</v>
      </c>
      <c r="AQ81" s="143" t="n">
        <v>-0.02956812089915579</v>
      </c>
      <c r="AR81" s="143" t="n">
        <v>-0.001593588067422147</v>
      </c>
      <c r="AS81" s="143" t="n">
        <v>-0.007447380859208483</v>
      </c>
      <c r="AT81" s="143" t="n">
        <v>-0.008443387142869317</v>
      </c>
      <c r="AU81" s="143" t="n">
        <v>-0.007533783493031727</v>
      </c>
      <c r="AV81" s="143" t="n">
        <v>-0.007150533117441038</v>
      </c>
      <c r="AW81" s="143" t="n">
        <v>0.0065467655256397</v>
      </c>
      <c r="AX81" s="143" t="n">
        <v>0.0037492722366537</v>
      </c>
      <c r="AY81" s="143" t="n">
        <v>0.01038534583162112</v>
      </c>
      <c r="AZ81" s="143" t="n">
        <v>0.007964150151978855</v>
      </c>
      <c r="BA81" s="143" t="n">
        <v>0.006952560194148501</v>
      </c>
      <c r="BB81" s="143" t="n">
        <v>-0.004989052147197307</v>
      </c>
      <c r="BC81" s="143" t="n">
        <v>0.00351444254587969</v>
      </c>
      <c r="BD81" s="143" t="n">
        <v>-0.0001639439750519768</v>
      </c>
      <c r="BE81" s="143" t="n">
        <v>0.0008974770502316548</v>
      </c>
      <c r="BF81" s="143" t="n">
        <v>-0.005264176601389414</v>
      </c>
      <c r="BG81" s="143" t="n">
        <v>-0.03204525445599914</v>
      </c>
      <c r="BH81" s="143" t="n">
        <v>-0.002910960321811803</v>
      </c>
      <c r="BI81" s="143" t="n">
        <v>0.0035255694822425</v>
      </c>
      <c r="BJ81" s="143" t="n">
        <v>0.0007078417424297314</v>
      </c>
      <c r="BK81" s="143" t="n">
        <v>-0.00714768340636941</v>
      </c>
      <c r="BL81" s="143" t="n">
        <v>-0.0008509005545983726</v>
      </c>
      <c r="BM81" s="143" t="n">
        <v>0.02705899921593479</v>
      </c>
      <c r="BN81" s="143" t="n">
        <v>0.04957447571178476</v>
      </c>
      <c r="BO81" s="143" t="n">
        <v>0.03544835115320562</v>
      </c>
      <c r="BP81" s="143" t="n">
        <v>0.04194199299771212</v>
      </c>
      <c r="BQ81" s="143" t="n">
        <v>-0.004679456410696536</v>
      </c>
      <c r="BR81" s="143" t="n">
        <v>-0.01409764339274734</v>
      </c>
      <c r="BS81" s="143" t="n">
        <v>0.003678772082727891</v>
      </c>
      <c r="BT81" s="143" t="n">
        <v>-0.001058552123594125</v>
      </c>
      <c r="BU81" s="143" t="n">
        <v>-0.00337923961106474</v>
      </c>
      <c r="BV81" s="143" t="n">
        <v>-0.1024234092990846</v>
      </c>
      <c r="BW81" s="143" t="n">
        <v>-0.1260444073993549</v>
      </c>
      <c r="BX81" s="143" t="n">
        <v>-0.08357265381848272</v>
      </c>
      <c r="BY81" s="143" t="n">
        <v>-0.1204960045235484</v>
      </c>
      <c r="BZ81" s="143" t="n">
        <v>-0.1077342527442223</v>
      </c>
      <c r="CA81" s="143" t="n">
        <v>0.01361557165715463</v>
      </c>
      <c r="CB81" s="143" t="n">
        <v>0.02400374628632242</v>
      </c>
      <c r="CC81" s="143" t="n">
        <v>0.0690411295165855</v>
      </c>
      <c r="CD81" s="143" t="n">
        <v>0.06839332879647313</v>
      </c>
      <c r="CE81" s="143" t="n">
        <v>0.03176756823866041</v>
      </c>
      <c r="CF81" s="143" t="n"/>
    </row>
    <row r="82">
      <c r="A82" s="251" t="n">
        <v>45748</v>
      </c>
      <c r="B82" s="3" t="n">
        <v>0</v>
      </c>
      <c r="C82" s="143" t="n">
        <v>0.04422304759441809</v>
      </c>
      <c r="D82" s="143" t="n">
        <v>-0.0009740553169009541</v>
      </c>
      <c r="E82" s="143" t="n">
        <v>-0.007632486227345838</v>
      </c>
      <c r="F82" s="143" t="n">
        <v>-0.007761214784217095</v>
      </c>
      <c r="G82" s="143" t="n">
        <v>-0.002729272206069466</v>
      </c>
      <c r="H82" s="143" t="n">
        <v>-0.001921076011294837</v>
      </c>
      <c r="I82" s="143" t="n">
        <v>-0.001035882536846627</v>
      </c>
      <c r="J82" s="143" t="n">
        <v>0.001704244598047896</v>
      </c>
      <c r="K82" s="143" t="n">
        <v>-2.99559704680136e-05</v>
      </c>
      <c r="L82" s="143" t="n">
        <v>0.0008407463863800569</v>
      </c>
      <c r="M82" s="143" t="n">
        <v>0.002889686633190329</v>
      </c>
      <c r="N82" s="143" t="n">
        <v>0.008569453211573342</v>
      </c>
      <c r="O82" s="143" t="n">
        <v>-0.001234624597446208</v>
      </c>
      <c r="P82" s="143" t="n">
        <v>0.03742957124849618</v>
      </c>
      <c r="Q82" s="143" t="n">
        <v>0.03312943029998865</v>
      </c>
      <c r="R82" s="143" t="n">
        <v>0.01019331377238665</v>
      </c>
      <c r="S82" s="143" t="n">
        <v>0.04054475958477496</v>
      </c>
      <c r="T82" s="143" t="n">
        <v>0.03942678995829123</v>
      </c>
      <c r="U82" s="143" t="n">
        <v>-0.05269934774161941</v>
      </c>
      <c r="V82" s="143" t="n">
        <v>0.02037565919719248</v>
      </c>
      <c r="W82" s="143" t="n">
        <v>0.004090104350853217</v>
      </c>
      <c r="X82" s="143" t="n">
        <v>0.009333695084811033</v>
      </c>
      <c r="Y82" s="143" t="n">
        <v>0.005096818136886319</v>
      </c>
      <c r="Z82" s="143" t="n">
        <v>0.01089207584750105</v>
      </c>
      <c r="AA82" s="143" t="n">
        <v>0.02753864929792862</v>
      </c>
      <c r="AB82" s="143" t="n">
        <v>0.009988097955187174</v>
      </c>
      <c r="AC82" s="143" t="n">
        <v>0.01966926408224496</v>
      </c>
      <c r="AD82" s="143" t="n">
        <v>0.01304878469687653</v>
      </c>
      <c r="AE82" s="143" t="n">
        <v>0.03871158758455141</v>
      </c>
      <c r="AF82" s="143" t="n">
        <v>0.04105672113066238</v>
      </c>
      <c r="AG82" s="143" t="n">
        <v>0.03067423453524873</v>
      </c>
      <c r="AH82" s="143" t="n">
        <v>-0.0156716724555762</v>
      </c>
      <c r="AI82" s="143" t="n">
        <v>-0.01120588608816773</v>
      </c>
      <c r="AJ82" s="143" t="n">
        <v>0.005398707927579234</v>
      </c>
      <c r="AK82" s="143" t="n">
        <v>4.97355158087992e-05</v>
      </c>
      <c r="AL82" s="143" t="n">
        <v>0.0008812666226042063</v>
      </c>
      <c r="AM82" s="143" t="n">
        <v>-0.04243964720825822</v>
      </c>
      <c r="AN82" s="143" t="n">
        <v>-0.01575207551490341</v>
      </c>
      <c r="AO82" s="143" t="n">
        <v>-0.02133149133449729</v>
      </c>
      <c r="AP82" s="143" t="n">
        <v>-0.009373219454131998</v>
      </c>
      <c r="AQ82" s="143" t="n">
        <v>-0.03339152829659967</v>
      </c>
      <c r="AR82" s="143" t="n">
        <v>-0.003803073771401304</v>
      </c>
      <c r="AS82" s="143" t="n">
        <v>-0.007024874823929773</v>
      </c>
      <c r="AT82" s="143" t="n">
        <v>-0.007773365962110737</v>
      </c>
      <c r="AU82" s="143" t="n">
        <v>-0.009890085683587575</v>
      </c>
      <c r="AV82" s="143" t="n">
        <v>-0.01142907702973204</v>
      </c>
      <c r="AW82" s="143" t="n">
        <v>0.005546075664453666</v>
      </c>
      <c r="AX82" s="143" t="n">
        <v>0.003526160934775122</v>
      </c>
      <c r="AY82" s="143" t="n">
        <v>0.007911768052179679</v>
      </c>
      <c r="AZ82" s="143" t="n">
        <v>0.004982393776403722</v>
      </c>
      <c r="BA82" s="143" t="n">
        <v>0.006277853821175503</v>
      </c>
      <c r="BB82" s="143" t="n">
        <v>-0.006613890430244363</v>
      </c>
      <c r="BC82" s="143" t="n">
        <v>-0.002253194595179001</v>
      </c>
      <c r="BD82" s="143" t="n">
        <v>-0.001949557599973156</v>
      </c>
      <c r="BE82" s="143" t="n">
        <v>-0.001740237813105948</v>
      </c>
      <c r="BF82" s="143" t="n">
        <v>-0.004985491848098962</v>
      </c>
      <c r="BG82" s="143" t="n">
        <v>-0.03275400822436968</v>
      </c>
      <c r="BH82" s="143" t="n">
        <v>-0.0005174955009967275</v>
      </c>
      <c r="BI82" s="143" t="n">
        <v>0.001231482045143419</v>
      </c>
      <c r="BJ82" s="143" t="n">
        <v>-0.001131846730423122</v>
      </c>
      <c r="BK82" s="143" t="n">
        <v>-0.00275805392925396</v>
      </c>
      <c r="BL82" s="143" t="n">
        <v>-0.001519608600687464</v>
      </c>
      <c r="BM82" s="143" t="n">
        <v>0.02875358695448657</v>
      </c>
      <c r="BN82" s="143" t="n">
        <v>0.03061559305040735</v>
      </c>
      <c r="BO82" s="143" t="n">
        <v>0.02207762260006915</v>
      </c>
      <c r="BP82" s="143" t="n">
        <v>0.03563032879208829</v>
      </c>
      <c r="BQ82" s="143" t="n">
        <v>-0.002858413076924366</v>
      </c>
      <c r="BR82" s="143" t="n">
        <v>-0.01031603510286054</v>
      </c>
      <c r="BS82" s="143" t="n">
        <v>0.008973889276059351</v>
      </c>
      <c r="BT82" s="143" t="n">
        <v>0.0006433226401631576</v>
      </c>
      <c r="BU82" s="143" t="n">
        <v>-0.00118597404198515</v>
      </c>
      <c r="BV82" s="143" t="n">
        <v>-0.1024234092990846</v>
      </c>
      <c r="BW82" s="143" t="n">
        <v>-0.1260444073993549</v>
      </c>
      <c r="BX82" s="143" t="n">
        <v>-0.08357265381848272</v>
      </c>
      <c r="BY82" s="143" t="n">
        <v>-0.1204960045235484</v>
      </c>
      <c r="BZ82" s="143" t="n">
        <v>-0.1077342527442223</v>
      </c>
      <c r="CA82" s="143" t="n">
        <v>0.01446680018608391</v>
      </c>
      <c r="CB82" s="143" t="n">
        <v>0.01635603363300456</v>
      </c>
      <c r="CC82" s="143" t="n">
        <v>0.0645088286174524</v>
      </c>
      <c r="CD82" s="143" t="n">
        <v>0.051210458318513</v>
      </c>
      <c r="CE82" s="143" t="n">
        <v>0.03051763166800089</v>
      </c>
    </row>
    <row r="83">
      <c r="A83" s="251" t="n">
        <v>45839</v>
      </c>
      <c r="B83" s="3" t="n">
        <v>0</v>
      </c>
      <c r="C83" s="143" t="n">
        <v>0.04237301732793522</v>
      </c>
      <c r="D83" s="143" t="n">
        <v>-0.01083310497953136</v>
      </c>
      <c r="E83" s="143" t="n">
        <v>-0.006485332839671832</v>
      </c>
      <c r="F83" s="143" t="n">
        <v>-0.00896129249195202</v>
      </c>
      <c r="G83" s="143" t="n">
        <v>-0.004510030576325466</v>
      </c>
      <c r="H83" s="143" t="n">
        <v>-0.002971071727524457</v>
      </c>
      <c r="I83" s="143" t="n">
        <v>0.002131320106704387</v>
      </c>
      <c r="J83" s="143" t="n">
        <v>-0.001147326208380972</v>
      </c>
      <c r="K83" s="143" t="n">
        <v>-0.001885189750159031</v>
      </c>
      <c r="L83" s="143" t="n">
        <v>0.0002410256428197863</v>
      </c>
      <c r="M83" s="143" t="n">
        <v>0.003928888401452509</v>
      </c>
      <c r="N83" s="143" t="n">
        <v>-0.0001058029849377096</v>
      </c>
      <c r="O83" s="143" t="n">
        <v>0.006132468494905371</v>
      </c>
      <c r="P83" s="143" t="n">
        <v>0.04178150941093371</v>
      </c>
      <c r="Q83" s="143" t="n">
        <v>0.04524126503331787</v>
      </c>
      <c r="R83" s="143" t="n">
        <v>0.01997226519630232</v>
      </c>
      <c r="S83" s="143" t="n">
        <v>0.04349310959850435</v>
      </c>
      <c r="T83" s="143" t="n">
        <v>0.04101657987596431</v>
      </c>
      <c r="U83" s="143" t="n">
        <v>-0.05269934774161941</v>
      </c>
      <c r="V83" s="143" t="n">
        <v>0.01903140644968936</v>
      </c>
      <c r="W83" s="143" t="n">
        <v>0.004622081662076835</v>
      </c>
      <c r="X83" s="143" t="n">
        <v>0.008189856734595394</v>
      </c>
      <c r="Y83" s="143" t="n">
        <v>0.005440023487478731</v>
      </c>
      <c r="Z83" s="143" t="n">
        <v>0.01028964697946845</v>
      </c>
      <c r="AA83" s="143" t="n">
        <v>0.01887861212073181</v>
      </c>
      <c r="AB83" s="143" t="n">
        <v>0.008283772550010107</v>
      </c>
      <c r="AC83" s="143" t="n">
        <v>0.01439758369358746</v>
      </c>
      <c r="AD83" s="143" t="n">
        <v>0.0111657441174866</v>
      </c>
      <c r="AE83" s="143" t="n">
        <v>0.02222752014007524</v>
      </c>
      <c r="AF83" s="143" t="n">
        <v>0.03458503948050612</v>
      </c>
      <c r="AG83" s="143" t="n">
        <v>0.03597173405732106</v>
      </c>
      <c r="AH83" s="143" t="n">
        <v>-0.01267573661169084</v>
      </c>
      <c r="AI83" s="143" t="n">
        <v>0.002446631590937565</v>
      </c>
      <c r="AJ83" s="143" t="n">
        <v>0.005672295194037161</v>
      </c>
      <c r="AK83" s="143" t="n">
        <v>0.002212447299956551</v>
      </c>
      <c r="AL83" s="143" t="n">
        <v>0.002854757267108947</v>
      </c>
      <c r="AM83" s="143" t="n">
        <v>-0.02924335838255928</v>
      </c>
      <c r="AN83" s="143" t="n">
        <v>0.008602260304099003</v>
      </c>
      <c r="AO83" s="143" t="n">
        <v>-0.003051585136762092</v>
      </c>
      <c r="AP83" s="143" t="n">
        <v>0.01157140769004094</v>
      </c>
      <c r="AQ83" s="143" t="n">
        <v>-0.007598063568824372</v>
      </c>
      <c r="AR83" s="143" t="n">
        <v>-0.005736446962971882</v>
      </c>
      <c r="AS83" s="143" t="n">
        <v>-0.008273557726113434</v>
      </c>
      <c r="AT83" s="143" t="n">
        <v>-0.01377617313316164</v>
      </c>
      <c r="AU83" s="143" t="n">
        <v>-0.01189250560510518</v>
      </c>
      <c r="AV83" s="143" t="n">
        <v>-0.01492944106360522</v>
      </c>
      <c r="AW83" s="143" t="n">
        <v>-0.0002324458684550625</v>
      </c>
      <c r="AX83" s="143" t="n">
        <v>0.002523021024895742</v>
      </c>
      <c r="AY83" s="143" t="n">
        <v>0.00223151047300194</v>
      </c>
      <c r="AZ83" s="143" t="n">
        <v>-0.001116443667316636</v>
      </c>
      <c r="BA83" s="143" t="n">
        <v>0.00282100192142118</v>
      </c>
      <c r="BB83" s="143" t="n">
        <v>-0.01045724407090194</v>
      </c>
      <c r="BC83" s="143" t="n">
        <v>-0.008582379854681446</v>
      </c>
      <c r="BD83" s="143" t="n">
        <v>-0.003422172530254016</v>
      </c>
      <c r="BE83" s="143" t="n">
        <v>-0.007492082651860974</v>
      </c>
      <c r="BF83" s="143" t="n">
        <v>-0.00680037908060799</v>
      </c>
      <c r="BG83" s="143" t="n">
        <v>-0.0346254649310612</v>
      </c>
      <c r="BH83" s="143" t="n">
        <v>0.0003554417181770111</v>
      </c>
      <c r="BI83" s="143" t="n">
        <v>-0.002750607012579994</v>
      </c>
      <c r="BJ83" s="143" t="n">
        <v>-0.004244360536227571</v>
      </c>
      <c r="BK83" s="143" t="n">
        <v>-0.002310812469476401</v>
      </c>
      <c r="BL83" s="143" t="n">
        <v>-0.009163604654400819</v>
      </c>
      <c r="BM83" s="143" t="n">
        <v>-0.00781189510600295</v>
      </c>
      <c r="BN83" s="143" t="n">
        <v>0.009724440628908509</v>
      </c>
      <c r="BO83" s="143" t="n">
        <v>-4.446437086326028e-06</v>
      </c>
      <c r="BP83" s="143" t="n">
        <v>0.0195601149210799</v>
      </c>
      <c r="BQ83" s="143" t="n">
        <v>-0.008786812999305674</v>
      </c>
      <c r="BR83" s="143" t="n">
        <v>-0.01303365929993981</v>
      </c>
      <c r="BS83" s="143" t="n">
        <v>-0.0003420041129710172</v>
      </c>
      <c r="BT83" s="143" t="n">
        <v>-0.009319936637136282</v>
      </c>
      <c r="BU83" s="143" t="n">
        <v>-0.006563422832723612</v>
      </c>
      <c r="BV83" s="143" t="n">
        <v>-0.1024234092990846</v>
      </c>
      <c r="BW83" s="143" t="n">
        <v>-0.1260444073993549</v>
      </c>
      <c r="BX83" s="143" t="n">
        <v>-0.08357265381848272</v>
      </c>
      <c r="BY83" s="143" t="n">
        <v>-0.1204960045235484</v>
      </c>
      <c r="BZ83" s="143" t="n">
        <v>-0.1077342527442223</v>
      </c>
      <c r="CA83" s="143" t="n">
        <v>0.01685911771645719</v>
      </c>
      <c r="CB83" s="143" t="n">
        <v>0.02176759805714207</v>
      </c>
      <c r="CC83" s="143" t="n">
        <v>0.04841761558441588</v>
      </c>
      <c r="CD83" s="143" t="n">
        <v>0.0396176945152068</v>
      </c>
      <c r="CE83" s="143" t="n">
        <v>0.03031826468063846</v>
      </c>
    </row>
    <row r="84">
      <c r="A84" s="252" t="n">
        <v>45931</v>
      </c>
      <c r="B84" s="237" t="n">
        <v>0</v>
      </c>
      <c r="C84" s="143" t="n">
        <v>0.04396944245542461</v>
      </c>
      <c r="D84" s="143" t="n">
        <v>-0.01495731573188184</v>
      </c>
      <c r="E84" s="143" t="n">
        <v>-0.0015831770928761</v>
      </c>
      <c r="F84" s="143" t="n">
        <v>-0.004416802623543429</v>
      </c>
      <c r="G84" s="143" t="n">
        <v>-0.002875125617403971</v>
      </c>
      <c r="H84" s="143" t="n">
        <v>-0.002454716788035689</v>
      </c>
      <c r="I84" s="143" t="n">
        <v>0.002119217643139813</v>
      </c>
      <c r="J84" s="143" t="n">
        <v>-0.002337955080212719</v>
      </c>
      <c r="K84" s="143" t="n">
        <v>-0.0008891444535821161</v>
      </c>
      <c r="L84" s="143" t="n">
        <v>0.0003671378361122925</v>
      </c>
      <c r="M84" s="143" t="n">
        <v>-0.005215002490154347</v>
      </c>
      <c r="N84" s="143" t="n">
        <v>-0.007687410428331922</v>
      </c>
      <c r="O84" s="143" t="n">
        <v>0.004962486592115477</v>
      </c>
      <c r="P84" s="143" t="n">
        <v>0.03742957124849618</v>
      </c>
      <c r="Q84" s="143" t="n">
        <v>0.04179770417776348</v>
      </c>
      <c r="R84" s="143" t="n">
        <v>0.02303854657498775</v>
      </c>
      <c r="S84" s="143" t="n">
        <v>0.03334207901432203</v>
      </c>
      <c r="T84" s="143" t="n">
        <v>0.03212700458630926</v>
      </c>
      <c r="U84" s="143" t="n">
        <v>-0.05269934774161941</v>
      </c>
      <c r="V84" s="143" t="n">
        <v>0.01317770826159052</v>
      </c>
      <c r="W84" s="143" t="n">
        <v>0.004575896457294544</v>
      </c>
      <c r="X84" s="143" t="n">
        <v>0.005625866345876001</v>
      </c>
      <c r="Y84" s="143" t="n">
        <v>0.004224583351629494</v>
      </c>
      <c r="Z84" s="143" t="n">
        <v>0.009803782933102351</v>
      </c>
      <c r="AA84" s="143" t="n">
        <v>0.007791627681452913</v>
      </c>
      <c r="AB84" s="143" t="n">
        <v>0.006728532370691834</v>
      </c>
      <c r="AC84" s="143" t="n">
        <v>0.01004418249722842</v>
      </c>
      <c r="AD84" s="143" t="n">
        <v>0.0091603111760969</v>
      </c>
      <c r="AE84" s="143" t="n">
        <v>0.008771098725698232</v>
      </c>
      <c r="AF84" s="143" t="n">
        <v>0.03032481201125123</v>
      </c>
      <c r="AG84" s="143" t="n">
        <v>0.03454419897639802</v>
      </c>
      <c r="AH84" s="143" t="n">
        <v>-0.004100629426194061</v>
      </c>
      <c r="AI84" s="143" t="n">
        <v>0.02698480034257721</v>
      </c>
      <c r="AJ84" s="143" t="n">
        <v>-0.001688127351745916</v>
      </c>
      <c r="AK84" s="143" t="n">
        <v>0.009734249696509255</v>
      </c>
      <c r="AL84" s="143" t="n">
        <v>0.007740456669460979</v>
      </c>
      <c r="AM84" s="143" t="n">
        <v>-0.01818146726984917</v>
      </c>
      <c r="AN84" s="143" t="n">
        <v>0.01946824026619189</v>
      </c>
      <c r="AO84" s="143" t="n">
        <v>0.02553201054920605</v>
      </c>
      <c r="AP84" s="143" t="n">
        <v>0.02664259445795938</v>
      </c>
      <c r="AQ84" s="143" t="n">
        <v>0.01070835176986191</v>
      </c>
      <c r="AR84" s="143" t="n">
        <v>-0.01053079044940752</v>
      </c>
      <c r="AS84" s="143" t="n">
        <v>-0.0174306178848429</v>
      </c>
      <c r="AT84" s="143" t="n">
        <v>-0.01810021993697769</v>
      </c>
      <c r="AU84" s="143" t="n">
        <v>-0.01770670562505267</v>
      </c>
      <c r="AV84" s="143" t="n">
        <v>-0.02290162611578002</v>
      </c>
      <c r="AW84" s="143" t="n">
        <v>-4.426875558383907e-05</v>
      </c>
      <c r="AX84" s="143" t="n">
        <v>-0.000538594491774126</v>
      </c>
      <c r="AY84" s="143" t="n">
        <v>-0.001065392092785651</v>
      </c>
      <c r="AZ84" s="143" t="n">
        <v>-0.001449503417890348</v>
      </c>
      <c r="BA84" s="143" t="n">
        <v>0.002067315059902877</v>
      </c>
      <c r="BB84" s="143" t="n">
        <v>-0.01154676491357863</v>
      </c>
      <c r="BC84" s="143" t="n">
        <v>-0.01165745946888338</v>
      </c>
      <c r="BD84" s="143" t="n">
        <v>-0.003455251478941226</v>
      </c>
      <c r="BE84" s="143" t="n">
        <v>-0.008227208764219356</v>
      </c>
      <c r="BF84" s="143" t="n">
        <v>-0.005910755013086581</v>
      </c>
      <c r="BG84" s="143" t="n">
        <v>-0.03586969469764258</v>
      </c>
      <c r="BH84" s="143" t="n">
        <v>-0.002425239480189639</v>
      </c>
      <c r="BI84" s="143" t="n">
        <v>-0.007042343253197569</v>
      </c>
      <c r="BJ84" s="143" t="n">
        <v>-0.005542557759595967</v>
      </c>
      <c r="BK84" s="143" t="n">
        <v>-0.0039840588125202</v>
      </c>
      <c r="BL84" s="143" t="n">
        <v>-0.01096474974170347</v>
      </c>
      <c r="BM84" s="143" t="n">
        <v>-0.01684405126399537</v>
      </c>
      <c r="BN84" s="143" t="n">
        <v>0.001787980165067733</v>
      </c>
      <c r="BO84" s="143" t="n">
        <v>-0.005819986334439107</v>
      </c>
      <c r="BP84" s="143" t="n">
        <v>0.01049250107201671</v>
      </c>
      <c r="BQ84" s="143" t="n">
        <v>-0.01643007882257638</v>
      </c>
      <c r="BR84" s="143" t="n">
        <v>-0.01739992992185749</v>
      </c>
      <c r="BS84" s="143" t="n">
        <v>-0.0138212495804769</v>
      </c>
      <c r="BT84" s="143" t="n">
        <v>-0.01965049785647835</v>
      </c>
      <c r="BU84" s="143" t="n">
        <v>-0.01303010905622608</v>
      </c>
      <c r="BV84" s="143" t="n">
        <v>-0.1024234092990846</v>
      </c>
      <c r="BW84" s="143" t="n">
        <v>-0.1260444073993549</v>
      </c>
      <c r="BX84" s="143" t="n">
        <v>-0.08357265381848272</v>
      </c>
      <c r="BY84" s="143" t="n">
        <v>-0.1204960045235484</v>
      </c>
      <c r="BZ84" s="143" t="n">
        <v>-0.1077342527442223</v>
      </c>
      <c r="CA84" s="143" t="n">
        <v>0.01787599428138196</v>
      </c>
      <c r="CB84" s="143" t="n">
        <v>0.01798844069048073</v>
      </c>
      <c r="CC84" s="143" t="n">
        <v>0.02808554820294698</v>
      </c>
      <c r="CD84" s="143" t="n">
        <v>0.02874088682847208</v>
      </c>
      <c r="CE84" s="143" t="n">
        <v>0.02750042810961036</v>
      </c>
    </row>
    <row r="85">
      <c r="A85" s="252" t="n">
        <v>46023</v>
      </c>
      <c r="B85" s="237" t="n">
        <v>0</v>
      </c>
      <c r="C85" s="143" t="n">
        <v>0.04818490892077246</v>
      </c>
      <c r="D85" s="143" t="n">
        <v>0.005910168069720552</v>
      </c>
      <c r="E85" s="143" t="n">
        <v>0.0003478712024307134</v>
      </c>
      <c r="F85" s="143" t="n">
        <v>0.003411196280931431</v>
      </c>
      <c r="G85" s="143" t="n">
        <v>0.000853022228633549</v>
      </c>
      <c r="H85" s="143" t="n">
        <v>-0.001321174494326175</v>
      </c>
      <c r="I85" s="143" t="n">
        <v>0.0006937033482619242</v>
      </c>
      <c r="J85" s="143" t="n">
        <v>-0.001724169858425633</v>
      </c>
      <c r="K85" s="143" t="n">
        <v>0.001248529384882065</v>
      </c>
      <c r="L85" s="143" t="n">
        <v>0.0008237718657976146</v>
      </c>
      <c r="M85" s="143" t="n">
        <v>-0.008660490636117775</v>
      </c>
      <c r="N85" s="143" t="n">
        <v>-0.002192808528822031</v>
      </c>
      <c r="O85" s="143" t="n">
        <v>0.003992735202676994</v>
      </c>
      <c r="P85" s="143" t="n">
        <v>0.0438294803109043</v>
      </c>
      <c r="Q85" s="143" t="n">
        <v>0.02992335639998976</v>
      </c>
      <c r="R85" s="143" t="n">
        <v>0.02577333807489635</v>
      </c>
      <c r="S85" s="143" t="n">
        <v>0.03575616426046287</v>
      </c>
      <c r="T85" s="143" t="n">
        <v>0.03673739534756102</v>
      </c>
      <c r="U85" s="143" t="n">
        <v>-0.05269934774161941</v>
      </c>
      <c r="V85" s="143" t="n">
        <v>0.002492097710320352</v>
      </c>
      <c r="W85" s="143" t="n">
        <v>0.004110402303542794</v>
      </c>
      <c r="X85" s="143" t="n">
        <v>0.002981390063710941</v>
      </c>
      <c r="Y85" s="143" t="n">
        <v>0.002814382379619237</v>
      </c>
      <c r="Z85" s="143" t="n">
        <v>0.009046444097862439</v>
      </c>
      <c r="AA85" s="143" t="n">
        <v>-0.001856539376551252</v>
      </c>
      <c r="AB85" s="143" t="n">
        <v>0.005612691333282821</v>
      </c>
      <c r="AC85" s="143" t="n">
        <v>0.006014405280926012</v>
      </c>
      <c r="AD85" s="143" t="n">
        <v>0.007071617608446367</v>
      </c>
      <c r="AE85" s="143" t="n">
        <v>0.001830081711005584</v>
      </c>
      <c r="AF85" s="143" t="n">
        <v>0.02751114810766275</v>
      </c>
      <c r="AG85" s="143" t="n">
        <v>0.03491976587123386</v>
      </c>
      <c r="AH85" s="143" t="n">
        <v>-0.007762107554767794</v>
      </c>
      <c r="AI85" s="143" t="n">
        <v>0.01679062870535343</v>
      </c>
      <c r="AJ85" s="143" t="n">
        <v>0.002020774610205565</v>
      </c>
      <c r="AK85" s="143" t="n">
        <v>0.006422601718553306</v>
      </c>
      <c r="AL85" s="143" t="n">
        <v>0.00445138312377216</v>
      </c>
      <c r="AM85" s="143" t="n">
        <v>-0.01641074137636949</v>
      </c>
      <c r="AN85" s="143" t="n">
        <v>0.01978561667887817</v>
      </c>
      <c r="AO85" s="143" t="n">
        <v>0.03489089320035513</v>
      </c>
      <c r="AP85" s="143" t="n">
        <v>0.02469345634382389</v>
      </c>
      <c r="AQ85" s="143" t="n">
        <v>0.01712384094919165</v>
      </c>
      <c r="AR85" s="143" t="n">
        <v>-0.01303571534985759</v>
      </c>
      <c r="AS85" s="143" t="n">
        <v>-0.01476906734209159</v>
      </c>
      <c r="AT85" s="143" t="n">
        <v>-0.02309224486655994</v>
      </c>
      <c r="AU85" s="143" t="n">
        <v>-0.01906227442618511</v>
      </c>
      <c r="AV85" s="143" t="n">
        <v>-0.02537395286361034</v>
      </c>
      <c r="AW85" s="143" t="n">
        <v>0.001446463346293841</v>
      </c>
      <c r="AX85" s="143" t="n">
        <v>-0.004226529569719134</v>
      </c>
      <c r="AY85" s="143" t="n">
        <v>-0.0002571599172523499</v>
      </c>
      <c r="AZ85" s="143" t="n">
        <v>-8.453388990071116e-05</v>
      </c>
      <c r="BA85" s="143" t="n">
        <v>0.00162783421338153</v>
      </c>
      <c r="BB85" s="143" t="n">
        <v>-0.01201984410163245</v>
      </c>
      <c r="BC85" s="143" t="n">
        <v>-0.01419522255555139</v>
      </c>
      <c r="BD85" s="143" t="n">
        <v>-0.003506849954252086</v>
      </c>
      <c r="BE85" s="143" t="n">
        <v>-0.00793189077043871</v>
      </c>
      <c r="BF85" s="143" t="n">
        <v>-0.005595479860687503</v>
      </c>
      <c r="BG85" s="143" t="n">
        <v>-0.03467646616968553</v>
      </c>
      <c r="BH85" s="143" t="n">
        <v>-0.003025818882359056</v>
      </c>
      <c r="BI85" s="143" t="n">
        <v>-0.004543103695611319</v>
      </c>
      <c r="BJ85" s="143" t="n">
        <v>-0.002206206051374129</v>
      </c>
      <c r="BK85" s="143" t="n">
        <v>-0.00250281156614856</v>
      </c>
      <c r="BL85" s="143" t="n">
        <v>-0.01208186872287921</v>
      </c>
      <c r="BM85" s="143" t="n">
        <v>-0.02115310119990902</v>
      </c>
      <c r="BN85" s="143" t="n">
        <v>0.003072184719978009</v>
      </c>
      <c r="BO85" s="143" t="n">
        <v>-0.008391892466905785</v>
      </c>
      <c r="BP85" s="143" t="n">
        <v>0.003536486999042528</v>
      </c>
      <c r="BQ85" s="143" t="n">
        <v>-0.02103515419211448</v>
      </c>
      <c r="BR85" s="143" t="n">
        <v>-0.02766889857253658</v>
      </c>
      <c r="BS85" s="143" t="n">
        <v>-0.01989635077459551</v>
      </c>
      <c r="BT85" s="143" t="n">
        <v>-0.02300034702147691</v>
      </c>
      <c r="BU85" s="143" t="n">
        <v>-0.01644863785214147</v>
      </c>
      <c r="BV85" s="143" t="n">
        <v>-0.1024234092990846</v>
      </c>
      <c r="BW85" s="143" t="n">
        <v>-0.1260444073993549</v>
      </c>
      <c r="BX85" s="143" t="n">
        <v>-0.08357265381848272</v>
      </c>
      <c r="BY85" s="143" t="n">
        <v>-0.1204960045235484</v>
      </c>
      <c r="BZ85" s="143" t="n">
        <v>-0.1077342527442223</v>
      </c>
      <c r="CA85" s="143" t="n">
        <v>0.02145727449061137</v>
      </c>
      <c r="CB85" s="143" t="n">
        <v>0.01491083416459243</v>
      </c>
      <c r="CC85" s="143" t="n">
        <v>0.02522813034279055</v>
      </c>
      <c r="CD85" s="143" t="n">
        <v>0.03078996292099157</v>
      </c>
      <c r="CE85" s="143" t="n">
        <v>0.02657776696134175</v>
      </c>
    </row>
    <row r="86">
      <c r="A86" s="252" t="n">
        <v>46113</v>
      </c>
      <c r="B86" s="237" t="n">
        <v>0</v>
      </c>
      <c r="C86" s="143" t="n">
        <v>0.0518131985402787</v>
      </c>
      <c r="D86" s="143" t="n">
        <v>0.01230424930936642</v>
      </c>
      <c r="E86" s="143" t="n">
        <v>0.005715560298728331</v>
      </c>
      <c r="F86" s="143" t="n">
        <v>0.009689651903899787</v>
      </c>
      <c r="G86" s="143" t="n">
        <v>0.004047334188895247</v>
      </c>
      <c r="H86" s="143" t="n">
        <v>-0.003859224850098494</v>
      </c>
      <c r="I86" s="143" t="n">
        <v>-0.002122312837080029</v>
      </c>
      <c r="J86" s="143" t="n">
        <v>-0.001768264712212047</v>
      </c>
      <c r="K86" s="143" t="n">
        <v>-0.001654242765475749</v>
      </c>
      <c r="L86" s="143" t="n">
        <v>-0.001639805980325117</v>
      </c>
      <c r="M86" s="143" t="n">
        <v>-0.01482206462595878</v>
      </c>
      <c r="N86" s="143" t="n">
        <v>-0.005563110756555145</v>
      </c>
      <c r="O86" s="143" t="n">
        <v>0.0008173577166921952</v>
      </c>
      <c r="P86" s="143" t="n">
        <v>0.04664544029836386</v>
      </c>
      <c r="Q86" s="143" t="n">
        <v>0.008549530399997065</v>
      </c>
      <c r="R86" s="143" t="n">
        <v>0.02908823686266435</v>
      </c>
      <c r="S86" s="143" t="n">
        <v>0.03308484042252011</v>
      </c>
      <c r="T86" s="143" t="n">
        <v>0.03747929730914178</v>
      </c>
      <c r="U86" s="143" t="n">
        <v>-0.05269934774161941</v>
      </c>
      <c r="V86" s="143" t="n">
        <v>-0.009485920736941844</v>
      </c>
      <c r="W86" s="143" t="n">
        <v>0.003963847205721759</v>
      </c>
      <c r="X86" s="143" t="n">
        <v>-0.0001771446760067642</v>
      </c>
      <c r="Y86" s="143" t="n">
        <v>0.0007630028824303537</v>
      </c>
      <c r="Z86" s="143" t="n">
        <v>0.007292088283716205</v>
      </c>
      <c r="AA86" s="143" t="n">
        <v>-0.006650791531248769</v>
      </c>
      <c r="AB86" s="143" t="n">
        <v>0.004316421859235422</v>
      </c>
      <c r="AC86" s="143" t="n">
        <v>0.001124788985602246</v>
      </c>
      <c r="AD86" s="143" t="n">
        <v>0.004415037071922097</v>
      </c>
      <c r="AE86" s="143" t="n">
        <v>0.007007153707528599</v>
      </c>
      <c r="AF86" s="143" t="n">
        <v>0.02283861707591294</v>
      </c>
      <c r="AG86" s="143" t="n">
        <v>0.03379709287431605</v>
      </c>
      <c r="AH86" s="143" t="n">
        <v>0.02944382331473186</v>
      </c>
      <c r="AI86" s="143" t="n">
        <v>0.04857465789736388</v>
      </c>
      <c r="AJ86" s="143" t="n">
        <v>0.03082049260216741</v>
      </c>
      <c r="AK86" s="143" t="n">
        <v>0.04213414946790033</v>
      </c>
      <c r="AL86" s="143" t="n">
        <v>0.0260903080943214</v>
      </c>
      <c r="AM86" s="143" t="n">
        <v>-0.04611875726974856</v>
      </c>
      <c r="AN86" s="143" t="n">
        <v>-0.00354944871854521</v>
      </c>
      <c r="AO86" s="143" t="n">
        <v>-0.0196367821344996</v>
      </c>
      <c r="AP86" s="143" t="n">
        <v>-0.02025679410846241</v>
      </c>
      <c r="AQ86" s="143" t="n">
        <v>-0.01845840690794118</v>
      </c>
      <c r="AR86" s="143" t="n">
        <v>-0.02025216415863446</v>
      </c>
      <c r="AS86" s="143" t="n">
        <v>-0.02123186691150745</v>
      </c>
      <c r="AT86" s="143" t="n">
        <v>-0.02937065337238183</v>
      </c>
      <c r="AU86" s="143" t="n">
        <v>-0.02745023984383925</v>
      </c>
      <c r="AV86" s="143" t="n">
        <v>-0.03640423236159054</v>
      </c>
      <c r="AW86" s="143" t="n">
        <v>-0.002463325437166016</v>
      </c>
      <c r="AX86" s="143" t="n">
        <v>-0.006637248029895808</v>
      </c>
      <c r="AY86" s="143" t="n">
        <v>-0.001676342812392993</v>
      </c>
      <c r="AZ86" s="143" t="n">
        <v>-0.003012722558931776</v>
      </c>
      <c r="BA86" s="143" t="n">
        <v>-0.001260787175799935</v>
      </c>
      <c r="BB86" s="143" t="n">
        <v>-0.01300418101628313</v>
      </c>
      <c r="BC86" s="143" t="n">
        <v>-0.0129020454098692</v>
      </c>
      <c r="BD86" s="143" t="n">
        <v>-0.004975961743454755</v>
      </c>
      <c r="BE86" s="143" t="n">
        <v>-0.008466529451524474</v>
      </c>
      <c r="BF86" s="143" t="n">
        <v>-0.005977666106113365</v>
      </c>
      <c r="BG86" s="143" t="n">
        <v>-0.03244361020533168</v>
      </c>
      <c r="BH86" s="143" t="n">
        <v>0.000356948922873322</v>
      </c>
      <c r="BI86" s="143" t="n">
        <v>-0.0001228578202601458</v>
      </c>
      <c r="BJ86" s="143" t="n">
        <v>0.002171452752659166</v>
      </c>
      <c r="BK86" s="143" t="n">
        <v>0.0005649527541262329</v>
      </c>
      <c r="BL86" s="143" t="n">
        <v>-0.01108298802584257</v>
      </c>
      <c r="BM86" s="143" t="n">
        <v>-0.01801226125497956</v>
      </c>
      <c r="BN86" s="143" t="n">
        <v>0.005587522269566487</v>
      </c>
      <c r="BO86" s="143" t="n">
        <v>-0.007231537588423387</v>
      </c>
      <c r="BP86" s="143" t="n">
        <v>0.0005710139161876248</v>
      </c>
      <c r="BQ86" s="143" t="n">
        <v>-0.03257585026409721</v>
      </c>
      <c r="BR86" s="143" t="n">
        <v>-0.05027292423450051</v>
      </c>
      <c r="BS86" s="143" t="n">
        <v>-0.02886279618374541</v>
      </c>
      <c r="BT86" s="143" t="n">
        <v>-0.0345073036313987</v>
      </c>
      <c r="BU86" s="143" t="n">
        <v>-0.02750708551188613</v>
      </c>
      <c r="BV86" s="143" t="n">
        <v>-0.1024234092990846</v>
      </c>
      <c r="BW86" s="143" t="n">
        <v>-0.1260444073993549</v>
      </c>
      <c r="BX86" s="143" t="n">
        <v>-0.08357265381848272</v>
      </c>
      <c r="BY86" s="143" t="n">
        <v>-0.1204960045235484</v>
      </c>
      <c r="BZ86" s="143" t="n">
        <v>-0.1077342527442223</v>
      </c>
      <c r="CA86" s="143" t="n">
        <v>0.0292146740160771</v>
      </c>
      <c r="CB86" s="143" t="n">
        <v>0.02804277407977528</v>
      </c>
      <c r="CC86" s="143" t="n">
        <v>0.0287835277950728</v>
      </c>
      <c r="CD86" s="143" t="n">
        <v>0.04531717849412698</v>
      </c>
      <c r="CE86" s="143" t="n">
        <v>0.02933779742286406</v>
      </c>
    </row>
  </sheetData>
  <mergeCells count="23">
    <mergeCell ref="AE2:AG2"/>
    <mergeCell ref="C1:T1"/>
    <mergeCell ref="AW2:BA2"/>
    <mergeCell ref="AM2:AQ2"/>
    <mergeCell ref="AH1:AV1"/>
    <mergeCell ref="U1:AG1"/>
    <mergeCell ref="U2:Y2"/>
    <mergeCell ref="AW1:BK1"/>
    <mergeCell ref="P2:T2"/>
    <mergeCell ref="CA2:CE2"/>
    <mergeCell ref="H2:L2"/>
    <mergeCell ref="BV1:CE1"/>
    <mergeCell ref="BL1:BU1"/>
    <mergeCell ref="C2:G2"/>
    <mergeCell ref="Z2:AD2"/>
    <mergeCell ref="BV2:BZ2"/>
    <mergeCell ref="BG2:BK2"/>
    <mergeCell ref="BQ2:BU2"/>
    <mergeCell ref="AH2:AL2"/>
    <mergeCell ref="BB2:BF2"/>
    <mergeCell ref="AR2:AV2"/>
    <mergeCell ref="BL2:BP2"/>
    <mergeCell ref="M2:O2"/>
  </mergeCells>
  <conditionalFormatting sqref="C5:CE83">
    <cfRule type="cellIs" priority="4" operator="greaterThan" dxfId="0">
      <formula>0</formula>
    </cfRule>
  </conditionalFormatting>
  <conditionalFormatting sqref="C84:CE84">
    <cfRule type="cellIs" priority="3" operator="greaterThan" dxfId="0">
      <formula>0</formula>
    </cfRule>
  </conditionalFormatting>
  <conditionalFormatting sqref="C85:CE85">
    <cfRule type="cellIs" priority="2" operator="greaterThan" dxfId="0">
      <formula>0</formula>
    </cfRule>
  </conditionalFormatting>
  <conditionalFormatting sqref="C86:CE86">
    <cfRule type="cellIs" priority="1" operator="greaterThan" dxfId="0">
      <formula>0</formula>
    </cfRule>
  </conditionalFormatting>
  <pageMargins left="0.7" right="0.7" top="0.75" bottom="0.75" header="0.3" footer="0.3"/>
  <pageSetup orientation="portrait" paperSize="9" verticalDpi="120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theme="7" tint="0.5999938962981048"/>
    <outlinePr summaryBelow="1" summaryRight="1"/>
    <pageSetUpPr fitToPage="1"/>
  </sheetPr>
  <dimension ref="A1:AQ78"/>
  <sheetViews>
    <sheetView zoomScale="85" zoomScaleNormal="85" workbookViewId="0">
      <pane xSplit="1" ySplit="3" topLeftCell="B55" activePane="bottomRight" state="frozen"/>
      <selection activeCell="H27" sqref="H27"/>
      <selection pane="topRight" activeCell="H27" sqref="H27"/>
      <selection pane="bottomLeft" activeCell="H27" sqref="H27"/>
      <selection pane="bottomRight" activeCell="B69" sqref="B69:B73"/>
    </sheetView>
  </sheetViews>
  <sheetFormatPr baseColWidth="8" defaultRowHeight="15" outlineLevelRow="1"/>
  <cols>
    <col width="11" bestFit="1" customWidth="1" style="106" min="1" max="1"/>
    <col width="8.5703125" customWidth="1" style="237" min="2" max="3"/>
    <col width="8.5703125" customWidth="1" style="238" min="4" max="4"/>
    <col width="8.5703125" customWidth="1" style="107" min="5" max="5"/>
    <col width="8.5703125" customWidth="1" style="237" min="6" max="6"/>
    <col width="8.5703125" customWidth="1" style="238" min="7" max="7"/>
    <col width="8.5703125" customWidth="1" style="107" min="8" max="8"/>
    <col width="8.5703125" customWidth="1" style="237" min="9" max="9"/>
    <col width="8.5703125" customWidth="1" style="238" min="10" max="10"/>
    <col width="8.5703125" customWidth="1" style="107" min="11" max="11"/>
    <col width="8.5703125" customWidth="1" style="237" min="12" max="12"/>
    <col width="8.5703125" customWidth="1" style="238" min="13" max="13"/>
    <col width="8.5703125" customWidth="1" style="107" min="14" max="14"/>
    <col width="5.5703125" bestFit="1" customWidth="1" style="237" min="15" max="15"/>
    <col width="12.28515625" bestFit="1" customWidth="1" style="238" min="16" max="16"/>
    <col width="8.5703125" customWidth="1" style="107" min="17" max="17"/>
    <col width="5.5703125" bestFit="1" customWidth="1" style="237" min="18" max="18"/>
    <col width="12.28515625" bestFit="1" customWidth="1" style="238" min="19" max="19"/>
    <col width="8.5703125" customWidth="1" style="107" min="20" max="20"/>
    <col width="8.85546875" customWidth="1" style="242" min="21" max="21"/>
    <col width="8.5703125" customWidth="1" style="241" min="22" max="22"/>
    <col width="8.5703125" customWidth="1" style="242" min="23" max="23"/>
    <col width="8.5703125" customWidth="1" style="237" min="24" max="24"/>
    <col width="8.85546875" customWidth="1" style="237" min="25" max="26"/>
    <col width="5.5703125" customWidth="1" style="59" min="27" max="27"/>
    <col width="16.5703125" customWidth="1" style="59" min="28" max="28"/>
    <col width="17.42578125" customWidth="1" style="59" min="29" max="29"/>
    <col width="19" customWidth="1" style="59" min="30" max="30"/>
    <col width="8.85546875" customWidth="1" style="59" min="31" max="43"/>
    <col width="8.85546875" customWidth="1" style="214" min="44" max="45"/>
  </cols>
  <sheetData>
    <row r="1" outlineLevel="1" ht="29.1" customHeight="1" s="214">
      <c r="B1" s="237" t="inlineStr">
        <is>
          <t>Ффинансовый стресс</t>
        </is>
      </c>
      <c r="C1" s="243" t="inlineStr">
        <is>
          <t>Корпоративный сектор</t>
        </is>
      </c>
      <c r="E1" s="190" t="n"/>
      <c r="F1" s="236" t="inlineStr">
        <is>
          <t>Сектор домохозяйств</t>
        </is>
      </c>
      <c r="G1" s="204" t="n"/>
      <c r="H1" s="205" t="n"/>
      <c r="I1" s="210" t="inlineStr">
        <is>
          <t>Сектор государственного управления</t>
        </is>
      </c>
      <c r="J1" s="204" t="n"/>
      <c r="K1" s="205" t="n"/>
      <c r="L1" s="203" t="inlineStr">
        <is>
          <t>Банковский сектор</t>
        </is>
      </c>
      <c r="M1" s="204" t="n"/>
      <c r="N1" s="205" t="n"/>
      <c r="O1" s="203" t="inlineStr">
        <is>
          <t>Внешний сектор</t>
        </is>
      </c>
      <c r="P1" s="204" t="n"/>
      <c r="Q1" s="205" t="n"/>
      <c r="R1" s="203" t="inlineStr">
        <is>
          <t>Рынок недвижимости</t>
        </is>
      </c>
      <c r="S1" s="204" t="n"/>
      <c r="T1" s="205" t="n"/>
      <c r="U1" s="240" t="inlineStr">
        <is>
          <t>Барометр финансовых уязвимостей</t>
        </is>
      </c>
      <c r="X1" s="69" t="n"/>
      <c r="Y1" s="69" t="n"/>
      <c r="Z1" s="69" t="n"/>
      <c r="AA1" s="94" t="n"/>
      <c r="AB1" s="94" t="n"/>
      <c r="AC1" s="94" t="n"/>
      <c r="AD1" s="94" t="n"/>
    </row>
    <row r="2" outlineLevel="1" ht="20.1" customHeight="1" s="214">
      <c r="E2" s="190" t="n"/>
      <c r="H2" s="190" t="n"/>
      <c r="I2" s="239" t="n"/>
      <c r="K2" s="190" t="n"/>
      <c r="L2" s="239" t="n"/>
      <c r="N2" s="190" t="n"/>
      <c r="O2" s="239" t="n"/>
      <c r="Q2" s="190" t="n"/>
      <c r="R2" s="239" t="n"/>
      <c r="T2" s="190" t="n"/>
      <c r="U2" s="90" t="n"/>
      <c r="V2" s="90" t="n"/>
      <c r="W2" s="90" t="n"/>
      <c r="X2" s="69" t="n"/>
      <c r="Y2" s="69" t="n"/>
      <c r="Z2" s="69" t="n"/>
      <c r="AA2" s="95" t="n"/>
      <c r="AB2" s="95" t="n"/>
      <c r="AC2" s="95" t="n"/>
      <c r="AD2" s="95" t="n"/>
    </row>
    <row r="3" outlineLevel="1" s="214">
      <c r="B3" s="35" t="inlineStr">
        <is>
          <t>Binary</t>
        </is>
      </c>
      <c r="C3" s="35" t="n"/>
      <c r="D3" s="37" t="inlineStr">
        <is>
          <t>S_Indicator</t>
        </is>
      </c>
      <c r="E3" s="39" t="n"/>
      <c r="F3" s="35" t="inlineStr">
        <is>
          <t>Total</t>
        </is>
      </c>
      <c r="G3" s="37" t="inlineStr">
        <is>
          <t>S_Indicator</t>
        </is>
      </c>
      <c r="H3" s="39" t="inlineStr">
        <is>
          <t xml:space="preserve"> (-)</t>
        </is>
      </c>
      <c r="I3" s="35" t="inlineStr">
        <is>
          <t>Total</t>
        </is>
      </c>
      <c r="J3" s="37" t="inlineStr">
        <is>
          <t>S_Indicator</t>
        </is>
      </c>
      <c r="K3" s="39" t="inlineStr">
        <is>
          <t xml:space="preserve"> (-)</t>
        </is>
      </c>
      <c r="L3" s="35" t="inlineStr">
        <is>
          <t>Total</t>
        </is>
      </c>
      <c r="M3" s="37" t="inlineStr">
        <is>
          <t>S_Indicator</t>
        </is>
      </c>
      <c r="N3" s="39" t="inlineStr">
        <is>
          <t xml:space="preserve"> (-)</t>
        </is>
      </c>
      <c r="O3" s="35" t="inlineStr">
        <is>
          <t>Total</t>
        </is>
      </c>
      <c r="P3" s="37" t="inlineStr">
        <is>
          <t>S_Indicator</t>
        </is>
      </c>
      <c r="Q3" s="39" t="inlineStr">
        <is>
          <t xml:space="preserve"> (-)</t>
        </is>
      </c>
      <c r="R3" s="35" t="inlineStr">
        <is>
          <t>Total</t>
        </is>
      </c>
      <c r="S3" s="37" t="inlineStr">
        <is>
          <t>S_Indicator</t>
        </is>
      </c>
      <c r="T3" s="39" t="inlineStr">
        <is>
          <t xml:space="preserve"> (-)</t>
        </is>
      </c>
      <c r="U3" s="91" t="inlineStr">
        <is>
          <t>Total</t>
        </is>
      </c>
      <c r="V3" s="92" t="inlineStr">
        <is>
          <t>Indicator</t>
        </is>
      </c>
      <c r="W3" s="93" t="inlineStr">
        <is>
          <t xml:space="preserve"> (-)</t>
        </is>
      </c>
      <c r="X3" s="255" t="inlineStr">
        <is>
          <t>Кредитный разрыв (по Требованиям банков к экономике, % ВВП), левая шкала</t>
        </is>
      </c>
      <c r="Y3" s="255" t="inlineStr">
        <is>
          <t>Критическое значение Барометра</t>
        </is>
      </c>
      <c r="Z3" s="255" t="n"/>
    </row>
    <row r="4" customFormat="1" s="19">
      <c r="A4" s="256" t="n">
        <v>39814</v>
      </c>
      <c r="B4" s="3" t="n">
        <v>1</v>
      </c>
      <c r="C4" s="14" t="n">
        <v>0.3433982451307977</v>
      </c>
      <c r="D4" s="38" t="n">
        <v>0.3433982451307977</v>
      </c>
      <c r="E4" s="15" t="n">
        <v>0</v>
      </c>
      <c r="F4" s="14" t="n">
        <v>0.2353997530799243</v>
      </c>
      <c r="G4" s="38" t="n">
        <v>0.2353997530799243</v>
      </c>
      <c r="H4" s="15" t="n">
        <v>0</v>
      </c>
      <c r="I4" s="14" t="n">
        <v>0.002227902407437549</v>
      </c>
      <c r="J4" s="38" t="n">
        <v>0.002227902407437549</v>
      </c>
      <c r="K4" s="15" t="n">
        <v>0</v>
      </c>
      <c r="L4" s="14" t="n">
        <v>0.2659513649052572</v>
      </c>
      <c r="M4" s="38" t="n">
        <v>0.2659513649052572</v>
      </c>
      <c r="N4" s="15" t="n">
        <v>0</v>
      </c>
      <c r="O4" s="108" t="n">
        <v>0.3256198001966477</v>
      </c>
      <c r="P4" s="38" t="n">
        <v>0.3256198001966477</v>
      </c>
      <c r="Q4" s="15" t="n">
        <v>0</v>
      </c>
      <c r="R4" s="108" t="n">
        <v>0.3614192840097927</v>
      </c>
      <c r="S4" s="38" t="n">
        <v>0.3614192840097927</v>
      </c>
      <c r="T4" s="15" t="n">
        <v>0</v>
      </c>
      <c r="U4" s="109" t="n">
        <v>1.534016349729857</v>
      </c>
      <c r="V4" s="110" t="n">
        <v>1.534016349729857</v>
      </c>
      <c r="W4" s="109" t="n">
        <v>0</v>
      </c>
      <c r="X4" s="108" t="n">
        <v>0.9254061935790432</v>
      </c>
      <c r="Y4" s="108" t="n">
        <v>1.5</v>
      </c>
      <c r="Z4" s="108" t="inlineStr">
        <is>
          <t>2009 кв.1</t>
        </is>
      </c>
      <c r="AA4" s="58" t="n"/>
      <c r="AB4" s="58" t="n"/>
      <c r="AC4" s="58" t="n"/>
      <c r="AD4" s="58" t="n"/>
      <c r="AE4" s="59" t="n"/>
      <c r="AF4" s="59" t="n"/>
      <c r="AG4" s="59" t="n"/>
      <c r="AH4" s="59" t="n"/>
      <c r="AI4" s="59" t="n"/>
      <c r="AJ4" s="59" t="n"/>
      <c r="AK4" s="59" t="n"/>
      <c r="AL4" s="59" t="n"/>
      <c r="AM4" s="59" t="n"/>
      <c r="AN4" s="59" t="n"/>
      <c r="AO4" s="59" t="n"/>
      <c r="AP4" s="59" t="n"/>
      <c r="AQ4" s="59" t="n"/>
    </row>
    <row r="5">
      <c r="A5" s="256" t="n">
        <v>39904</v>
      </c>
      <c r="B5" s="3" t="n">
        <v>0</v>
      </c>
      <c r="C5" s="14" t="n">
        <v>0.5981333738730118</v>
      </c>
      <c r="D5" s="38" t="n">
        <v>0.5981333738730118</v>
      </c>
      <c r="E5" s="15" t="n">
        <v>0</v>
      </c>
      <c r="F5" s="14" t="n">
        <v>0.3172920245130848</v>
      </c>
      <c r="G5" s="38" t="n">
        <v>0.3172920245130848</v>
      </c>
      <c r="H5" s="15" t="n">
        <v>0</v>
      </c>
      <c r="I5" s="14" t="n">
        <v>0.2196280440146458</v>
      </c>
      <c r="J5" s="38" t="n">
        <v>0.2196280440146458</v>
      </c>
      <c r="K5" s="15" t="n">
        <v>0</v>
      </c>
      <c r="L5" s="14" t="n">
        <v>0.2782593055078044</v>
      </c>
      <c r="M5" s="38" t="n">
        <v>0.2782593055078044</v>
      </c>
      <c r="N5" s="15" t="n">
        <v>0</v>
      </c>
      <c r="O5" s="108" t="n">
        <v>0.4821036054444649</v>
      </c>
      <c r="P5" s="38" t="n">
        <v>0.4821036054444649</v>
      </c>
      <c r="Q5" s="15" t="n">
        <v>0</v>
      </c>
      <c r="R5" s="108" t="n">
        <v>0.4137098908715894</v>
      </c>
      <c r="S5" s="38" t="n">
        <v>0.4137098908715894</v>
      </c>
      <c r="T5" s="15" t="n">
        <v>0</v>
      </c>
      <c r="U5" s="109" t="n">
        <v>2.309126244224601</v>
      </c>
      <c r="V5" s="110" t="n">
        <v>2.309126244224601</v>
      </c>
      <c r="W5" s="109" t="n">
        <v>0</v>
      </c>
      <c r="X5" s="108" t="n">
        <v>1.542732728743218</v>
      </c>
      <c r="Y5" s="108" t="n">
        <v>1.5</v>
      </c>
      <c r="Z5" s="108" t="inlineStr">
        <is>
          <t>2009 кв.2</t>
        </is>
      </c>
      <c r="AA5" s="58" t="n"/>
      <c r="AB5" s="58" t="n"/>
      <c r="AC5" s="58" t="n"/>
      <c r="AD5" s="58" t="n"/>
    </row>
    <row r="6">
      <c r="A6" s="256" t="n">
        <v>39995</v>
      </c>
      <c r="B6" s="3" t="n">
        <v>0</v>
      </c>
      <c r="C6" s="14" t="n">
        <v>0.5520796133731847</v>
      </c>
      <c r="D6" s="38" t="n">
        <v>0.5520796133731847</v>
      </c>
      <c r="E6" s="15" t="n">
        <v>0</v>
      </c>
      <c r="F6" s="14" t="n">
        <v>0.3363422484410085</v>
      </c>
      <c r="G6" s="38" t="n">
        <v>0.3363422484410085</v>
      </c>
      <c r="H6" s="15" t="n">
        <v>0</v>
      </c>
      <c r="I6" s="14" t="n">
        <v>0.3112935691559525</v>
      </c>
      <c r="J6" s="38" t="n">
        <v>0.3112935691559525</v>
      </c>
      <c r="K6" s="15" t="n">
        <v>0</v>
      </c>
      <c r="L6" s="14" t="n">
        <v>0.3681775528613687</v>
      </c>
      <c r="M6" s="38" t="n">
        <v>0.3681775528613687</v>
      </c>
      <c r="N6" s="15" t="n">
        <v>0</v>
      </c>
      <c r="O6" s="108" t="n">
        <v>0.4899419210319745</v>
      </c>
      <c r="P6" s="38" t="n">
        <v>0.4899419210319745</v>
      </c>
      <c r="Q6" s="15" t="n">
        <v>0</v>
      </c>
      <c r="R6" s="108" t="n">
        <v>0.268337737974378</v>
      </c>
      <c r="S6" s="38" t="n">
        <v>0.268337737974378</v>
      </c>
      <c r="T6" s="15" t="n">
        <v>0</v>
      </c>
      <c r="U6" s="109" t="n">
        <v>2.326172642837867</v>
      </c>
      <c r="V6" s="110" t="n">
        <v>2.326172642837867</v>
      </c>
      <c r="W6" s="109" t="n">
        <v>0</v>
      </c>
      <c r="X6" s="108" t="n">
        <v>2.594650635828629</v>
      </c>
      <c r="Y6" s="108" t="n">
        <v>1.5</v>
      </c>
      <c r="Z6" s="108" t="inlineStr">
        <is>
          <t>2009 кв.3</t>
        </is>
      </c>
      <c r="AA6" s="58" t="n"/>
      <c r="AB6" s="58" t="n"/>
      <c r="AC6" s="58" t="n"/>
      <c r="AD6" s="58" t="n"/>
    </row>
    <row r="7">
      <c r="A7" s="256" t="n">
        <v>40087</v>
      </c>
      <c r="B7" s="3" t="n">
        <v>0</v>
      </c>
      <c r="C7" s="14" t="n">
        <v>0.437278312446689</v>
      </c>
      <c r="D7" s="38" t="n">
        <v>0.437278312446689</v>
      </c>
      <c r="E7" s="15" t="n">
        <v>0</v>
      </c>
      <c r="F7" s="14" t="n">
        <v>0.3436800819267417</v>
      </c>
      <c r="G7" s="38" t="n">
        <v>0.3436800819267417</v>
      </c>
      <c r="H7" s="15" t="n">
        <v>0</v>
      </c>
      <c r="I7" s="14" t="n">
        <v>0.05098714310295202</v>
      </c>
      <c r="J7" s="38" t="n">
        <v>0.05098714310295202</v>
      </c>
      <c r="K7" s="15" t="n">
        <v>0</v>
      </c>
      <c r="L7" s="14" t="n">
        <v>0.3885939868112386</v>
      </c>
      <c r="M7" s="38" t="n">
        <v>0.3885939868112386</v>
      </c>
      <c r="N7" s="15" t="n">
        <v>0</v>
      </c>
      <c r="O7" s="108" t="n">
        <v>0.5649342944068569</v>
      </c>
      <c r="P7" s="38" t="n">
        <v>0.5649342944068569</v>
      </c>
      <c r="Q7" s="15" t="n">
        <v>0</v>
      </c>
      <c r="R7" s="108" t="n">
        <v>-0.08760684650912905</v>
      </c>
      <c r="S7" s="38" t="n">
        <v>0</v>
      </c>
      <c r="T7" s="15" t="n">
        <v>-0.08760684650912905</v>
      </c>
      <c r="U7" s="109" t="n">
        <v>1.697866972185349</v>
      </c>
      <c r="V7" s="110" t="n">
        <v>1.785473818694478</v>
      </c>
      <c r="W7" s="109" t="n">
        <v>-0.08760684650912905</v>
      </c>
      <c r="X7" s="108" t="n">
        <v>3.092050866598903</v>
      </c>
      <c r="Y7" s="108" t="n">
        <v>1.5</v>
      </c>
      <c r="Z7" s="108" t="inlineStr">
        <is>
          <t>2009 кв.4</t>
        </is>
      </c>
      <c r="AA7" s="58" t="n"/>
      <c r="AB7" s="58" t="n"/>
      <c r="AC7" s="58" t="n"/>
      <c r="AD7" s="58" t="n"/>
    </row>
    <row r="8">
      <c r="A8" s="256" t="n">
        <v>40179</v>
      </c>
      <c r="B8" s="3" t="n">
        <v>0</v>
      </c>
      <c r="C8" s="14" t="n">
        <v>0.3637488024166284</v>
      </c>
      <c r="D8" s="38" t="n">
        <v>0.3637488024166284</v>
      </c>
      <c r="E8" s="15" t="n">
        <v>0</v>
      </c>
      <c r="F8" s="14" t="n">
        <v>0.3632276458572166</v>
      </c>
      <c r="G8" s="38" t="n">
        <v>0.3632276458572166</v>
      </c>
      <c r="H8" s="15" t="n">
        <v>0</v>
      </c>
      <c r="I8" s="14" t="n">
        <v>0.1470687632124841</v>
      </c>
      <c r="J8" s="38" t="n">
        <v>0.1470687632124841</v>
      </c>
      <c r="K8" s="15" t="n">
        <v>0</v>
      </c>
      <c r="L8" s="14" t="n">
        <v>0.3895073328458873</v>
      </c>
      <c r="M8" s="38" t="n">
        <v>0.3895073328458873</v>
      </c>
      <c r="N8" s="15" t="n">
        <v>0</v>
      </c>
      <c r="O8" s="108" t="n">
        <v>0.3668326959808335</v>
      </c>
      <c r="P8" s="38" t="n">
        <v>0.3668326959808335</v>
      </c>
      <c r="Q8" s="15" t="n">
        <v>0</v>
      </c>
      <c r="R8" s="108" t="n">
        <v>-0.6291493450646507</v>
      </c>
      <c r="S8" s="38" t="n">
        <v>0</v>
      </c>
      <c r="T8" s="15" t="n">
        <v>-0.6291493450646507</v>
      </c>
      <c r="U8" s="109" t="n">
        <v>1.001235895248399</v>
      </c>
      <c r="V8" s="110" t="n">
        <v>1.63038524031305</v>
      </c>
      <c r="W8" s="109" t="n">
        <v>-0.6291493450646507</v>
      </c>
      <c r="X8" s="108" t="n">
        <v>4.253618735366274</v>
      </c>
      <c r="Y8" s="108" t="n">
        <v>1.5</v>
      </c>
      <c r="Z8" s="108" t="inlineStr">
        <is>
          <t>2010 кв.1</t>
        </is>
      </c>
      <c r="AA8" s="58" t="n"/>
      <c r="AB8" s="58" t="n"/>
      <c r="AC8" s="58" t="n"/>
      <c r="AD8" s="58" t="n"/>
    </row>
    <row r="9">
      <c r="A9" s="256" t="n">
        <v>40269</v>
      </c>
      <c r="B9" s="3" t="n">
        <v>0</v>
      </c>
      <c r="C9" s="14" t="n">
        <v>0.2893389215021351</v>
      </c>
      <c r="D9" s="38" t="n">
        <v>0.2893389215021351</v>
      </c>
      <c r="E9" s="15" t="n">
        <v>0</v>
      </c>
      <c r="F9" s="14" t="n">
        <v>0.3352430647231456</v>
      </c>
      <c r="G9" s="38" t="n">
        <v>0.3352430647231456</v>
      </c>
      <c r="H9" s="15" t="n">
        <v>0</v>
      </c>
      <c r="I9" s="14" t="n">
        <v>0.08396954880440909</v>
      </c>
      <c r="J9" s="38" t="n">
        <v>0.08396954880440909</v>
      </c>
      <c r="K9" s="15" t="n">
        <v>0</v>
      </c>
      <c r="L9" s="14" t="n">
        <v>0.4808001998178392</v>
      </c>
      <c r="M9" s="38" t="n">
        <v>0.4808001998178392</v>
      </c>
      <c r="N9" s="15" t="n">
        <v>0</v>
      </c>
      <c r="O9" s="108" t="n">
        <v>0.2798391615060069</v>
      </c>
      <c r="P9" s="38" t="n">
        <v>0.2798391615060069</v>
      </c>
      <c r="Q9" s="15" t="n">
        <v>0</v>
      </c>
      <c r="R9" s="108" t="n">
        <v>-0.7019431477385558</v>
      </c>
      <c r="S9" s="38" t="n">
        <v>0</v>
      </c>
      <c r="T9" s="15" t="n">
        <v>-0.7019431477385558</v>
      </c>
      <c r="U9" s="109" t="n">
        <v>0.7672477486149802</v>
      </c>
      <c r="V9" s="110" t="n">
        <v>1.469190896353536</v>
      </c>
      <c r="W9" s="109" t="n">
        <v>-0.7019431477385558</v>
      </c>
      <c r="X9" s="108" t="n">
        <v>5.084247605983691</v>
      </c>
      <c r="Y9" s="108" t="n">
        <v>1.5</v>
      </c>
      <c r="Z9" s="108" t="inlineStr">
        <is>
          <t>2010 кв.2</t>
        </is>
      </c>
      <c r="AA9" s="58" t="n"/>
      <c r="AB9" s="58" t="n"/>
      <c r="AC9" s="58" t="n"/>
      <c r="AD9" s="58" t="n"/>
    </row>
    <row r="10">
      <c r="A10" s="256" t="n">
        <v>40360</v>
      </c>
      <c r="B10" s="3" t="n">
        <v>0</v>
      </c>
      <c r="C10" s="14" t="n">
        <v>0.1778375499688603</v>
      </c>
      <c r="D10" s="38" t="n">
        <v>0.1778375499688603</v>
      </c>
      <c r="E10" s="15" t="n">
        <v>0</v>
      </c>
      <c r="F10" s="14" t="n">
        <v>0.3096988603478183</v>
      </c>
      <c r="G10" s="38" t="n">
        <v>0.3096988603478183</v>
      </c>
      <c r="H10" s="15" t="n">
        <v>0</v>
      </c>
      <c r="I10" s="14" t="n">
        <v>0.1715655393369531</v>
      </c>
      <c r="J10" s="38" t="n">
        <v>0.1715655393369531</v>
      </c>
      <c r="K10" s="15" t="n">
        <v>0</v>
      </c>
      <c r="L10" s="14" t="n">
        <v>0.5493541236741006</v>
      </c>
      <c r="M10" s="38" t="n">
        <v>0.5493541236741006</v>
      </c>
      <c r="N10" s="15" t="n">
        <v>0</v>
      </c>
      <c r="O10" s="108" t="n">
        <v>0.3704305502723101</v>
      </c>
      <c r="P10" s="38" t="n">
        <v>0.3704305502723101</v>
      </c>
      <c r="Q10" s="15" t="n">
        <v>0</v>
      </c>
      <c r="R10" s="108" t="n">
        <v>-0.6040869822669116</v>
      </c>
      <c r="S10" s="38" t="n">
        <v>0</v>
      </c>
      <c r="T10" s="15" t="n">
        <v>-0.6040869822669116</v>
      </c>
      <c r="U10" s="109" t="n">
        <v>0.9747996413331309</v>
      </c>
      <c r="V10" s="110" t="n">
        <v>1.578886623600043</v>
      </c>
      <c r="W10" s="109" t="n">
        <v>-0.6040869822669116</v>
      </c>
      <c r="X10" s="108" t="n">
        <v>6.215425407797575</v>
      </c>
      <c r="Y10" s="108" t="n">
        <v>1.5</v>
      </c>
      <c r="Z10" s="108" t="inlineStr">
        <is>
          <t>2010 кв.3</t>
        </is>
      </c>
      <c r="AA10" s="58" t="n"/>
      <c r="AB10" s="58" t="n"/>
      <c r="AC10" s="58" t="n"/>
      <c r="AD10" s="58" t="n"/>
    </row>
    <row r="11">
      <c r="A11" s="256" t="n">
        <v>40452</v>
      </c>
      <c r="B11" s="3" t="n">
        <v>0</v>
      </c>
      <c r="C11" s="14" t="n">
        <v>0.27309720242656</v>
      </c>
      <c r="D11" s="38" t="n">
        <v>0.27309720242656</v>
      </c>
      <c r="E11" s="15" t="n">
        <v>0</v>
      </c>
      <c r="F11" s="14" t="n">
        <v>0.3160080569550063</v>
      </c>
      <c r="G11" s="38" t="n">
        <v>0.3160080569550063</v>
      </c>
      <c r="H11" s="15" t="n">
        <v>0</v>
      </c>
      <c r="I11" s="14" t="n">
        <v>0.1790210733129579</v>
      </c>
      <c r="J11" s="38" t="n">
        <v>0.1790210733129579</v>
      </c>
      <c r="K11" s="15" t="n">
        <v>0</v>
      </c>
      <c r="L11" s="14" t="n">
        <v>0.6117301253806742</v>
      </c>
      <c r="M11" s="38" t="n">
        <v>0.6117301253806742</v>
      </c>
      <c r="N11" s="15" t="n">
        <v>0</v>
      </c>
      <c r="O11" s="108" t="n">
        <v>0.4305855898256621</v>
      </c>
      <c r="P11" s="38" t="n">
        <v>0.4305855898256621</v>
      </c>
      <c r="Q11" s="15" t="n">
        <v>0</v>
      </c>
      <c r="R11" s="108" t="n">
        <v>-0.3326255604636065</v>
      </c>
      <c r="S11" s="38" t="n">
        <v>0</v>
      </c>
      <c r="T11" s="15" t="n">
        <v>-0.3326255604636065</v>
      </c>
      <c r="U11" s="109" t="n">
        <v>1.477816487437254</v>
      </c>
      <c r="V11" s="110" t="n">
        <v>1.81044204790086</v>
      </c>
      <c r="W11" s="109" t="n">
        <v>-0.3326255604636065</v>
      </c>
      <c r="X11" s="108" t="n">
        <v>7.5682550785952</v>
      </c>
      <c r="Y11" s="108" t="n">
        <v>1.5</v>
      </c>
      <c r="Z11" s="108" t="inlineStr">
        <is>
          <t>2010 кв.4</t>
        </is>
      </c>
      <c r="AA11" s="58" t="n"/>
      <c r="AB11" s="58" t="n"/>
      <c r="AC11" s="58" t="n"/>
      <c r="AD11" s="58" t="n"/>
    </row>
    <row r="12">
      <c r="A12" s="256" t="n">
        <v>40544</v>
      </c>
      <c r="B12" s="3" t="n">
        <v>0</v>
      </c>
      <c r="C12" s="14" t="n">
        <v>0.1263411490784884</v>
      </c>
      <c r="D12" s="38" t="n">
        <v>0.1263411490784884</v>
      </c>
      <c r="E12" s="15" t="n">
        <v>0</v>
      </c>
      <c r="F12" s="14" t="n">
        <v>0.3134367356666193</v>
      </c>
      <c r="G12" s="38" t="n">
        <v>0.3134367356666193</v>
      </c>
      <c r="H12" s="15" t="n">
        <v>0</v>
      </c>
      <c r="I12" s="14" t="n">
        <v>-0.03779344302067218</v>
      </c>
      <c r="J12" s="38" t="n">
        <v>0</v>
      </c>
      <c r="K12" s="15" t="n">
        <v>-0.03779344302067218</v>
      </c>
      <c r="L12" s="14" t="n">
        <v>0.6972820080174466</v>
      </c>
      <c r="M12" s="38" t="n">
        <v>0.6972820080174466</v>
      </c>
      <c r="N12" s="15" t="n">
        <v>0</v>
      </c>
      <c r="O12" s="108" t="n">
        <v>0.580397124993179</v>
      </c>
      <c r="P12" s="38" t="n">
        <v>0.580397124993179</v>
      </c>
      <c r="Q12" s="15" t="n">
        <v>0</v>
      </c>
      <c r="R12" s="108" t="n">
        <v>-0.3504870882718554</v>
      </c>
      <c r="S12" s="38" t="n">
        <v>0</v>
      </c>
      <c r="T12" s="15" t="n">
        <v>-0.3504870882718554</v>
      </c>
      <c r="U12" s="109" t="n">
        <v>1.329176486463206</v>
      </c>
      <c r="V12" s="110" t="n">
        <v>1.717457017755733</v>
      </c>
      <c r="W12" s="109" t="n">
        <v>-0.3882805312925275</v>
      </c>
      <c r="X12" s="108" t="n">
        <v>8.05726175392175</v>
      </c>
      <c r="Y12" s="108" t="n">
        <v>1.5</v>
      </c>
      <c r="Z12" s="108" t="inlineStr">
        <is>
          <t>2011 кв.1</t>
        </is>
      </c>
      <c r="AA12" s="58" t="n"/>
      <c r="AB12" s="58" t="n"/>
      <c r="AC12" s="58" t="n"/>
      <c r="AD12" s="58" t="n"/>
    </row>
    <row r="13">
      <c r="A13" s="256" t="n">
        <v>40634</v>
      </c>
      <c r="B13" s="3" t="n">
        <v>1</v>
      </c>
      <c r="C13" s="14" t="n">
        <v>-0.03265684722526026</v>
      </c>
      <c r="D13" s="38" t="n">
        <v>0</v>
      </c>
      <c r="E13" s="15" t="n">
        <v>-0.03265684722526026</v>
      </c>
      <c r="F13" s="14" t="n">
        <v>0.132000528269325</v>
      </c>
      <c r="G13" s="38" t="n">
        <v>0.132000528269325</v>
      </c>
      <c r="H13" s="15" t="n">
        <v>0</v>
      </c>
      <c r="I13" s="14" t="n">
        <v>-0.2399263402136255</v>
      </c>
      <c r="J13" s="38" t="n">
        <v>0</v>
      </c>
      <c r="K13" s="15" t="n">
        <v>-0.2399263402136255</v>
      </c>
      <c r="L13" s="14" t="n">
        <v>0.8904907985806441</v>
      </c>
      <c r="M13" s="38" t="n">
        <v>0.8904907985806441</v>
      </c>
      <c r="N13" s="15" t="n">
        <v>0</v>
      </c>
      <c r="O13" s="108" t="n">
        <v>0.3224228142095908</v>
      </c>
      <c r="P13" s="38" t="n">
        <v>0.3224228142095908</v>
      </c>
      <c r="Q13" s="15" t="n">
        <v>0</v>
      </c>
      <c r="R13" s="108" t="n">
        <v>-0.2400996649075729</v>
      </c>
      <c r="S13" s="38" t="n">
        <v>0</v>
      </c>
      <c r="T13" s="15" t="n">
        <v>-0.2400996649075729</v>
      </c>
      <c r="U13" s="109" t="n">
        <v>0.8322312887131014</v>
      </c>
      <c r="V13" s="110" t="n">
        <v>1.34491414105956</v>
      </c>
      <c r="W13" s="109" t="n">
        <v>-0.5126828523464586</v>
      </c>
      <c r="X13" s="108" t="n">
        <v>9.405740809640953</v>
      </c>
      <c r="Y13" s="108" t="n">
        <v>1.5</v>
      </c>
      <c r="Z13" s="108" t="inlineStr">
        <is>
          <t>2011 кв.2</t>
        </is>
      </c>
      <c r="AA13" s="58" t="n"/>
      <c r="AB13" s="58" t="n"/>
      <c r="AC13" s="58" t="n"/>
      <c r="AD13" s="58" t="n"/>
    </row>
    <row r="14">
      <c r="A14" s="256" t="n">
        <v>40725</v>
      </c>
      <c r="B14" s="3" t="n">
        <v>0</v>
      </c>
      <c r="C14" s="14" t="n">
        <v>-0.01296327604327785</v>
      </c>
      <c r="D14" s="38" t="n">
        <v>0</v>
      </c>
      <c r="E14" s="15" t="n">
        <v>-0.01296327604327785</v>
      </c>
      <c r="F14" s="14" t="n">
        <v>-0.123916975039167</v>
      </c>
      <c r="G14" s="38" t="n">
        <v>0</v>
      </c>
      <c r="H14" s="15" t="n">
        <v>-0.123916975039167</v>
      </c>
      <c r="I14" s="14" t="n">
        <v>-0.3233569971918507</v>
      </c>
      <c r="J14" s="38" t="n">
        <v>0</v>
      </c>
      <c r="K14" s="15" t="n">
        <v>-0.3233569971918507</v>
      </c>
      <c r="L14" s="14" t="n">
        <v>0.861044118189266</v>
      </c>
      <c r="M14" s="38" t="n">
        <v>0.861044118189266</v>
      </c>
      <c r="N14" s="15" t="n">
        <v>0</v>
      </c>
      <c r="O14" s="108" t="n">
        <v>0.004808628483716474</v>
      </c>
      <c r="P14" s="38" t="n">
        <v>0.004808628483716474</v>
      </c>
      <c r="Q14" s="15" t="n">
        <v>0</v>
      </c>
      <c r="R14" s="108" t="n">
        <v>-0.3121963236641143</v>
      </c>
      <c r="S14" s="38" t="n">
        <v>0</v>
      </c>
      <c r="T14" s="15" t="n">
        <v>-0.3121963236641143</v>
      </c>
      <c r="U14" s="109" t="n">
        <v>0.09341917473457262</v>
      </c>
      <c r="V14" s="110" t="n">
        <v>0.8658527466729824</v>
      </c>
      <c r="W14" s="109" t="n">
        <v>-0.7724335719384099</v>
      </c>
      <c r="X14" s="108" t="n">
        <v>8.075092490760461</v>
      </c>
      <c r="Y14" s="108" t="n">
        <v>1.5</v>
      </c>
      <c r="Z14" s="108" t="inlineStr">
        <is>
          <t>2011 кв.3</t>
        </is>
      </c>
      <c r="AA14" s="58" t="n"/>
      <c r="AB14" s="58" t="n"/>
      <c r="AC14" s="58" t="n"/>
      <c r="AD14" s="58" t="n"/>
    </row>
    <row r="15">
      <c r="A15" s="256" t="n">
        <v>40817</v>
      </c>
      <c r="B15" s="3" t="n">
        <v>0</v>
      </c>
      <c r="C15" s="14" t="n">
        <v>-0.1148466377982399</v>
      </c>
      <c r="D15" s="38" t="n">
        <v>0</v>
      </c>
      <c r="E15" s="15" t="n">
        <v>-0.1148466377982399</v>
      </c>
      <c r="F15" s="14" t="n">
        <v>-0.4867713215920743</v>
      </c>
      <c r="G15" s="38" t="n">
        <v>0</v>
      </c>
      <c r="H15" s="15" t="n">
        <v>-0.4867713215920743</v>
      </c>
      <c r="I15" s="14" t="n">
        <v>-0.3103287352710527</v>
      </c>
      <c r="J15" s="38" t="n">
        <v>0</v>
      </c>
      <c r="K15" s="15" t="n">
        <v>-0.3103287352710527</v>
      </c>
      <c r="L15" s="14" t="n">
        <v>0.1728077208488433</v>
      </c>
      <c r="M15" s="38" t="n">
        <v>0.1728077208488433</v>
      </c>
      <c r="N15" s="15" t="n">
        <v>0</v>
      </c>
      <c r="O15" s="108" t="n">
        <v>-0.2326586728962369</v>
      </c>
      <c r="P15" s="38" t="n">
        <v>0</v>
      </c>
      <c r="Q15" s="15" t="n">
        <v>-0.2326586728962369</v>
      </c>
      <c r="R15" s="108" t="n">
        <v>-0.373883172194356</v>
      </c>
      <c r="S15" s="38" t="n">
        <v>0</v>
      </c>
      <c r="T15" s="15" t="n">
        <v>-0.373883172194356</v>
      </c>
      <c r="U15" s="109" t="n">
        <v>-1.345680818903116</v>
      </c>
      <c r="V15" s="110" t="n">
        <v>0.1728077208488433</v>
      </c>
      <c r="W15" s="109" t="n">
        <v>-1.51848853975196</v>
      </c>
      <c r="X15" s="108" t="n">
        <v>5.094671009103628</v>
      </c>
      <c r="Y15" s="108" t="n">
        <v>1.5</v>
      </c>
      <c r="Z15" s="108" t="inlineStr">
        <is>
          <t>2011 кв.4</t>
        </is>
      </c>
      <c r="AA15" s="58" t="n"/>
      <c r="AB15" s="58" t="n"/>
      <c r="AC15" s="58" t="n"/>
      <c r="AD15" s="58" t="n"/>
    </row>
    <row r="16">
      <c r="A16" s="256" t="n">
        <v>40909</v>
      </c>
      <c r="B16" s="3" t="n">
        <v>0</v>
      </c>
      <c r="C16" s="14" t="n">
        <v>-0.2082527866765519</v>
      </c>
      <c r="D16" s="38" t="n">
        <v>0</v>
      </c>
      <c r="E16" s="15" t="n">
        <v>-0.2082527866765519</v>
      </c>
      <c r="F16" s="14" t="n">
        <v>-0.6795815916365955</v>
      </c>
      <c r="G16" s="38" t="n">
        <v>0</v>
      </c>
      <c r="H16" s="15" t="n">
        <v>-0.6795815916365955</v>
      </c>
      <c r="I16" s="14" t="n">
        <v>-0.3561449079764841</v>
      </c>
      <c r="J16" s="38" t="n">
        <v>0</v>
      </c>
      <c r="K16" s="15" t="n">
        <v>-0.3561449079764841</v>
      </c>
      <c r="L16" s="14" t="n">
        <v>-0.488765484494506</v>
      </c>
      <c r="M16" s="38" t="n">
        <v>0</v>
      </c>
      <c r="N16" s="15" t="n">
        <v>-0.488765484494506</v>
      </c>
      <c r="O16" s="108" t="n">
        <v>-0.3856986767617222</v>
      </c>
      <c r="P16" s="38" t="n">
        <v>0</v>
      </c>
      <c r="Q16" s="15" t="n">
        <v>-0.3856986767617222</v>
      </c>
      <c r="R16" s="108" t="n">
        <v>-0.1762031029546284</v>
      </c>
      <c r="S16" s="38" t="n">
        <v>0</v>
      </c>
      <c r="T16" s="15" t="n">
        <v>-0.1762031029546284</v>
      </c>
      <c r="U16" s="109" t="n">
        <v>-2.294646550500488</v>
      </c>
      <c r="V16" s="110" t="n">
        <v>0</v>
      </c>
      <c r="W16" s="109" t="n">
        <v>-2.294646550500488</v>
      </c>
      <c r="X16" s="108" t="n">
        <v>-1.42405370585201</v>
      </c>
      <c r="Y16" s="108" t="n">
        <v>1.5</v>
      </c>
      <c r="Z16" s="108" t="inlineStr">
        <is>
          <t>2012 кв.1</t>
        </is>
      </c>
      <c r="AA16" s="58" t="n"/>
      <c r="AB16" s="58" t="n"/>
      <c r="AC16" s="58" t="n"/>
      <c r="AD16" s="58" t="n"/>
    </row>
    <row r="17">
      <c r="A17" s="256" t="n">
        <v>41000</v>
      </c>
      <c r="B17" s="3" t="n">
        <v>0</v>
      </c>
      <c r="C17" s="14" t="n">
        <v>-0.4640684686875081</v>
      </c>
      <c r="D17" s="38" t="n">
        <v>0</v>
      </c>
      <c r="E17" s="15" t="n">
        <v>-0.4640684686875081</v>
      </c>
      <c r="F17" s="14" t="n">
        <v>-0.8358268477569961</v>
      </c>
      <c r="G17" s="38" t="n">
        <v>0</v>
      </c>
      <c r="H17" s="15" t="n">
        <v>-0.8358268477569961</v>
      </c>
      <c r="I17" s="14" t="n">
        <v>-0.2108104091926479</v>
      </c>
      <c r="J17" s="38" t="n">
        <v>0</v>
      </c>
      <c r="K17" s="15" t="n">
        <v>-0.2108104091926479</v>
      </c>
      <c r="L17" s="14" t="n">
        <v>-0.6934214930922021</v>
      </c>
      <c r="M17" s="38" t="n">
        <v>0</v>
      </c>
      <c r="N17" s="15" t="n">
        <v>-0.6934214930922021</v>
      </c>
      <c r="O17" s="108" t="n">
        <v>-0.457693081978072</v>
      </c>
      <c r="P17" s="38" t="n">
        <v>0</v>
      </c>
      <c r="Q17" s="15" t="n">
        <v>-0.457693081978072</v>
      </c>
      <c r="R17" s="108" t="n">
        <v>-0.1591617734403931</v>
      </c>
      <c r="S17" s="38" t="n">
        <v>0</v>
      </c>
      <c r="T17" s="15" t="n">
        <v>-0.1591617734403931</v>
      </c>
      <c r="U17" s="109" t="n">
        <v>-2.82098207414782</v>
      </c>
      <c r="V17" s="110" t="n">
        <v>0</v>
      </c>
      <c r="W17" s="109" t="n">
        <v>-2.82098207414782</v>
      </c>
      <c r="X17" s="108" t="n">
        <v>-5.814775635444448</v>
      </c>
      <c r="Y17" s="108" t="n">
        <v>1.5</v>
      </c>
      <c r="Z17" s="108" t="inlineStr">
        <is>
          <t>2012 кв.2</t>
        </is>
      </c>
      <c r="AA17" s="58" t="n"/>
      <c r="AB17" s="58" t="n"/>
      <c r="AC17" s="58" t="n"/>
      <c r="AD17" s="58" t="n"/>
    </row>
    <row r="18">
      <c r="A18" s="256" t="n">
        <v>41091</v>
      </c>
      <c r="B18" s="3" t="n">
        <v>0</v>
      </c>
      <c r="C18" s="14" t="n">
        <v>-0.4358592375644441</v>
      </c>
      <c r="D18" s="38" t="n">
        <v>0</v>
      </c>
      <c r="E18" s="15" t="n">
        <v>-0.4358592375644441</v>
      </c>
      <c r="F18" s="14" t="n">
        <v>-0.8532286939878778</v>
      </c>
      <c r="G18" s="38" t="n">
        <v>0</v>
      </c>
      <c r="H18" s="15" t="n">
        <v>-0.8532286939878778</v>
      </c>
      <c r="I18" s="14" t="n">
        <v>-0.1975305638155959</v>
      </c>
      <c r="J18" s="38" t="n">
        <v>0</v>
      </c>
      <c r="K18" s="15" t="n">
        <v>-0.1975305638155959</v>
      </c>
      <c r="L18" s="14" t="n">
        <v>-0.7268439906625537</v>
      </c>
      <c r="M18" s="38" t="n">
        <v>0</v>
      </c>
      <c r="N18" s="15" t="n">
        <v>-0.7268439906625537</v>
      </c>
      <c r="O18" s="108" t="n">
        <v>-0.4954552228047716</v>
      </c>
      <c r="P18" s="38" t="n">
        <v>0</v>
      </c>
      <c r="Q18" s="15" t="n">
        <v>-0.4954552228047716</v>
      </c>
      <c r="R18" s="108" t="n">
        <v>0.1827968240820706</v>
      </c>
      <c r="S18" s="38" t="n">
        <v>0.1827968240820706</v>
      </c>
      <c r="T18" s="15" t="n">
        <v>0</v>
      </c>
      <c r="U18" s="109" t="n">
        <v>-2.526120884753173</v>
      </c>
      <c r="V18" s="110" t="n">
        <v>0.1827968240820706</v>
      </c>
      <c r="W18" s="109" t="n">
        <v>-2.708917708835243</v>
      </c>
      <c r="X18" s="108" t="n">
        <v>-7.075976029859639</v>
      </c>
      <c r="Y18" s="108" t="n">
        <v>1.5</v>
      </c>
      <c r="Z18" s="108" t="inlineStr">
        <is>
          <t>2012 кв.3</t>
        </is>
      </c>
      <c r="AA18" s="58" t="n"/>
      <c r="AB18" s="58" t="n"/>
      <c r="AC18" s="58" t="n"/>
      <c r="AD18" s="58" t="n"/>
    </row>
    <row r="19">
      <c r="A19" s="256" t="n">
        <v>41183</v>
      </c>
      <c r="B19" s="3" t="n">
        <v>0</v>
      </c>
      <c r="C19" s="14" t="n">
        <v>-0.4424315833359701</v>
      </c>
      <c r="D19" s="38" t="n">
        <v>0</v>
      </c>
      <c r="E19" s="15" t="n">
        <v>-0.4424315833359701</v>
      </c>
      <c r="F19" s="14" t="n">
        <v>-0.7364558245023085</v>
      </c>
      <c r="G19" s="38" t="n">
        <v>0</v>
      </c>
      <c r="H19" s="15" t="n">
        <v>-0.7364558245023085</v>
      </c>
      <c r="I19" s="14" t="n">
        <v>0.04507646311123916</v>
      </c>
      <c r="J19" s="38" t="n">
        <v>0.04507646311123916</v>
      </c>
      <c r="K19" s="15" t="n">
        <v>0</v>
      </c>
      <c r="L19" s="14" t="n">
        <v>-0.6739136280408589</v>
      </c>
      <c r="M19" s="38" t="n">
        <v>0</v>
      </c>
      <c r="N19" s="15" t="n">
        <v>-0.6739136280408589</v>
      </c>
      <c r="O19" s="108" t="n">
        <v>-0.5066258127402625</v>
      </c>
      <c r="P19" s="38" t="n">
        <v>0</v>
      </c>
      <c r="Q19" s="15" t="n">
        <v>-0.5066258127402625</v>
      </c>
      <c r="R19" s="108" t="n">
        <v>0.06872089498324638</v>
      </c>
      <c r="S19" s="38" t="n">
        <v>0.06872089498324638</v>
      </c>
      <c r="T19" s="15" t="n">
        <v>0</v>
      </c>
      <c r="U19" s="109" t="n">
        <v>-2.245629490524914</v>
      </c>
      <c r="V19" s="110" t="n">
        <v>0.1137973580944855</v>
      </c>
      <c r="W19" s="109" t="n">
        <v>-2.3594268486194</v>
      </c>
      <c r="X19" s="108" t="n">
        <v>-6.61725966635656</v>
      </c>
      <c r="Y19" s="108" t="n">
        <v>1.5</v>
      </c>
      <c r="Z19" s="108" t="inlineStr">
        <is>
          <t>2012 кв.4</t>
        </is>
      </c>
      <c r="AA19" s="58" t="n"/>
      <c r="AB19" s="58" t="n"/>
      <c r="AC19" s="58" t="n"/>
      <c r="AD19" s="58" t="n"/>
    </row>
    <row r="20">
      <c r="A20" s="256" t="n">
        <v>41275</v>
      </c>
      <c r="B20" s="3" t="n">
        <v>0</v>
      </c>
      <c r="C20" s="14" t="n">
        <v>-0.1165344136642179</v>
      </c>
      <c r="D20" s="38" t="n">
        <v>0</v>
      </c>
      <c r="E20" s="15" t="n">
        <v>-0.1165344136642179</v>
      </c>
      <c r="F20" s="14" t="n">
        <v>-0.5820024769530978</v>
      </c>
      <c r="G20" s="38" t="n">
        <v>0</v>
      </c>
      <c r="H20" s="15" t="n">
        <v>-0.5820024769530978</v>
      </c>
      <c r="I20" s="14" t="n">
        <v>0.1236420538039805</v>
      </c>
      <c r="J20" s="38" t="n">
        <v>0.1236420538039805</v>
      </c>
      <c r="K20" s="15" t="n">
        <v>0</v>
      </c>
      <c r="L20" s="14" t="n">
        <v>-0.4374843393297604</v>
      </c>
      <c r="M20" s="38" t="n">
        <v>0</v>
      </c>
      <c r="N20" s="15" t="n">
        <v>-0.4374843393297604</v>
      </c>
      <c r="O20" s="108" t="n">
        <v>-0.2074397962956596</v>
      </c>
      <c r="P20" s="38" t="n">
        <v>0</v>
      </c>
      <c r="Q20" s="15" t="n">
        <v>-0.2074397962956596</v>
      </c>
      <c r="R20" s="108" t="n">
        <v>0.11508032321083</v>
      </c>
      <c r="S20" s="38" t="n">
        <v>0.11508032321083</v>
      </c>
      <c r="T20" s="15" t="n">
        <v>0</v>
      </c>
      <c r="U20" s="109" t="n">
        <v>-1.104738649227925</v>
      </c>
      <c r="V20" s="110" t="n">
        <v>0.2387223770148105</v>
      </c>
      <c r="W20" s="109" t="n">
        <v>-1.343461026242736</v>
      </c>
      <c r="X20" s="108" t="n">
        <v>-5.433116111494719</v>
      </c>
      <c r="Y20" s="108" t="n">
        <v>1.5</v>
      </c>
      <c r="Z20" s="108" t="inlineStr">
        <is>
          <t>2013 кв.1</t>
        </is>
      </c>
      <c r="AA20" s="58" t="n"/>
      <c r="AB20" s="58" t="n"/>
      <c r="AC20" s="58" t="n"/>
      <c r="AD20" s="58" t="n"/>
    </row>
    <row r="21">
      <c r="A21" s="256" t="n">
        <v>41365</v>
      </c>
      <c r="B21" s="3" t="n">
        <v>0</v>
      </c>
      <c r="C21" s="14" t="n">
        <v>0.1038484797979993</v>
      </c>
      <c r="D21" s="38" t="n">
        <v>0.1038484797979993</v>
      </c>
      <c r="E21" s="15" t="n">
        <v>0</v>
      </c>
      <c r="F21" s="14" t="n">
        <v>-0.3593403281104269</v>
      </c>
      <c r="G21" s="38" t="n">
        <v>0</v>
      </c>
      <c r="H21" s="15" t="n">
        <v>-0.3593403281104269</v>
      </c>
      <c r="I21" s="14" t="n">
        <v>0.1296439982787565</v>
      </c>
      <c r="J21" s="38" t="n">
        <v>0.1296439982787565</v>
      </c>
      <c r="K21" s="15" t="n">
        <v>0</v>
      </c>
      <c r="L21" s="14" t="n">
        <v>-0.3263123145132303</v>
      </c>
      <c r="M21" s="38" t="n">
        <v>0</v>
      </c>
      <c r="N21" s="15" t="n">
        <v>-0.3263123145132303</v>
      </c>
      <c r="O21" s="108" t="n">
        <v>0.03299259894289863</v>
      </c>
      <c r="P21" s="38" t="n">
        <v>0.03299259894289863</v>
      </c>
      <c r="Q21" s="15" t="n">
        <v>0</v>
      </c>
      <c r="R21" s="108" t="n">
        <v>0.09280088506677321</v>
      </c>
      <c r="S21" s="38" t="n">
        <v>0.09280088506677321</v>
      </c>
      <c r="T21" s="15" t="n">
        <v>0</v>
      </c>
      <c r="U21" s="109" t="n">
        <v>-0.3263666805372296</v>
      </c>
      <c r="V21" s="110" t="n">
        <v>0.3592859620864276</v>
      </c>
      <c r="W21" s="109" t="n">
        <v>-0.6856526426236572</v>
      </c>
      <c r="X21" s="108" t="n">
        <v>-4.350504775835866</v>
      </c>
      <c r="Y21" s="108" t="n">
        <v>1.5</v>
      </c>
      <c r="Z21" s="108" t="inlineStr">
        <is>
          <t>2013 кв.2</t>
        </is>
      </c>
      <c r="AA21" s="58" t="n"/>
      <c r="AB21" s="58" t="n"/>
      <c r="AC21" s="58" t="n"/>
      <c r="AD21" s="58" t="n"/>
    </row>
    <row r="22">
      <c r="A22" s="256" t="n">
        <v>41456</v>
      </c>
      <c r="B22" s="3" t="n">
        <v>0</v>
      </c>
      <c r="C22" s="14" t="n">
        <v>0.06027743361240798</v>
      </c>
      <c r="D22" s="38" t="n">
        <v>0.06027743361240798</v>
      </c>
      <c r="E22" s="15" t="n">
        <v>0</v>
      </c>
      <c r="F22" s="14" t="n">
        <v>-0.159436324227186</v>
      </c>
      <c r="G22" s="38" t="n">
        <v>0</v>
      </c>
      <c r="H22" s="15" t="n">
        <v>-0.159436324227186</v>
      </c>
      <c r="I22" s="14" t="n">
        <v>0.1779569263654578</v>
      </c>
      <c r="J22" s="38" t="n">
        <v>0.1779569263654578</v>
      </c>
      <c r="K22" s="15" t="n">
        <v>0</v>
      </c>
      <c r="L22" s="14" t="n">
        <v>-0.1696722140026916</v>
      </c>
      <c r="M22" s="38" t="n">
        <v>0</v>
      </c>
      <c r="N22" s="15" t="n">
        <v>-0.1696722140026916</v>
      </c>
      <c r="O22" s="108" t="n">
        <v>0.1457198004082463</v>
      </c>
      <c r="P22" s="38" t="n">
        <v>0.1457198004082463</v>
      </c>
      <c r="Q22" s="15" t="n">
        <v>0</v>
      </c>
      <c r="R22" s="108" t="n">
        <v>-0.0397065504287218</v>
      </c>
      <c r="S22" s="38" t="n">
        <v>0</v>
      </c>
      <c r="T22" s="15" t="n">
        <v>-0.0397065504287218</v>
      </c>
      <c r="U22" s="109" t="n">
        <v>0.01513907172751268</v>
      </c>
      <c r="V22" s="110" t="n">
        <v>0.3839541603861121</v>
      </c>
      <c r="W22" s="109" t="n">
        <v>-0.3688150886585994</v>
      </c>
      <c r="X22" s="108" t="n">
        <v>-3.732931305882602</v>
      </c>
      <c r="Y22" s="108" t="n">
        <v>1.5</v>
      </c>
      <c r="Z22" s="108" t="inlineStr">
        <is>
          <t>2013 кв.3</t>
        </is>
      </c>
      <c r="AA22" s="58" t="n"/>
      <c r="AB22" s="58" t="n"/>
      <c r="AC22" s="58" t="n"/>
      <c r="AD22" s="58" t="n"/>
    </row>
    <row r="23">
      <c r="A23" s="256" t="n">
        <v>41548</v>
      </c>
      <c r="B23" s="3" t="n">
        <v>0</v>
      </c>
      <c r="C23" s="14" t="n">
        <v>0.04002921606498442</v>
      </c>
      <c r="D23" s="38" t="n">
        <v>0.04002921606498442</v>
      </c>
      <c r="E23" s="15" t="n">
        <v>0</v>
      </c>
      <c r="F23" s="14" t="n">
        <v>0.02124000522977863</v>
      </c>
      <c r="G23" s="38" t="n">
        <v>0.02124000522977863</v>
      </c>
      <c r="H23" s="15" t="n">
        <v>0</v>
      </c>
      <c r="I23" s="14" t="n">
        <v>0.1730853444727852</v>
      </c>
      <c r="J23" s="38" t="n">
        <v>0.1730853444727852</v>
      </c>
      <c r="K23" s="15" t="n">
        <v>0</v>
      </c>
      <c r="L23" s="14" t="n">
        <v>-0.01559746799793667</v>
      </c>
      <c r="M23" s="38" t="n">
        <v>0</v>
      </c>
      <c r="N23" s="15" t="n">
        <v>-0.01559746799793667</v>
      </c>
      <c r="O23" s="108" t="n">
        <v>0.2284819731554561</v>
      </c>
      <c r="P23" s="38" t="n">
        <v>0.2284819731554561</v>
      </c>
      <c r="Q23" s="15" t="n">
        <v>0</v>
      </c>
      <c r="R23" s="108" t="n">
        <v>0.06942238683480689</v>
      </c>
      <c r="S23" s="38" t="n">
        <v>0.06942238683480689</v>
      </c>
      <c r="T23" s="15" t="n">
        <v>0</v>
      </c>
      <c r="U23" s="109" t="n">
        <v>0.5166614577598746</v>
      </c>
      <c r="V23" s="110" t="n">
        <v>0.5322589257578112</v>
      </c>
      <c r="W23" s="109" t="n">
        <v>-0.01559746799793667</v>
      </c>
      <c r="X23" s="108" t="n">
        <v>-2.985890144037384</v>
      </c>
      <c r="Y23" s="108" t="n">
        <v>1.5</v>
      </c>
      <c r="Z23" s="108" t="inlineStr">
        <is>
          <t>2013 кв.4</t>
        </is>
      </c>
      <c r="AA23" s="58" t="n"/>
      <c r="AB23" s="58" t="n"/>
      <c r="AC23" s="58" t="n"/>
      <c r="AD23" s="58" t="n"/>
    </row>
    <row r="24">
      <c r="A24" s="256" t="n">
        <v>41640</v>
      </c>
      <c r="B24" s="3" t="n">
        <v>0</v>
      </c>
      <c r="C24" s="14" t="n">
        <v>0.1454154531614038</v>
      </c>
      <c r="D24" s="38" t="n">
        <v>0.1454154531614038</v>
      </c>
      <c r="E24" s="15" t="n">
        <v>0</v>
      </c>
      <c r="F24" s="14" t="n">
        <v>0.09611223565612444</v>
      </c>
      <c r="G24" s="38" t="n">
        <v>0.09611223565612444</v>
      </c>
      <c r="H24" s="15" t="n">
        <v>0</v>
      </c>
      <c r="I24" s="14" t="n">
        <v>0.2352853230070346</v>
      </c>
      <c r="J24" s="38" t="n">
        <v>0.2352853230070346</v>
      </c>
      <c r="K24" s="15" t="n">
        <v>0</v>
      </c>
      <c r="L24" s="14" t="n">
        <v>0.08733694640739868</v>
      </c>
      <c r="M24" s="38" t="n">
        <v>0.08733694640739868</v>
      </c>
      <c r="N24" s="15" t="n">
        <v>0</v>
      </c>
      <c r="O24" s="108" t="n">
        <v>0.1393507644588693</v>
      </c>
      <c r="P24" s="38" t="n">
        <v>0.1393507644588693</v>
      </c>
      <c r="Q24" s="15" t="n">
        <v>0</v>
      </c>
      <c r="R24" s="108" t="n">
        <v>0.01649246075292006</v>
      </c>
      <c r="S24" s="38" t="n">
        <v>0.01649246075292006</v>
      </c>
      <c r="T24" s="15" t="n">
        <v>0</v>
      </c>
      <c r="U24" s="109" t="n">
        <v>0.7199931834437509</v>
      </c>
      <c r="V24" s="110" t="n">
        <v>0.7199931834437509</v>
      </c>
      <c r="W24" s="109" t="n">
        <v>0</v>
      </c>
      <c r="X24" s="108" t="n">
        <v>-2.726374268177821</v>
      </c>
      <c r="Y24" s="108" t="n">
        <v>1.5</v>
      </c>
      <c r="Z24" s="108" t="inlineStr">
        <is>
          <t>2014 кв.1</t>
        </is>
      </c>
      <c r="AA24" s="58" t="n"/>
      <c r="AB24" s="58" t="n"/>
      <c r="AC24" s="58" t="n"/>
      <c r="AD24" s="58" t="n"/>
    </row>
    <row r="25">
      <c r="A25" s="256" t="n">
        <v>41730</v>
      </c>
      <c r="B25" s="3" t="n">
        <v>0</v>
      </c>
      <c r="C25" s="14" t="n">
        <v>0.2330539563361397</v>
      </c>
      <c r="D25" s="38" t="n">
        <v>0.2330539563361397</v>
      </c>
      <c r="E25" s="15" t="n">
        <v>0</v>
      </c>
      <c r="F25" s="14" t="n">
        <v>0.1293194579638013</v>
      </c>
      <c r="G25" s="38" t="n">
        <v>0.1293194579638013</v>
      </c>
      <c r="H25" s="15" t="n">
        <v>0</v>
      </c>
      <c r="I25" s="14" t="n">
        <v>0.2761846752788175</v>
      </c>
      <c r="J25" s="38" t="n">
        <v>0.2761846752788175</v>
      </c>
      <c r="K25" s="15" t="n">
        <v>0</v>
      </c>
      <c r="L25" s="14" t="n">
        <v>0.1566815422917185</v>
      </c>
      <c r="M25" s="38" t="n">
        <v>0.1566815422917185</v>
      </c>
      <c r="N25" s="15" t="n">
        <v>0</v>
      </c>
      <c r="O25" s="108" t="n">
        <v>0.1018376210153593</v>
      </c>
      <c r="P25" s="38" t="n">
        <v>0.1018376210153593</v>
      </c>
      <c r="Q25" s="15" t="n">
        <v>0</v>
      </c>
      <c r="R25" s="108" t="n">
        <v>0.2183698179938613</v>
      </c>
      <c r="S25" s="38" t="n">
        <v>0.2183698179938613</v>
      </c>
      <c r="T25" s="15" t="n">
        <v>0</v>
      </c>
      <c r="U25" s="109" t="n">
        <v>1.115447070879698</v>
      </c>
      <c r="V25" s="110" t="n">
        <v>1.115447070879698</v>
      </c>
      <c r="W25" s="109" t="n">
        <v>0</v>
      </c>
      <c r="X25" s="108" t="n">
        <v>-1.800110690555066</v>
      </c>
      <c r="Y25" s="108" t="n">
        <v>1.5</v>
      </c>
      <c r="Z25" s="108" t="inlineStr">
        <is>
          <t>2014 кв.2</t>
        </is>
      </c>
      <c r="AA25" s="58" t="n"/>
      <c r="AB25" s="58" t="n"/>
      <c r="AC25" s="58" t="n"/>
      <c r="AD25" s="58" t="n"/>
    </row>
    <row r="26">
      <c r="A26" s="256" t="n">
        <v>41821</v>
      </c>
      <c r="B26" s="3" t="n">
        <v>0</v>
      </c>
      <c r="C26" s="14" t="n">
        <v>0.2143341040836018</v>
      </c>
      <c r="D26" s="38" t="n">
        <v>0.2143341040836018</v>
      </c>
      <c r="E26" s="15" t="n">
        <v>0</v>
      </c>
      <c r="F26" s="14" t="n">
        <v>0.1125133320023852</v>
      </c>
      <c r="G26" s="38" t="n">
        <v>0.1125133320023852</v>
      </c>
      <c r="H26" s="15" t="n">
        <v>0</v>
      </c>
      <c r="I26" s="14" t="n">
        <v>0.4340072791477453</v>
      </c>
      <c r="J26" s="38" t="n">
        <v>0.4340072791477453</v>
      </c>
      <c r="K26" s="15" t="n">
        <v>0</v>
      </c>
      <c r="L26" s="14" t="n">
        <v>0.1247197549385469</v>
      </c>
      <c r="M26" s="38" t="n">
        <v>0.1247197549385469</v>
      </c>
      <c r="N26" s="15" t="n">
        <v>0</v>
      </c>
      <c r="O26" s="108" t="n">
        <v>-0.05363815006926156</v>
      </c>
      <c r="P26" s="38" t="n">
        <v>0</v>
      </c>
      <c r="Q26" s="15" t="n">
        <v>-0.05363815006926156</v>
      </c>
      <c r="R26" s="108" t="n">
        <v>0.3249254703174361</v>
      </c>
      <c r="S26" s="38" t="n">
        <v>0.3249254703174361</v>
      </c>
      <c r="T26" s="15" t="n">
        <v>0</v>
      </c>
      <c r="U26" s="109" t="n">
        <v>1.156861790420454</v>
      </c>
      <c r="V26" s="110" t="n">
        <v>1.210499940489715</v>
      </c>
      <c r="W26" s="109" t="n">
        <v>-0.05363815006926156</v>
      </c>
      <c r="X26" s="108" t="n">
        <v>-2.337404351557517</v>
      </c>
      <c r="Y26" s="108" t="n">
        <v>1.5</v>
      </c>
      <c r="Z26" s="108" t="inlineStr">
        <is>
          <t>2014 кв.3</t>
        </is>
      </c>
      <c r="AA26" s="58" t="n"/>
      <c r="AB26" s="58" t="n"/>
      <c r="AC26" s="58" t="n"/>
      <c r="AD26" s="58" t="n"/>
    </row>
    <row r="27">
      <c r="A27" s="256" t="n">
        <v>41913</v>
      </c>
      <c r="B27" s="3" t="n">
        <v>1</v>
      </c>
      <c r="C27" s="14" t="n">
        <v>0.1994495749129784</v>
      </c>
      <c r="D27" s="38" t="n">
        <v>0.1994495749129784</v>
      </c>
      <c r="E27" s="15" t="n">
        <v>0</v>
      </c>
      <c r="F27" s="14" t="n">
        <v>0.1026850119403834</v>
      </c>
      <c r="G27" s="38" t="n">
        <v>0.1026850119403834</v>
      </c>
      <c r="H27" s="15" t="n">
        <v>0</v>
      </c>
      <c r="I27" s="14" t="n">
        <v>0.114309222372518</v>
      </c>
      <c r="J27" s="38" t="n">
        <v>0.114309222372518</v>
      </c>
      <c r="K27" s="15" t="n">
        <v>0</v>
      </c>
      <c r="L27" s="14" t="n">
        <v>0.07316189661369119</v>
      </c>
      <c r="M27" s="38" t="n">
        <v>0.07316189661369119</v>
      </c>
      <c r="N27" s="15" t="n">
        <v>0</v>
      </c>
      <c r="O27" s="108" t="n">
        <v>-0.1542753118157211</v>
      </c>
      <c r="P27" s="38" t="n">
        <v>0</v>
      </c>
      <c r="Q27" s="15" t="n">
        <v>-0.1542753118157211</v>
      </c>
      <c r="R27" s="108" t="n">
        <v>0.2937384437937912</v>
      </c>
      <c r="S27" s="38" t="n">
        <v>0.2937384437937912</v>
      </c>
      <c r="T27" s="15" t="n">
        <v>0</v>
      </c>
      <c r="U27" s="109" t="n">
        <v>0.6290688378176411</v>
      </c>
      <c r="V27" s="110" t="n">
        <v>0.7833441496333622</v>
      </c>
      <c r="W27" s="109" t="n">
        <v>-0.1542753118157211</v>
      </c>
      <c r="X27" s="108" t="n">
        <v>-3.251528571605782</v>
      </c>
      <c r="Y27" s="108" t="n">
        <v>1.5</v>
      </c>
      <c r="Z27" s="108" t="inlineStr">
        <is>
          <t>2014 кв.4</t>
        </is>
      </c>
      <c r="AA27" s="58" t="n"/>
      <c r="AB27" s="58" t="n"/>
      <c r="AC27" s="58" t="n"/>
      <c r="AD27" s="58" t="n"/>
    </row>
    <row r="28">
      <c r="A28" s="256" t="n">
        <v>42005</v>
      </c>
      <c r="B28" s="3" t="n">
        <v>0</v>
      </c>
      <c r="C28" s="14" t="n">
        <v>0.407994214316301</v>
      </c>
      <c r="D28" s="38" t="n">
        <v>0.407994214316301</v>
      </c>
      <c r="E28" s="15" t="n">
        <v>0</v>
      </c>
      <c r="F28" s="14" t="n">
        <v>0.07710349692805124</v>
      </c>
      <c r="G28" s="38" t="n">
        <v>0.07710349692805124</v>
      </c>
      <c r="H28" s="15" t="n">
        <v>0</v>
      </c>
      <c r="I28" s="14" t="n">
        <v>0.08335954727936562</v>
      </c>
      <c r="J28" s="38" t="n">
        <v>0.08335954727936562</v>
      </c>
      <c r="K28" s="15" t="n">
        <v>0</v>
      </c>
      <c r="L28" s="14" t="n">
        <v>0.4019495108257298</v>
      </c>
      <c r="M28" s="38" t="n">
        <v>0.4019495108257298</v>
      </c>
      <c r="N28" s="15" t="n">
        <v>0</v>
      </c>
      <c r="O28" s="108" t="n">
        <v>-0.1910521957128092</v>
      </c>
      <c r="P28" s="38" t="n">
        <v>0</v>
      </c>
      <c r="Q28" s="15" t="n">
        <v>-0.1910521957128092</v>
      </c>
      <c r="R28" s="108" t="n">
        <v>0.3872656541790406</v>
      </c>
      <c r="S28" s="38" t="n">
        <v>0.3872656541790406</v>
      </c>
      <c r="T28" s="15" t="n">
        <v>0</v>
      </c>
      <c r="U28" s="109" t="n">
        <v>1.166620227815679</v>
      </c>
      <c r="V28" s="110" t="n">
        <v>1.357672423528488</v>
      </c>
      <c r="W28" s="109" t="n">
        <v>-0.1910521957128092</v>
      </c>
      <c r="X28" s="108" t="n">
        <v>1.881612312692731</v>
      </c>
      <c r="Y28" s="108" t="n">
        <v>1.5</v>
      </c>
      <c r="Z28" s="108" t="inlineStr">
        <is>
          <t>2015 кв.1</t>
        </is>
      </c>
      <c r="AA28" s="58" t="n"/>
      <c r="AB28" s="58" t="n"/>
      <c r="AC28" s="58" t="n"/>
      <c r="AD28" s="58" t="n"/>
    </row>
    <row r="29">
      <c r="A29" s="256" t="n">
        <v>42095</v>
      </c>
      <c r="B29" s="3" t="n">
        <v>0</v>
      </c>
      <c r="C29" s="14" t="n">
        <v>0.3610622629072701</v>
      </c>
      <c r="D29" s="38" t="n">
        <v>0.3610622629072701</v>
      </c>
      <c r="E29" s="15" t="n">
        <v>0</v>
      </c>
      <c r="F29" s="14" t="n">
        <v>0.0384465711222518</v>
      </c>
      <c r="G29" s="38" t="n">
        <v>0.0384465711222518</v>
      </c>
      <c r="H29" s="15" t="n">
        <v>0</v>
      </c>
      <c r="I29" s="14" t="n">
        <v>-0.1935083518654511</v>
      </c>
      <c r="J29" s="38" t="n">
        <v>0</v>
      </c>
      <c r="K29" s="15" t="n">
        <v>-0.1935083518654511</v>
      </c>
      <c r="L29" s="14" t="n">
        <v>0.3472552584369314</v>
      </c>
      <c r="M29" s="38" t="n">
        <v>0.3472552584369314</v>
      </c>
      <c r="N29" s="15" t="n">
        <v>0</v>
      </c>
      <c r="O29" s="108" t="n">
        <v>-0.2626290511080504</v>
      </c>
      <c r="P29" s="38" t="n">
        <v>0</v>
      </c>
      <c r="Q29" s="15" t="n">
        <v>-0.2626290511080504</v>
      </c>
      <c r="R29" s="108" t="n">
        <v>0.3312154779384721</v>
      </c>
      <c r="S29" s="38" t="n">
        <v>0.3312154779384721</v>
      </c>
      <c r="T29" s="15" t="n">
        <v>0</v>
      </c>
      <c r="U29" s="109" t="n">
        <v>0.6218421674314238</v>
      </c>
      <c r="V29" s="110" t="n">
        <v>1.077979570404925</v>
      </c>
      <c r="W29" s="109" t="n">
        <v>-0.4561374029735015</v>
      </c>
      <c r="X29" s="108" t="n">
        <v>1.241959093159444</v>
      </c>
      <c r="Y29" s="108" t="n">
        <v>1.5</v>
      </c>
      <c r="Z29" s="108" t="inlineStr">
        <is>
          <t>2015 кв.2</t>
        </is>
      </c>
      <c r="AA29" s="58" t="n"/>
      <c r="AB29" s="58" t="n"/>
      <c r="AC29" s="58" t="n"/>
      <c r="AD29" s="58" t="n"/>
    </row>
    <row r="30">
      <c r="A30" s="256" t="n">
        <v>42186</v>
      </c>
      <c r="B30" s="3" t="n">
        <v>0</v>
      </c>
      <c r="C30" s="14" t="n">
        <v>0.4117618416421422</v>
      </c>
      <c r="D30" s="38" t="n">
        <v>0.4117618416421422</v>
      </c>
      <c r="E30" s="15" t="n">
        <v>0</v>
      </c>
      <c r="F30" s="14" t="n">
        <v>0.01163222218577723</v>
      </c>
      <c r="G30" s="38" t="n">
        <v>0.01163222218577723</v>
      </c>
      <c r="H30" s="15" t="n">
        <v>0</v>
      </c>
      <c r="I30" s="14" t="n">
        <v>-0.1623968678225794</v>
      </c>
      <c r="J30" s="38" t="n">
        <v>0</v>
      </c>
      <c r="K30" s="15" t="n">
        <v>-0.1623968678225794</v>
      </c>
      <c r="L30" s="14" t="n">
        <v>0.2737236668249586</v>
      </c>
      <c r="M30" s="38" t="n">
        <v>0.2737236668249586</v>
      </c>
      <c r="N30" s="15" t="n">
        <v>0</v>
      </c>
      <c r="O30" s="108" t="n">
        <v>-0.183066350881562</v>
      </c>
      <c r="P30" s="38" t="n">
        <v>0</v>
      </c>
      <c r="Q30" s="15" t="n">
        <v>-0.183066350881562</v>
      </c>
      <c r="R30" s="108" t="n">
        <v>0.2982576919692698</v>
      </c>
      <c r="S30" s="38" t="n">
        <v>0.2982576919692698</v>
      </c>
      <c r="T30" s="15" t="n">
        <v>0</v>
      </c>
      <c r="U30" s="109" t="n">
        <v>0.6499122039180063</v>
      </c>
      <c r="V30" s="110" t="n">
        <v>0.9953754226221478</v>
      </c>
      <c r="W30" s="109" t="n">
        <v>-0.3454632187041414</v>
      </c>
      <c r="X30" s="108" t="n">
        <v>2.598129306093206</v>
      </c>
      <c r="Y30" s="108" t="n">
        <v>1.5</v>
      </c>
      <c r="Z30" s="108" t="inlineStr">
        <is>
          <t>2015 кв.3</t>
        </is>
      </c>
      <c r="AA30" s="58" t="n"/>
      <c r="AB30" s="58" t="n"/>
      <c r="AC30" s="58" t="n"/>
      <c r="AD30" s="58" t="n"/>
    </row>
    <row r="31">
      <c r="A31" s="256" t="n">
        <v>42278</v>
      </c>
      <c r="B31" s="3" t="n">
        <v>0</v>
      </c>
      <c r="C31" s="14" t="n">
        <v>0.4576710747037717</v>
      </c>
      <c r="D31" s="38" t="n">
        <v>0.4576710747037717</v>
      </c>
      <c r="E31" s="15" t="n">
        <v>0</v>
      </c>
      <c r="F31" s="14" t="n">
        <v>-0.02903154329182746</v>
      </c>
      <c r="G31" s="38" t="n">
        <v>0</v>
      </c>
      <c r="H31" s="15" t="n">
        <v>-0.02903154329182746</v>
      </c>
      <c r="I31" s="14" t="n">
        <v>0.04514296821731389</v>
      </c>
      <c r="J31" s="38" t="n">
        <v>0.04514296821731389</v>
      </c>
      <c r="K31" s="15" t="n">
        <v>0</v>
      </c>
      <c r="L31" s="14" t="n">
        <v>0.1762364182532244</v>
      </c>
      <c r="M31" s="38" t="n">
        <v>0.1762364182532244</v>
      </c>
      <c r="N31" s="15" t="n">
        <v>0</v>
      </c>
      <c r="O31" s="108" t="n">
        <v>-0.03778960933472139</v>
      </c>
      <c r="P31" s="38" t="n">
        <v>0</v>
      </c>
      <c r="Q31" s="15" t="n">
        <v>-0.03778960933472139</v>
      </c>
      <c r="R31" s="108" t="n">
        <v>0.3093137621254254</v>
      </c>
      <c r="S31" s="38" t="n">
        <v>0.3093137621254254</v>
      </c>
      <c r="T31" s="15" t="n">
        <v>0</v>
      </c>
      <c r="U31" s="109" t="n">
        <v>0.9215430706731865</v>
      </c>
      <c r="V31" s="110" t="n">
        <v>0.9883642232997354</v>
      </c>
      <c r="W31" s="109" t="n">
        <v>-0.06682115262654885</v>
      </c>
      <c r="X31" s="108" t="n">
        <v>2.784413433321738</v>
      </c>
      <c r="Y31" s="108" t="n">
        <v>1.5</v>
      </c>
      <c r="Z31" s="108" t="inlineStr">
        <is>
          <t>2015 кв.4</t>
        </is>
      </c>
      <c r="AA31" s="58" t="n"/>
      <c r="AB31" s="58" t="n"/>
      <c r="AC31" s="58" t="n"/>
      <c r="AD31" s="58" t="n"/>
    </row>
    <row r="32">
      <c r="A32" s="256" t="n">
        <v>42370</v>
      </c>
      <c r="B32" s="3" t="n">
        <v>0</v>
      </c>
      <c r="C32" s="14" t="n">
        <v>0.4074142513247426</v>
      </c>
      <c r="D32" s="38" t="n">
        <v>0.4074142513247426</v>
      </c>
      <c r="E32" s="15" t="n">
        <v>0</v>
      </c>
      <c r="F32" s="14" t="n">
        <v>-0.09378275554488368</v>
      </c>
      <c r="G32" s="38" t="n">
        <v>0</v>
      </c>
      <c r="H32" s="15" t="n">
        <v>-0.09378275554488368</v>
      </c>
      <c r="I32" s="14" t="n">
        <v>0.1299671618299681</v>
      </c>
      <c r="J32" s="38" t="n">
        <v>0.1299671618299681</v>
      </c>
      <c r="K32" s="15" t="n">
        <v>0</v>
      </c>
      <c r="L32" s="14" t="n">
        <v>0.2545969421688191</v>
      </c>
      <c r="M32" s="38" t="n">
        <v>0.2545969421688191</v>
      </c>
      <c r="N32" s="15" t="n">
        <v>0</v>
      </c>
      <c r="O32" s="108" t="n">
        <v>0.1115841335482767</v>
      </c>
      <c r="P32" s="38" t="n">
        <v>0.1115841335482767</v>
      </c>
      <c r="Q32" s="15" t="n">
        <v>0</v>
      </c>
      <c r="R32" s="108" t="n">
        <v>0.2623442991212356</v>
      </c>
      <c r="S32" s="38" t="n">
        <v>0.2623442991212356</v>
      </c>
      <c r="T32" s="15" t="n">
        <v>0</v>
      </c>
      <c r="U32" s="109" t="n">
        <v>1.072124032448158</v>
      </c>
      <c r="V32" s="110" t="n">
        <v>1.165906787993042</v>
      </c>
      <c r="W32" s="109" t="n">
        <v>-0.09378275554488368</v>
      </c>
      <c r="X32" s="108" t="n">
        <v>5.477849947658079</v>
      </c>
      <c r="Y32" s="108" t="n">
        <v>1.5</v>
      </c>
      <c r="Z32" s="108" t="inlineStr">
        <is>
          <t>2016 кв.1</t>
        </is>
      </c>
      <c r="AA32" s="58" t="n"/>
      <c r="AB32" s="58" t="n"/>
      <c r="AC32" s="58" t="n"/>
      <c r="AD32" s="58" t="n"/>
    </row>
    <row r="33">
      <c r="A33" s="256" t="n">
        <v>42461</v>
      </c>
      <c r="B33" s="3" t="n">
        <v>0</v>
      </c>
      <c r="C33" s="14" t="n">
        <v>0.4044586671819693</v>
      </c>
      <c r="D33" s="38" t="n">
        <v>0.4044586671819693</v>
      </c>
      <c r="E33" s="15" t="n">
        <v>0</v>
      </c>
      <c r="F33" s="14" t="n">
        <v>-0.1563660098510671</v>
      </c>
      <c r="G33" s="38" t="n">
        <v>0</v>
      </c>
      <c r="H33" s="15" t="n">
        <v>-0.1563660098510671</v>
      </c>
      <c r="I33" s="14" t="n">
        <v>0.2466439429399385</v>
      </c>
      <c r="J33" s="38" t="n">
        <v>0.2466439429399385</v>
      </c>
      <c r="K33" s="15" t="n">
        <v>0</v>
      </c>
      <c r="L33" s="14" t="n">
        <v>0.1752501894004223</v>
      </c>
      <c r="M33" s="38" t="n">
        <v>0.1752501894004223</v>
      </c>
      <c r="N33" s="15" t="n">
        <v>0</v>
      </c>
      <c r="O33" s="108" t="n">
        <v>0.2826174232656564</v>
      </c>
      <c r="P33" s="38" t="n">
        <v>0.2826174232656564</v>
      </c>
      <c r="Q33" s="15" t="n">
        <v>0</v>
      </c>
      <c r="R33" s="108" t="n">
        <v>0.1598752675593745</v>
      </c>
      <c r="S33" s="38" t="n">
        <v>0.1598752675593745</v>
      </c>
      <c r="T33" s="15" t="n">
        <v>0</v>
      </c>
      <c r="U33" s="109" t="n">
        <v>1.112479480496294</v>
      </c>
      <c r="V33" s="110" t="n">
        <v>1.268845490347361</v>
      </c>
      <c r="W33" s="109" t="n">
        <v>-0.1563660098510671</v>
      </c>
      <c r="X33" s="108" t="n">
        <v>4.061735053363755</v>
      </c>
      <c r="Y33" s="108" t="n">
        <v>1.5</v>
      </c>
      <c r="Z33" s="108" t="inlineStr">
        <is>
          <t>2016 кв.2</t>
        </is>
      </c>
      <c r="AA33" s="58" t="n"/>
      <c r="AB33" s="58" t="n"/>
      <c r="AC33" s="58" t="n"/>
      <c r="AD33" s="58" t="n"/>
    </row>
    <row r="34">
      <c r="A34" s="256" t="n">
        <v>42552</v>
      </c>
      <c r="B34" s="3" t="n">
        <v>0</v>
      </c>
      <c r="C34" s="14" t="n">
        <v>0.1895260474592694</v>
      </c>
      <c r="D34" s="38" t="n">
        <v>0.1895260474592694</v>
      </c>
      <c r="E34" s="15" t="n">
        <v>0</v>
      </c>
      <c r="F34" s="14" t="n">
        <v>-0.2073924650640541</v>
      </c>
      <c r="G34" s="38" t="n">
        <v>0</v>
      </c>
      <c r="H34" s="15" t="n">
        <v>-0.2073924650640541</v>
      </c>
      <c r="I34" s="14" t="n">
        <v>-0.09267773975922337</v>
      </c>
      <c r="J34" s="38" t="n">
        <v>0</v>
      </c>
      <c r="K34" s="15" t="n">
        <v>-0.09267773975922337</v>
      </c>
      <c r="L34" s="14" t="n">
        <v>0.08538000003209456</v>
      </c>
      <c r="M34" s="38" t="n">
        <v>0.08538000003209456</v>
      </c>
      <c r="N34" s="15" t="n">
        <v>0</v>
      </c>
      <c r="O34" s="108" t="n">
        <v>0.2795755188408762</v>
      </c>
      <c r="P34" s="38" t="n">
        <v>0.2795755188408762</v>
      </c>
      <c r="Q34" s="15" t="n">
        <v>0</v>
      </c>
      <c r="R34" s="108" t="n">
        <v>0.03434261754867951</v>
      </c>
      <c r="S34" s="38" t="n">
        <v>0.03434261754867951</v>
      </c>
      <c r="T34" s="15" t="n">
        <v>0</v>
      </c>
      <c r="U34" s="109" t="n">
        <v>0.2887539790576422</v>
      </c>
      <c r="V34" s="110" t="n">
        <v>0.5888241838809197</v>
      </c>
      <c r="W34" s="109" t="n">
        <v>-0.3000702048232775</v>
      </c>
      <c r="X34" s="108" t="n">
        <v>2.986356191032939</v>
      </c>
      <c r="Y34" s="108" t="n">
        <v>1.5</v>
      </c>
      <c r="Z34" s="108" t="inlineStr">
        <is>
          <t>2016 кв.3</t>
        </is>
      </c>
      <c r="AA34" s="58" t="n"/>
      <c r="AB34" s="58" t="n"/>
      <c r="AC34" s="58" t="n"/>
      <c r="AD34" s="58" t="n"/>
    </row>
    <row r="35">
      <c r="A35" s="256" t="n">
        <v>42644</v>
      </c>
      <c r="B35" s="3" t="n">
        <v>0</v>
      </c>
      <c r="C35" s="14" t="n">
        <v>0.07193484047668967</v>
      </c>
      <c r="D35" s="38" t="n">
        <v>0.07193484047668967</v>
      </c>
      <c r="E35" s="15" t="n">
        <v>0</v>
      </c>
      <c r="F35" s="14" t="n">
        <v>-0.2270361825365549</v>
      </c>
      <c r="G35" s="38" t="n">
        <v>0</v>
      </c>
      <c r="H35" s="15" t="n">
        <v>-0.2270361825365549</v>
      </c>
      <c r="I35" s="14" t="n">
        <v>-0.1102869231582662</v>
      </c>
      <c r="J35" s="38" t="n">
        <v>0</v>
      </c>
      <c r="K35" s="15" t="n">
        <v>-0.1102869231582662</v>
      </c>
      <c r="L35" s="14" t="n">
        <v>-0.05443633764896967</v>
      </c>
      <c r="M35" s="38" t="n">
        <v>0</v>
      </c>
      <c r="N35" s="15" t="n">
        <v>-0.05443633764896967</v>
      </c>
      <c r="O35" s="108" t="n">
        <v>0.1872778225264715</v>
      </c>
      <c r="P35" s="38" t="n">
        <v>0.1872778225264715</v>
      </c>
      <c r="Q35" s="15" t="n">
        <v>0</v>
      </c>
      <c r="R35" s="108" t="n">
        <v>-0.07386055996870834</v>
      </c>
      <c r="S35" s="38" t="n">
        <v>0</v>
      </c>
      <c r="T35" s="15" t="n">
        <v>-0.07386055996870834</v>
      </c>
      <c r="U35" s="109" t="n">
        <v>-0.2064073403093379</v>
      </c>
      <c r="V35" s="110" t="n">
        <v>0.2592126630031612</v>
      </c>
      <c r="W35" s="109" t="n">
        <v>-0.4656200033124991</v>
      </c>
      <c r="X35" s="108" t="n">
        <v>0.764956744200525</v>
      </c>
      <c r="Y35" s="108" t="n">
        <v>1.5</v>
      </c>
      <c r="Z35" s="108" t="inlineStr">
        <is>
          <t>2016 кв.4</t>
        </is>
      </c>
      <c r="AA35" s="58" t="n"/>
      <c r="AB35" s="58" t="n"/>
      <c r="AC35" s="58" t="n"/>
      <c r="AD35" s="58" t="n"/>
    </row>
    <row r="36">
      <c r="A36" s="256" t="n">
        <v>42736</v>
      </c>
      <c r="B36" s="3" t="n">
        <v>0</v>
      </c>
      <c r="C36" s="14" t="n">
        <v>-0.08873520501107829</v>
      </c>
      <c r="D36" s="38" t="n">
        <v>0</v>
      </c>
      <c r="E36" s="15" t="n">
        <v>-0.08873520501107829</v>
      </c>
      <c r="F36" s="14" t="n">
        <v>-0.2112259745063634</v>
      </c>
      <c r="G36" s="38" t="n">
        <v>0</v>
      </c>
      <c r="H36" s="15" t="n">
        <v>-0.2112259745063634</v>
      </c>
      <c r="I36" s="14" t="n">
        <v>-0.1403050698426866</v>
      </c>
      <c r="J36" s="38" t="n">
        <v>0</v>
      </c>
      <c r="K36" s="15" t="n">
        <v>-0.1403050698426866</v>
      </c>
      <c r="L36" s="14" t="n">
        <v>-0.2939719042550852</v>
      </c>
      <c r="M36" s="38" t="n">
        <v>0</v>
      </c>
      <c r="N36" s="15" t="n">
        <v>-0.2939719042550852</v>
      </c>
      <c r="O36" s="108" t="n">
        <v>-0.04553744161469572</v>
      </c>
      <c r="P36" s="38" t="n">
        <v>0</v>
      </c>
      <c r="Q36" s="15" t="n">
        <v>-0.04553744161469572</v>
      </c>
      <c r="R36" s="108" t="n">
        <v>-0.2788816680505185</v>
      </c>
      <c r="S36" s="38" t="n">
        <v>0</v>
      </c>
      <c r="T36" s="15" t="n">
        <v>-0.2788816680505185</v>
      </c>
      <c r="U36" s="109" t="n">
        <v>-1.058657263280428</v>
      </c>
      <c r="V36" s="110" t="n">
        <v>0</v>
      </c>
      <c r="W36" s="109" t="n">
        <v>-1.058657263280428</v>
      </c>
      <c r="X36" s="108" t="n">
        <v>-1.111631008741405</v>
      </c>
      <c r="Y36" s="108" t="n">
        <v>1.5</v>
      </c>
      <c r="Z36" s="108" t="inlineStr">
        <is>
          <t>2017 кв.1</t>
        </is>
      </c>
      <c r="AA36" s="58" t="n"/>
      <c r="AB36" s="58" t="n"/>
      <c r="AC36" s="58" t="n"/>
      <c r="AD36" s="58" t="n"/>
    </row>
    <row r="37">
      <c r="A37" s="256" t="n">
        <v>42826</v>
      </c>
      <c r="B37" s="3" t="n">
        <v>0</v>
      </c>
      <c r="C37" s="14" t="n">
        <v>-0.1835182467475094</v>
      </c>
      <c r="D37" s="38" t="n">
        <v>0</v>
      </c>
      <c r="E37" s="15" t="n">
        <v>-0.1835182467475094</v>
      </c>
      <c r="F37" s="14" t="n">
        <v>-0.1787186330622513</v>
      </c>
      <c r="G37" s="38" t="n">
        <v>0</v>
      </c>
      <c r="H37" s="15" t="n">
        <v>-0.1787186330622513</v>
      </c>
      <c r="I37" s="14" t="n">
        <v>-0.2307463019436592</v>
      </c>
      <c r="J37" s="38" t="n">
        <v>0</v>
      </c>
      <c r="K37" s="15" t="n">
        <v>-0.2307463019436592</v>
      </c>
      <c r="L37" s="14" t="n">
        <v>-0.3846272871041082</v>
      </c>
      <c r="M37" s="38" t="n">
        <v>0</v>
      </c>
      <c r="N37" s="15" t="n">
        <v>-0.3846272871041082</v>
      </c>
      <c r="O37" s="108" t="n">
        <v>-0.1512295651156035</v>
      </c>
      <c r="P37" s="38" t="n">
        <v>0</v>
      </c>
      <c r="Q37" s="15" t="n">
        <v>-0.1512295651156035</v>
      </c>
      <c r="R37" s="108" t="n">
        <v>-0.4404334047730873</v>
      </c>
      <c r="S37" s="38" t="n">
        <v>0</v>
      </c>
      <c r="T37" s="15" t="n">
        <v>-0.4404334047730873</v>
      </c>
      <c r="U37" s="109" t="n">
        <v>-1.569273438746219</v>
      </c>
      <c r="V37" s="110" t="n">
        <v>0</v>
      </c>
      <c r="W37" s="109" t="n">
        <v>-1.569273438746219</v>
      </c>
      <c r="X37" s="108" t="n">
        <v>-1.731686704629688</v>
      </c>
      <c r="Y37" s="108" t="n">
        <v>1.5</v>
      </c>
      <c r="Z37" s="108" t="inlineStr">
        <is>
          <t>2017 кв.2</t>
        </is>
      </c>
      <c r="AA37" s="58" t="n"/>
      <c r="AB37" s="58" t="n"/>
      <c r="AC37" s="58" t="n"/>
      <c r="AD37" s="58" t="n"/>
    </row>
    <row r="38">
      <c r="A38" s="256" t="n">
        <v>42917</v>
      </c>
      <c r="B38" s="3" t="n">
        <v>0</v>
      </c>
      <c r="C38" s="14" t="n">
        <v>-0.1801733564379641</v>
      </c>
      <c r="D38" s="38" t="n">
        <v>0</v>
      </c>
      <c r="E38" s="15" t="n">
        <v>-0.1801733564379641</v>
      </c>
      <c r="F38" s="14" t="n">
        <v>-0.1161762331686693</v>
      </c>
      <c r="G38" s="38" t="n">
        <v>0</v>
      </c>
      <c r="H38" s="15" t="n">
        <v>-0.1161762331686693</v>
      </c>
      <c r="I38" s="14" t="n">
        <v>-0.3012066781065406</v>
      </c>
      <c r="J38" s="38" t="n">
        <v>0</v>
      </c>
      <c r="K38" s="15" t="n">
        <v>-0.3012066781065406</v>
      </c>
      <c r="L38" s="14" t="n">
        <v>-0.3680788323257697</v>
      </c>
      <c r="M38" s="38" t="n">
        <v>0</v>
      </c>
      <c r="N38" s="15" t="n">
        <v>-0.3680788323257697</v>
      </c>
      <c r="O38" s="108" t="n">
        <v>-0.1221049288468085</v>
      </c>
      <c r="P38" s="38" t="n">
        <v>0</v>
      </c>
      <c r="Q38" s="15" t="n">
        <v>-0.1221049288468085</v>
      </c>
      <c r="R38" s="108" t="n">
        <v>-0.5083450225473376</v>
      </c>
      <c r="S38" s="38" t="n">
        <v>0</v>
      </c>
      <c r="T38" s="15" t="n">
        <v>-0.5083450225473376</v>
      </c>
      <c r="U38" s="109" t="n">
        <v>-1.59608505143309</v>
      </c>
      <c r="V38" s="110" t="n">
        <v>0</v>
      </c>
      <c r="W38" s="109" t="n">
        <v>-1.59608505143309</v>
      </c>
      <c r="X38" s="108" t="n">
        <v>-1.574142097161776</v>
      </c>
      <c r="Y38" s="108" t="n">
        <v>1.5</v>
      </c>
      <c r="Z38" s="108" t="inlineStr">
        <is>
          <t>2017 кв.3</t>
        </is>
      </c>
      <c r="AA38" s="58" t="n"/>
      <c r="AB38" s="58" t="n"/>
      <c r="AC38" s="58" t="n"/>
      <c r="AD38" s="58" t="n"/>
    </row>
    <row r="39">
      <c r="A39" s="256" t="n">
        <v>43009</v>
      </c>
      <c r="B39" s="3" t="n">
        <v>0</v>
      </c>
      <c r="C39" s="14" t="n">
        <v>-0.1625360937663209</v>
      </c>
      <c r="D39" s="38" t="n">
        <v>0</v>
      </c>
      <c r="E39" s="15" t="n">
        <v>-0.1625360937663209</v>
      </c>
      <c r="F39" s="14" t="n">
        <v>-0.03456652407558446</v>
      </c>
      <c r="G39" s="38" t="n">
        <v>0</v>
      </c>
      <c r="H39" s="15" t="n">
        <v>-0.03456652407558446</v>
      </c>
      <c r="I39" s="14" t="n">
        <v>-0.3362093370652819</v>
      </c>
      <c r="J39" s="38" t="n">
        <v>0</v>
      </c>
      <c r="K39" s="15" t="n">
        <v>-0.3362093370652819</v>
      </c>
      <c r="L39" s="14" t="n">
        <v>-0.3085573607642198</v>
      </c>
      <c r="M39" s="38" t="n">
        <v>0</v>
      </c>
      <c r="N39" s="15" t="n">
        <v>-0.3085573607642198</v>
      </c>
      <c r="O39" s="108" t="n">
        <v>-0.1518747750137082</v>
      </c>
      <c r="P39" s="38" t="n">
        <v>0</v>
      </c>
      <c r="Q39" s="15" t="n">
        <v>-0.1518747750137082</v>
      </c>
      <c r="R39" s="108" t="n">
        <v>-0.5323786265005168</v>
      </c>
      <c r="S39" s="38" t="n">
        <v>0</v>
      </c>
      <c r="T39" s="15" t="n">
        <v>-0.5323786265005168</v>
      </c>
      <c r="U39" s="109" t="n">
        <v>-1.526122717185632</v>
      </c>
      <c r="V39" s="110" t="n">
        <v>0</v>
      </c>
      <c r="W39" s="109" t="n">
        <v>-1.526122717185632</v>
      </c>
      <c r="X39" s="108" t="n">
        <v>-1.862191302395907</v>
      </c>
      <c r="Y39" s="108" t="n">
        <v>1.5</v>
      </c>
      <c r="Z39" s="108" t="inlineStr">
        <is>
          <t>2017 кв.4</t>
        </is>
      </c>
      <c r="AA39" s="58" t="n"/>
      <c r="AB39" s="58" t="n"/>
      <c r="AC39" s="58" t="n"/>
      <c r="AD39" s="58" t="n"/>
    </row>
    <row r="40">
      <c r="A40" s="256" t="n">
        <v>43101</v>
      </c>
      <c r="B40" s="3" t="n">
        <v>0</v>
      </c>
      <c r="C40" s="14" t="n">
        <v>-0.1270153196117795</v>
      </c>
      <c r="D40" s="38" t="n">
        <v>0</v>
      </c>
      <c r="E40" s="15" t="n">
        <v>-0.1270153196117795</v>
      </c>
      <c r="F40" s="14" t="n">
        <v>0.07102460333748467</v>
      </c>
      <c r="G40" s="38" t="n">
        <v>0.07102460333748467</v>
      </c>
      <c r="H40" s="15" t="n">
        <v>0</v>
      </c>
      <c r="I40" s="14" t="n">
        <v>-0.3895730859422064</v>
      </c>
      <c r="J40" s="38" t="n">
        <v>0</v>
      </c>
      <c r="K40" s="15" t="n">
        <v>-0.3895730859422064</v>
      </c>
      <c r="L40" s="14" t="n">
        <v>-0.2742178441001099</v>
      </c>
      <c r="M40" s="38" t="n">
        <v>0</v>
      </c>
      <c r="N40" s="15" t="n">
        <v>-0.2742178441001099</v>
      </c>
      <c r="O40" s="108" t="n">
        <v>-0.1055629584830455</v>
      </c>
      <c r="P40" s="38" t="n">
        <v>0</v>
      </c>
      <c r="Q40" s="15" t="n">
        <v>-0.1055629584830455</v>
      </c>
      <c r="R40" s="108" t="n">
        <v>-0.4762941388065682</v>
      </c>
      <c r="S40" s="38" t="n">
        <v>0</v>
      </c>
      <c r="T40" s="15" t="n">
        <v>-0.4762941388065682</v>
      </c>
      <c r="U40" s="109" t="n">
        <v>-1.301638743606225</v>
      </c>
      <c r="V40" s="110" t="n">
        <v>0.07102460333748467</v>
      </c>
      <c r="W40" s="109" t="n">
        <v>-1.37266334694371</v>
      </c>
      <c r="X40" s="108" t="n">
        <v>-1.962271087543137</v>
      </c>
      <c r="Y40" s="108" t="n">
        <v>1.5</v>
      </c>
      <c r="Z40" s="108" t="inlineStr">
        <is>
          <t>2018 кв.1</t>
        </is>
      </c>
      <c r="AA40" s="58" t="n"/>
      <c r="AB40" s="58" t="n"/>
      <c r="AC40" s="58" t="n"/>
      <c r="AD40" s="58" t="n"/>
    </row>
    <row r="41">
      <c r="A41" s="256" t="n">
        <v>43191</v>
      </c>
      <c r="B41" s="3" t="n">
        <v>0</v>
      </c>
      <c r="C41" s="14" t="n">
        <v>-0.06759108506228874</v>
      </c>
      <c r="D41" s="38" t="n">
        <v>0</v>
      </c>
      <c r="E41" s="15" t="n">
        <v>-0.06759108506228874</v>
      </c>
      <c r="F41" s="14" t="n">
        <v>0.1818035932472807</v>
      </c>
      <c r="G41" s="38" t="n">
        <v>0.1818035932472807</v>
      </c>
      <c r="H41" s="15" t="n">
        <v>0</v>
      </c>
      <c r="I41" s="14" t="n">
        <v>-0.4460355237134764</v>
      </c>
      <c r="J41" s="38" t="n">
        <v>0</v>
      </c>
      <c r="K41" s="15" t="n">
        <v>-0.4460355237134764</v>
      </c>
      <c r="L41" s="14" t="n">
        <v>-0.1744777094863916</v>
      </c>
      <c r="M41" s="38" t="n">
        <v>0</v>
      </c>
      <c r="N41" s="15" t="n">
        <v>-0.1744777094863916</v>
      </c>
      <c r="O41" s="108" t="n">
        <v>-0.1564393579065246</v>
      </c>
      <c r="P41" s="38" t="n">
        <v>0</v>
      </c>
      <c r="Q41" s="15" t="n">
        <v>-0.1564393579065246</v>
      </c>
      <c r="R41" s="108" t="n">
        <v>-0.2443560472813633</v>
      </c>
      <c r="S41" s="38" t="n">
        <v>0</v>
      </c>
      <c r="T41" s="15" t="n">
        <v>-0.2443560472813633</v>
      </c>
      <c r="U41" s="109" t="n">
        <v>-0.907096130202764</v>
      </c>
      <c r="V41" s="110" t="n">
        <v>0.1818035932472807</v>
      </c>
      <c r="W41" s="109" t="n">
        <v>-1.088899723450045</v>
      </c>
      <c r="X41" s="108" t="n">
        <v>-1.728917368861602</v>
      </c>
      <c r="Y41" s="108" t="n">
        <v>1.5</v>
      </c>
      <c r="Z41" s="108" t="inlineStr">
        <is>
          <t>2018 кв.2</t>
        </is>
      </c>
      <c r="AA41" s="58" t="n"/>
      <c r="AB41" s="58" t="n"/>
      <c r="AC41" s="58" t="n"/>
      <c r="AD41" s="58" t="n"/>
    </row>
    <row r="42">
      <c r="A42" s="256" t="n">
        <v>43282</v>
      </c>
      <c r="B42" s="3" t="n">
        <v>0</v>
      </c>
      <c r="C42" s="14" t="n">
        <v>-0.0365016681127898</v>
      </c>
      <c r="D42" s="38" t="n">
        <v>0</v>
      </c>
      <c r="E42" s="15" t="n">
        <v>-0.0365016681127898</v>
      </c>
      <c r="F42" s="14" t="n">
        <v>0.2681882460857658</v>
      </c>
      <c r="G42" s="38" t="n">
        <v>0.2681882460857658</v>
      </c>
      <c r="H42" s="15" t="n">
        <v>0</v>
      </c>
      <c r="I42" s="14" t="n">
        <v>-0.2529860588671158</v>
      </c>
      <c r="J42" s="38" t="n">
        <v>0</v>
      </c>
      <c r="K42" s="15" t="n">
        <v>-0.2529860588671158</v>
      </c>
      <c r="L42" s="14" t="n">
        <v>-0.128855057365221</v>
      </c>
      <c r="M42" s="38" t="n">
        <v>0</v>
      </c>
      <c r="N42" s="15" t="n">
        <v>-0.128855057365221</v>
      </c>
      <c r="O42" s="108" t="n">
        <v>-0.2432516489093438</v>
      </c>
      <c r="P42" s="38" t="n">
        <v>0</v>
      </c>
      <c r="Q42" s="15" t="n">
        <v>-0.2432516489093438</v>
      </c>
      <c r="R42" s="108" t="n">
        <v>-0.0313580757430427</v>
      </c>
      <c r="S42" s="38" t="n">
        <v>0</v>
      </c>
      <c r="T42" s="15" t="n">
        <v>-0.0313580757430427</v>
      </c>
      <c r="U42" s="109" t="n">
        <v>-0.4247642629117474</v>
      </c>
      <c r="V42" s="110" t="n">
        <v>0.2681882460857658</v>
      </c>
      <c r="W42" s="109" t="n">
        <v>-0.6929525089975133</v>
      </c>
      <c r="X42" s="108" t="n">
        <v>-2.110391261937565</v>
      </c>
      <c r="Y42" s="108" t="n">
        <v>1.5</v>
      </c>
      <c r="Z42" s="108" t="inlineStr">
        <is>
          <t>2018 кв.3</t>
        </is>
      </c>
      <c r="AA42" s="58" t="n"/>
      <c r="AB42" s="58" t="n"/>
      <c r="AC42" s="58" t="n"/>
      <c r="AD42" s="58" t="n"/>
    </row>
    <row r="43">
      <c r="A43" s="256" t="n">
        <v>43374</v>
      </c>
      <c r="B43" s="3" t="n">
        <v>0</v>
      </c>
      <c r="C43" s="14" t="n">
        <v>-0.001249976783079566</v>
      </c>
      <c r="D43" s="38" t="n">
        <v>0</v>
      </c>
      <c r="E43" s="15" t="n">
        <v>-0.001249976783079566</v>
      </c>
      <c r="F43" s="14" t="n">
        <v>0.3322167892447524</v>
      </c>
      <c r="G43" s="38" t="n">
        <v>0.3322167892447524</v>
      </c>
      <c r="H43" s="15" t="n">
        <v>0</v>
      </c>
      <c r="I43" s="14" t="n">
        <v>-0.2780327330405696</v>
      </c>
      <c r="J43" s="38" t="n">
        <v>0</v>
      </c>
      <c r="K43" s="15" t="n">
        <v>-0.2780327330405696</v>
      </c>
      <c r="L43" s="14" t="n">
        <v>-0.0536236766677951</v>
      </c>
      <c r="M43" s="38" t="n">
        <v>0</v>
      </c>
      <c r="N43" s="15" t="n">
        <v>-0.0536236766677951</v>
      </c>
      <c r="O43" s="108" t="n">
        <v>-0.3282944164769916</v>
      </c>
      <c r="P43" s="38" t="n">
        <v>0</v>
      </c>
      <c r="Q43" s="15" t="n">
        <v>-0.3282944164769916</v>
      </c>
      <c r="R43" s="108" t="n">
        <v>0.09973556194385057</v>
      </c>
      <c r="S43" s="38" t="n">
        <v>0.09973556194385057</v>
      </c>
      <c r="T43" s="15" t="n">
        <v>0</v>
      </c>
      <c r="U43" s="109" t="n">
        <v>-0.2292484517798329</v>
      </c>
      <c r="V43" s="110" t="n">
        <v>0.431952351188603</v>
      </c>
      <c r="W43" s="109" t="n">
        <v>-0.661200802968436</v>
      </c>
      <c r="X43" s="108" t="n">
        <v>-1.604863746981955</v>
      </c>
      <c r="Y43" s="108" t="n">
        <v>1.5</v>
      </c>
      <c r="Z43" s="108" t="inlineStr">
        <is>
          <t>2018 кв.4</t>
        </is>
      </c>
      <c r="AA43" s="58" t="n"/>
      <c r="AB43" s="58" t="n"/>
      <c r="AC43" s="58" t="n"/>
      <c r="AD43" s="58" t="n"/>
    </row>
    <row r="44">
      <c r="A44" s="256" t="n">
        <v>43466</v>
      </c>
      <c r="B44" s="3" t="n">
        <v>0</v>
      </c>
      <c r="C44" s="14" t="n">
        <v>0.07027790878699071</v>
      </c>
      <c r="D44" s="38" t="n">
        <v>0.07027790878699071</v>
      </c>
      <c r="E44" s="15" t="n">
        <v>0</v>
      </c>
      <c r="F44" s="14" t="n">
        <v>0.3764201739581007</v>
      </c>
      <c r="G44" s="38" t="n">
        <v>0.3764201739581007</v>
      </c>
      <c r="H44" s="15" t="n">
        <v>0</v>
      </c>
      <c r="I44" s="14" t="n">
        <v>-0.3334854285251909</v>
      </c>
      <c r="J44" s="38" t="n">
        <v>0</v>
      </c>
      <c r="K44" s="15" t="n">
        <v>-0.3334854285251909</v>
      </c>
      <c r="L44" s="14" t="n">
        <v>-0.0162789040337113</v>
      </c>
      <c r="M44" s="38" t="n">
        <v>0</v>
      </c>
      <c r="N44" s="15" t="n">
        <v>-0.0162789040337113</v>
      </c>
      <c r="O44" s="108" t="n">
        <v>-0.2962708993621647</v>
      </c>
      <c r="P44" s="38" t="n">
        <v>0</v>
      </c>
      <c r="Q44" s="15" t="n">
        <v>-0.2962708993621647</v>
      </c>
      <c r="R44" s="108" t="n">
        <v>0.3045467202424</v>
      </c>
      <c r="S44" s="38" t="n">
        <v>0.3045467202424</v>
      </c>
      <c r="T44" s="15" t="n">
        <v>0</v>
      </c>
      <c r="U44" s="109" t="n">
        <v>0.1052095710664246</v>
      </c>
      <c r="V44" s="110" t="n">
        <v>0.7512448029874914</v>
      </c>
      <c r="W44" s="109" t="n">
        <v>-0.6460352319210668</v>
      </c>
      <c r="X44" s="108" t="n">
        <v>-1.340504458005583</v>
      </c>
      <c r="Y44" s="108" t="n">
        <v>1.5</v>
      </c>
      <c r="Z44" s="108" t="inlineStr">
        <is>
          <t>2019 кв.1</t>
        </is>
      </c>
      <c r="AA44" s="58" t="n"/>
      <c r="AB44" s="58" t="n"/>
      <c r="AC44" s="58" t="n"/>
      <c r="AD44" s="58" t="n"/>
    </row>
    <row r="45">
      <c r="A45" s="256" t="n">
        <v>43556</v>
      </c>
      <c r="B45" s="3" t="n">
        <v>0</v>
      </c>
      <c r="C45" s="14" t="n">
        <v>0.03396077473202493</v>
      </c>
      <c r="D45" s="38" t="n">
        <v>0.03396077473202493</v>
      </c>
      <c r="E45" s="15" t="n">
        <v>0</v>
      </c>
      <c r="F45" s="14" t="n">
        <v>0.4033738077546289</v>
      </c>
      <c r="G45" s="38" t="n">
        <v>0.4033738077546289</v>
      </c>
      <c r="H45" s="15" t="n">
        <v>0</v>
      </c>
      <c r="I45" s="14" t="n">
        <v>-0.2491252956414077</v>
      </c>
      <c r="J45" s="38" t="n">
        <v>0</v>
      </c>
      <c r="K45" s="15" t="n">
        <v>-0.2491252956414077</v>
      </c>
      <c r="L45" s="14" t="n">
        <v>-0.005811727167600908</v>
      </c>
      <c r="M45" s="38" t="n">
        <v>0</v>
      </c>
      <c r="N45" s="15" t="n">
        <v>-0.005811727167600908</v>
      </c>
      <c r="O45" s="108" t="n">
        <v>-0.2146418985711326</v>
      </c>
      <c r="P45" s="38" t="n">
        <v>0</v>
      </c>
      <c r="Q45" s="15" t="n">
        <v>-0.2146418985711326</v>
      </c>
      <c r="R45" s="108" t="n">
        <v>0.3564501937078398</v>
      </c>
      <c r="S45" s="38" t="n">
        <v>0.3564501937078398</v>
      </c>
      <c r="T45" s="15" t="n">
        <v>0</v>
      </c>
      <c r="U45" s="109" t="n">
        <v>0.3242058548143524</v>
      </c>
      <c r="V45" s="110" t="n">
        <v>0.7937847761944936</v>
      </c>
      <c r="W45" s="109" t="n">
        <v>-0.4695789213801412</v>
      </c>
      <c r="X45" s="108" t="n">
        <v>-1.288676304734757</v>
      </c>
      <c r="Y45" s="108" t="n">
        <v>1.5</v>
      </c>
      <c r="Z45" s="108" t="inlineStr">
        <is>
          <t>2019 кв.2</t>
        </is>
      </c>
      <c r="AA45" s="58" t="n"/>
      <c r="AB45" s="58" t="n"/>
      <c r="AC45" s="58" t="n"/>
      <c r="AD45" s="58" t="n"/>
    </row>
    <row r="46">
      <c r="A46" s="256" t="n">
        <v>43647</v>
      </c>
      <c r="B46" s="3" t="n">
        <v>0</v>
      </c>
      <c r="C46" s="14" t="n">
        <v>-0.01767009307080504</v>
      </c>
      <c r="D46" s="38" t="n">
        <v>0</v>
      </c>
      <c r="E46" s="15" t="n">
        <v>-0.01767009307080504</v>
      </c>
      <c r="F46" s="14" t="n">
        <v>0.4128241466686987</v>
      </c>
      <c r="G46" s="38" t="n">
        <v>0.4128241466686987</v>
      </c>
      <c r="H46" s="15" t="n">
        <v>0</v>
      </c>
      <c r="I46" s="14" t="n">
        <v>-0.2298982022584267</v>
      </c>
      <c r="J46" s="38" t="n">
        <v>0</v>
      </c>
      <c r="K46" s="15" t="n">
        <v>-0.2298982022584267</v>
      </c>
      <c r="L46" s="14" t="n">
        <v>-0.01695466958067277</v>
      </c>
      <c r="M46" s="38" t="n">
        <v>0</v>
      </c>
      <c r="N46" s="15" t="n">
        <v>-0.01695466958067277</v>
      </c>
      <c r="O46" s="108" t="n">
        <v>-0.183456653885521</v>
      </c>
      <c r="P46" s="38" t="n">
        <v>0</v>
      </c>
      <c r="Q46" s="15" t="n">
        <v>-0.183456653885521</v>
      </c>
      <c r="R46" s="108" t="n">
        <v>0.2492721234343528</v>
      </c>
      <c r="S46" s="38" t="n">
        <v>0.2492721234343528</v>
      </c>
      <c r="T46" s="15" t="n">
        <v>0</v>
      </c>
      <c r="U46" s="109" t="n">
        <v>0.214116651307626</v>
      </c>
      <c r="V46" s="110" t="n">
        <v>0.6620962701030515</v>
      </c>
      <c r="W46" s="109" t="n">
        <v>-0.4479796187954255</v>
      </c>
      <c r="X46" s="108" t="n">
        <v>-1.419536928366121</v>
      </c>
      <c r="Y46" s="108" t="n">
        <v>1.5</v>
      </c>
      <c r="Z46" s="108" t="inlineStr">
        <is>
          <t>2019 кв.3</t>
        </is>
      </c>
      <c r="AA46" s="58" t="n"/>
      <c r="AB46" s="58" t="n"/>
      <c r="AC46" s="58" t="n"/>
      <c r="AD46" s="58" t="n"/>
    </row>
    <row r="47">
      <c r="A47" s="256" t="n">
        <v>43739</v>
      </c>
      <c r="B47" s="3" t="n">
        <v>0</v>
      </c>
      <c r="C47" s="14" t="n">
        <v>-0.0146000479982653</v>
      </c>
      <c r="D47" s="38" t="n">
        <v>0</v>
      </c>
      <c r="E47" s="15" t="n">
        <v>-0.0146000479982653</v>
      </c>
      <c r="F47" s="14" t="n">
        <v>0.4170415557961566</v>
      </c>
      <c r="G47" s="38" t="n">
        <v>0.4170415557961566</v>
      </c>
      <c r="H47" s="15" t="n">
        <v>0</v>
      </c>
      <c r="I47" s="14" t="n">
        <v>-0.1321307031404631</v>
      </c>
      <c r="J47" s="38" t="n">
        <v>0</v>
      </c>
      <c r="K47" s="15" t="n">
        <v>-0.1321307031404631</v>
      </c>
      <c r="L47" s="14" t="n">
        <v>-0.05005133998747215</v>
      </c>
      <c r="M47" s="38" t="n">
        <v>0</v>
      </c>
      <c r="N47" s="15" t="n">
        <v>-0.05005133998747215</v>
      </c>
      <c r="O47" s="108" t="n">
        <v>-0.01730402887107251</v>
      </c>
      <c r="P47" s="38" t="n">
        <v>0</v>
      </c>
      <c r="Q47" s="15" t="n">
        <v>-0.01730402887107251</v>
      </c>
      <c r="R47" s="108" t="n">
        <v>0.2888801999069341</v>
      </c>
      <c r="S47" s="38" t="n">
        <v>0.2888801999069341</v>
      </c>
      <c r="T47" s="15" t="n">
        <v>0</v>
      </c>
      <c r="U47" s="109" t="n">
        <v>0.4918356357058177</v>
      </c>
      <c r="V47" s="110" t="n">
        <v>0.7059217557030908</v>
      </c>
      <c r="W47" s="109" t="n">
        <v>-0.2140861199972731</v>
      </c>
      <c r="X47" s="108" t="n">
        <v>-1.370118767850393</v>
      </c>
      <c r="Y47" s="108" t="n">
        <v>1.5</v>
      </c>
      <c r="Z47" s="108" t="inlineStr">
        <is>
          <t>2019 кв.4</t>
        </is>
      </c>
      <c r="AA47" s="58" t="n"/>
      <c r="AB47" s="58" t="n"/>
      <c r="AC47" s="58" t="n"/>
      <c r="AD47" s="58" t="n"/>
    </row>
    <row r="48">
      <c r="A48" s="256" t="n">
        <v>43831</v>
      </c>
      <c r="B48" s="3" t="n">
        <v>0</v>
      </c>
      <c r="C48" s="14" t="n">
        <v>0.2026603056061344</v>
      </c>
      <c r="D48" s="38" t="n">
        <v>0.2026603056061344</v>
      </c>
      <c r="E48" s="15" t="n">
        <v>0</v>
      </c>
      <c r="F48" s="14" t="n">
        <v>0.4327211900952344</v>
      </c>
      <c r="G48" s="38" t="n">
        <v>0.4327211900952344</v>
      </c>
      <c r="H48" s="15" t="n">
        <v>0</v>
      </c>
      <c r="I48" s="14" t="n">
        <v>0.02046178544941317</v>
      </c>
      <c r="J48" s="38" t="n">
        <v>0.02046178544941317</v>
      </c>
      <c r="K48" s="15" t="n">
        <v>0</v>
      </c>
      <c r="L48" s="14" t="n">
        <v>0.1277297969750942</v>
      </c>
      <c r="M48" s="38" t="n">
        <v>0.1277297969750942</v>
      </c>
      <c r="N48" s="15" t="n">
        <v>0</v>
      </c>
      <c r="O48" s="108" t="n">
        <v>0.01806649485528642</v>
      </c>
      <c r="P48" s="38" t="n">
        <v>0.01806649485528642</v>
      </c>
      <c r="Q48" s="15" t="n">
        <v>0</v>
      </c>
      <c r="R48" s="108" t="n">
        <v>0.2356602010213547</v>
      </c>
      <c r="S48" s="38" t="n">
        <v>0.2356602010213547</v>
      </c>
      <c r="T48" s="15" t="n">
        <v>0</v>
      </c>
      <c r="U48" s="109" t="n">
        <v>1.037299774002517</v>
      </c>
      <c r="V48" s="110" t="n">
        <v>1.037299774002517</v>
      </c>
      <c r="W48" s="109" t="n">
        <v>0</v>
      </c>
      <c r="X48" s="108" t="n">
        <v>1.090211541476783</v>
      </c>
      <c r="Y48" s="108" t="n">
        <v>1.5</v>
      </c>
      <c r="Z48" s="108" t="inlineStr">
        <is>
          <t>2020 кв.1</t>
        </is>
      </c>
      <c r="AA48" s="58" t="n"/>
      <c r="AB48" s="58" t="n"/>
      <c r="AC48" s="58" t="n"/>
      <c r="AD48" s="58" t="n"/>
    </row>
    <row r="49">
      <c r="A49" s="256" t="n">
        <v>43922</v>
      </c>
      <c r="B49" s="3" t="n">
        <v>0</v>
      </c>
      <c r="C49" s="14" t="n">
        <v>0.4066747504942858</v>
      </c>
      <c r="D49" s="38" t="n">
        <v>0.4066747504942858</v>
      </c>
      <c r="E49" s="15" t="n">
        <v>0</v>
      </c>
      <c r="F49" s="14" t="n">
        <v>0.405263946746902</v>
      </c>
      <c r="G49" s="38" t="n">
        <v>0.405263946746902</v>
      </c>
      <c r="H49" s="15" t="n">
        <v>0</v>
      </c>
      <c r="I49" s="14" t="n">
        <v>0.4401608215913348</v>
      </c>
      <c r="J49" s="38" t="n">
        <v>0.4401608215913348</v>
      </c>
      <c r="K49" s="15" t="n">
        <v>0</v>
      </c>
      <c r="L49" s="14" t="n">
        <v>0.2875708553760255</v>
      </c>
      <c r="M49" s="38" t="n">
        <v>0.2875708553760255</v>
      </c>
      <c r="N49" s="15" t="n">
        <v>0</v>
      </c>
      <c r="O49" s="108" t="n">
        <v>0.0736442709295972</v>
      </c>
      <c r="P49" s="38" t="n">
        <v>0.0736442709295972</v>
      </c>
      <c r="Q49" s="15" t="n">
        <v>0</v>
      </c>
      <c r="R49" s="108" t="n">
        <v>0.1729979721772587</v>
      </c>
      <c r="S49" s="38" t="n">
        <v>0.1729979721772587</v>
      </c>
      <c r="T49" s="15" t="n">
        <v>0</v>
      </c>
      <c r="U49" s="109" t="n">
        <v>1.786312617315404</v>
      </c>
      <c r="V49" s="110" t="n">
        <v>1.786312617315404</v>
      </c>
      <c r="W49" s="109" t="n">
        <v>0</v>
      </c>
      <c r="X49" s="108" t="n">
        <v>3.512095408417075</v>
      </c>
      <c r="Y49" s="108" t="n">
        <v>1.5</v>
      </c>
      <c r="Z49" s="108" t="inlineStr">
        <is>
          <t>2020 кв.2</t>
        </is>
      </c>
      <c r="AA49" s="58" t="n"/>
      <c r="AB49" s="58" t="n"/>
      <c r="AC49" s="58" t="n"/>
      <c r="AD49" s="58" t="n"/>
    </row>
    <row r="50">
      <c r="A50" s="256" t="n">
        <v>44013</v>
      </c>
      <c r="B50" s="3" t="n">
        <v>0</v>
      </c>
      <c r="C50" s="14" t="n">
        <v>0.3051979589370972</v>
      </c>
      <c r="D50" s="38" t="n">
        <v>0.3051979589370972</v>
      </c>
      <c r="E50" s="15" t="n">
        <v>0</v>
      </c>
      <c r="F50" s="14" t="n">
        <v>0.299816918837273</v>
      </c>
      <c r="G50" s="38" t="n">
        <v>0.299816918837273</v>
      </c>
      <c r="H50" s="15" t="n">
        <v>0</v>
      </c>
      <c r="I50" s="14" t="n">
        <v>0.5729181560291813</v>
      </c>
      <c r="J50" s="38" t="n">
        <v>0.5729181560291813</v>
      </c>
      <c r="K50" s="15" t="n">
        <v>0</v>
      </c>
      <c r="L50" s="14" t="n">
        <v>0.3305201638606813</v>
      </c>
      <c r="M50" s="38" t="n">
        <v>0.3305201638606813</v>
      </c>
      <c r="N50" s="15" t="n">
        <v>0</v>
      </c>
      <c r="O50" s="108" t="n">
        <v>0.1399449348241557</v>
      </c>
      <c r="P50" s="38" t="n">
        <v>0.1399449348241557</v>
      </c>
      <c r="Q50" s="15" t="n">
        <v>0</v>
      </c>
      <c r="R50" s="108" t="n">
        <v>0.1548836957968829</v>
      </c>
      <c r="S50" s="38" t="n">
        <v>0.1548836957968829</v>
      </c>
      <c r="T50" s="15" t="n">
        <v>0</v>
      </c>
      <c r="U50" s="109" t="n">
        <v>1.803281828285271</v>
      </c>
      <c r="V50" s="110" t="n">
        <v>1.803281828285271</v>
      </c>
      <c r="W50" s="109" t="n">
        <v>0</v>
      </c>
      <c r="X50" s="108" t="n">
        <v>4.053813176947081</v>
      </c>
      <c r="Y50" s="108" t="n">
        <v>1.5</v>
      </c>
      <c r="Z50" s="108" t="inlineStr">
        <is>
          <t>2020 кв.3</t>
        </is>
      </c>
      <c r="AA50" s="58" t="n"/>
      <c r="AB50" s="58" t="n"/>
      <c r="AC50" s="58" t="n"/>
      <c r="AD50" s="58" t="n"/>
    </row>
    <row r="51">
      <c r="A51" s="256" t="n">
        <v>44105</v>
      </c>
      <c r="B51" s="3" t="n">
        <v>0</v>
      </c>
      <c r="C51" s="14" t="n">
        <v>0.2060755207954507</v>
      </c>
      <c r="D51" s="38" t="n">
        <v>0.2060755207954507</v>
      </c>
      <c r="E51" s="15" t="n">
        <v>0</v>
      </c>
      <c r="F51" s="14" t="n">
        <v>0.1511391345398602</v>
      </c>
      <c r="G51" s="38" t="n">
        <v>0.1511391345398602</v>
      </c>
      <c r="H51" s="15" t="n">
        <v>0</v>
      </c>
      <c r="I51" s="14" t="n">
        <v>0.5998885108658168</v>
      </c>
      <c r="J51" s="38" t="n">
        <v>0.5998885108658168</v>
      </c>
      <c r="K51" s="15" t="n">
        <v>0</v>
      </c>
      <c r="L51" s="14" t="n">
        <v>0.3583732376627174</v>
      </c>
      <c r="M51" s="38" t="n">
        <v>0.3583732376627174</v>
      </c>
      <c r="N51" s="15" t="n">
        <v>0</v>
      </c>
      <c r="O51" s="108" t="n">
        <v>0.06790309396710174</v>
      </c>
      <c r="P51" s="38" t="n">
        <v>0.06790309396710174</v>
      </c>
      <c r="Q51" s="15" t="n">
        <v>0</v>
      </c>
      <c r="R51" s="108" t="n">
        <v>-0.06432609755488625</v>
      </c>
      <c r="S51" s="38" t="n">
        <v>0</v>
      </c>
      <c r="T51" s="15" t="n">
        <v>-0.06432609755488625</v>
      </c>
      <c r="U51" s="109" t="n">
        <v>1.319053400276061</v>
      </c>
      <c r="V51" s="110" t="n">
        <v>1.383379497830947</v>
      </c>
      <c r="W51" s="109" t="n">
        <v>-0.06432609755488625</v>
      </c>
      <c r="X51" s="108" t="n">
        <v>4.323422270364759</v>
      </c>
      <c r="Y51" s="108" t="n">
        <v>1.5</v>
      </c>
      <c r="Z51" s="108" t="inlineStr">
        <is>
          <t>2020 кв.4</t>
        </is>
      </c>
      <c r="AA51" s="58" t="n"/>
      <c r="AB51" s="58" t="n"/>
      <c r="AC51" s="58" t="n"/>
      <c r="AD51" s="58" t="n"/>
    </row>
    <row r="52">
      <c r="A52" s="256" t="n">
        <v>44197</v>
      </c>
      <c r="B52" s="3" t="n">
        <v>0</v>
      </c>
      <c r="C52" s="14" t="n">
        <v>0.02542220827573325</v>
      </c>
      <c r="D52" s="38" t="n">
        <v>0.02542220827573325</v>
      </c>
      <c r="E52" s="15" t="n">
        <v>0</v>
      </c>
      <c r="F52" s="14" t="n">
        <v>-0.05188876278447707</v>
      </c>
      <c r="G52" s="38" t="n">
        <v>0</v>
      </c>
      <c r="H52" s="15" t="n">
        <v>-0.05188876278447707</v>
      </c>
      <c r="I52" s="14" t="n">
        <v>0.768765327231365</v>
      </c>
      <c r="J52" s="38" t="n">
        <v>0.768765327231365</v>
      </c>
      <c r="K52" s="15" t="n">
        <v>0</v>
      </c>
      <c r="L52" s="14" t="n">
        <v>0.2021127146081453</v>
      </c>
      <c r="M52" s="38" t="n">
        <v>0.2021127146081453</v>
      </c>
      <c r="N52" s="15" t="n">
        <v>0</v>
      </c>
      <c r="O52" s="108" t="n">
        <v>0.03645598701234025</v>
      </c>
      <c r="P52" s="38" t="n">
        <v>0.03645598701234025</v>
      </c>
      <c r="Q52" s="15" t="n">
        <v>0</v>
      </c>
      <c r="R52" s="108" t="n">
        <v>-0.01110707984988866</v>
      </c>
      <c r="S52" s="38" t="n">
        <v>0</v>
      </c>
      <c r="T52" s="15" t="n">
        <v>-0.01110707984988866</v>
      </c>
      <c r="U52" s="109" t="n">
        <v>0.969760394493218</v>
      </c>
      <c r="V52" s="110" t="n">
        <v>1.032756237127584</v>
      </c>
      <c r="W52" s="109" t="n">
        <v>-0.06299584263436572</v>
      </c>
      <c r="X52" s="108" t="n">
        <v>3.345607870447132</v>
      </c>
      <c r="Y52" s="108" t="n">
        <v>1.5</v>
      </c>
      <c r="Z52" s="108" t="inlineStr">
        <is>
          <t>2021 кв.1</t>
        </is>
      </c>
      <c r="AA52" s="58" t="n"/>
      <c r="AB52" s="58" t="n"/>
      <c r="AC52" s="58" t="n"/>
      <c r="AD52" s="58" t="n"/>
    </row>
    <row r="53">
      <c r="A53" s="256" t="n">
        <v>44287</v>
      </c>
      <c r="B53" s="3" t="n">
        <v>0</v>
      </c>
      <c r="C53" s="14" t="n">
        <v>-0.2027620680775228</v>
      </c>
      <c r="D53" s="38" t="n">
        <v>0</v>
      </c>
      <c r="E53" s="15" t="n">
        <v>-0.2027620680775228</v>
      </c>
      <c r="F53" s="14" t="n">
        <v>-0.199785099479182</v>
      </c>
      <c r="G53" s="38" t="n">
        <v>0</v>
      </c>
      <c r="H53" s="15" t="n">
        <v>-0.199785099479182</v>
      </c>
      <c r="I53" s="14" t="n">
        <v>0.3064101243276814</v>
      </c>
      <c r="J53" s="38" t="n">
        <v>0.3064101243276814</v>
      </c>
      <c r="K53" s="15" t="n">
        <v>0</v>
      </c>
      <c r="L53" s="14" t="n">
        <v>0.02936387755843679</v>
      </c>
      <c r="M53" s="38" t="n">
        <v>0.02936387755843679</v>
      </c>
      <c r="N53" s="15" t="n">
        <v>0</v>
      </c>
      <c r="O53" s="108" t="n">
        <v>-0.1175169712861298</v>
      </c>
      <c r="P53" s="38" t="n">
        <v>0</v>
      </c>
      <c r="Q53" s="15" t="n">
        <v>-0.1175169712861298</v>
      </c>
      <c r="R53" s="108" t="n">
        <v>-0.05109685494756753</v>
      </c>
      <c r="S53" s="38" t="n">
        <v>0</v>
      </c>
      <c r="T53" s="15" t="n">
        <v>-0.05109685494756753</v>
      </c>
      <c r="U53" s="109" t="n">
        <v>-0.2353869919042838</v>
      </c>
      <c r="V53" s="110" t="n">
        <v>0.3357740018861182</v>
      </c>
      <c r="W53" s="109" t="n">
        <v>-0.5711609937904021</v>
      </c>
      <c r="X53" s="108" t="n">
        <v>1.28965321939733</v>
      </c>
      <c r="Y53" s="108" t="n">
        <v>1.5</v>
      </c>
      <c r="Z53" s="108" t="inlineStr">
        <is>
          <t>2021 кв.2</t>
        </is>
      </c>
      <c r="AA53" s="58" t="n"/>
      <c r="AB53" s="58" t="n"/>
      <c r="AC53" s="58" t="n"/>
      <c r="AD53" s="58" t="n"/>
    </row>
    <row r="54">
      <c r="A54" s="256" t="n">
        <v>44378</v>
      </c>
      <c r="B54" s="3" t="n">
        <v>0</v>
      </c>
      <c r="C54" s="14" t="n">
        <v>-0.249414641746371</v>
      </c>
      <c r="D54" s="38" t="n">
        <v>0</v>
      </c>
      <c r="E54" s="15" t="n">
        <v>-0.249414641746371</v>
      </c>
      <c r="F54" s="14" t="n">
        <v>-0.2812099730517582</v>
      </c>
      <c r="G54" s="38" t="n">
        <v>0</v>
      </c>
      <c r="H54" s="15" t="n">
        <v>-0.2812099730517582</v>
      </c>
      <c r="I54" s="14" t="n">
        <v>0.12146362798212</v>
      </c>
      <c r="J54" s="38" t="n">
        <v>0.12146362798212</v>
      </c>
      <c r="K54" s="15" t="n">
        <v>0</v>
      </c>
      <c r="L54" s="14" t="n">
        <v>-0.02557921497893557</v>
      </c>
      <c r="M54" s="38" t="n">
        <v>0</v>
      </c>
      <c r="N54" s="15" t="n">
        <v>-0.02557921497893557</v>
      </c>
      <c r="O54" s="108" t="n">
        <v>-0.1658716171995063</v>
      </c>
      <c r="P54" s="38" t="n">
        <v>0</v>
      </c>
      <c r="Q54" s="15" t="n">
        <v>-0.1658716171995063</v>
      </c>
      <c r="R54" s="108" t="n">
        <v>-0.0765531405621603</v>
      </c>
      <c r="S54" s="38" t="n">
        <v>0</v>
      </c>
      <c r="T54" s="15" t="n">
        <v>-0.0765531405621603</v>
      </c>
      <c r="U54" s="109" t="n">
        <v>-0.6771649595566113</v>
      </c>
      <c r="V54" s="110" t="n">
        <v>0.12146362798212</v>
      </c>
      <c r="W54" s="109" t="n">
        <v>-0.7986285875387312</v>
      </c>
      <c r="X54" s="108" t="n">
        <v>0.2543706506459102</v>
      </c>
      <c r="Y54" s="108" t="n">
        <v>1.5</v>
      </c>
      <c r="Z54" s="108" t="inlineStr">
        <is>
          <t>2021 кв.3</t>
        </is>
      </c>
      <c r="AA54" s="58" t="n"/>
      <c r="AB54" s="58" t="n"/>
      <c r="AC54" s="58" t="n"/>
      <c r="AD54" s="58" t="n"/>
    </row>
    <row r="55">
      <c r="A55" s="256" t="n">
        <v>44470</v>
      </c>
      <c r="B55" s="3" t="n">
        <v>0</v>
      </c>
      <c r="C55" s="14" t="n">
        <v>-0.2921446186922487</v>
      </c>
      <c r="D55" s="38" t="n">
        <v>0</v>
      </c>
      <c r="E55" s="15" t="n">
        <v>-0.2921446186922487</v>
      </c>
      <c r="F55" s="14" t="n">
        <v>-0.3430399268121782</v>
      </c>
      <c r="G55" s="38" t="n">
        <v>0</v>
      </c>
      <c r="H55" s="15" t="n">
        <v>-0.3430399268121782</v>
      </c>
      <c r="I55" s="14" t="n">
        <v>-0.0004572276401606512</v>
      </c>
      <c r="J55" s="38" t="n">
        <v>0</v>
      </c>
      <c r="K55" s="15" t="n">
        <v>-0.0004572276401606512</v>
      </c>
      <c r="L55" s="14" t="n">
        <v>-0.08741568942370423</v>
      </c>
      <c r="M55" s="38" t="n">
        <v>0</v>
      </c>
      <c r="N55" s="15" t="n">
        <v>-0.08741568942370423</v>
      </c>
      <c r="O55" s="108" t="n">
        <v>-0.2990427726758896</v>
      </c>
      <c r="P55" s="38" t="n">
        <v>0</v>
      </c>
      <c r="Q55" s="15" t="n">
        <v>-0.2990427726758896</v>
      </c>
      <c r="R55" s="108" t="n">
        <v>-0.1338563401046901</v>
      </c>
      <c r="S55" s="38" t="n">
        <v>0</v>
      </c>
      <c r="T55" s="15" t="n">
        <v>-0.1338563401046901</v>
      </c>
      <c r="U55" s="109" t="n">
        <v>-1.155956575348871</v>
      </c>
      <c r="V55" s="110" t="n">
        <v>0</v>
      </c>
      <c r="W55" s="109" t="n">
        <v>-1.155956575348871</v>
      </c>
      <c r="X55" s="108" t="n">
        <v>-0.929665712729296</v>
      </c>
      <c r="Y55" s="108" t="n">
        <v>1.5</v>
      </c>
      <c r="Z55" s="108" t="inlineStr">
        <is>
          <t>2021 кв.4</t>
        </is>
      </c>
      <c r="AA55" s="58" t="n"/>
      <c r="AB55" s="58" t="n"/>
      <c r="AC55" s="58" t="n"/>
      <c r="AD55" s="58" t="n"/>
    </row>
    <row r="56">
      <c r="A56" s="256" t="n">
        <v>44562</v>
      </c>
      <c r="B56" s="3" t="n">
        <v>1</v>
      </c>
      <c r="C56" s="14" t="n">
        <v>-0.1837873586317025</v>
      </c>
      <c r="D56" s="38" t="n">
        <v>0</v>
      </c>
      <c r="E56" s="15" t="n">
        <v>-0.1837873586317025</v>
      </c>
      <c r="F56" s="14" t="n">
        <v>-0.3762901997569039</v>
      </c>
      <c r="G56" s="38" t="n">
        <v>0</v>
      </c>
      <c r="H56" s="15" t="n">
        <v>-0.3762901997569039</v>
      </c>
      <c r="I56" s="14" t="n">
        <v>-0.05390156173233531</v>
      </c>
      <c r="J56" s="38" t="n">
        <v>0</v>
      </c>
      <c r="K56" s="15" t="n">
        <v>-0.05390156173233531</v>
      </c>
      <c r="L56" s="14" t="n">
        <v>0.03807465365160061</v>
      </c>
      <c r="M56" s="38" t="n">
        <v>0.03807465365160061</v>
      </c>
      <c r="N56" s="15" t="n">
        <v>0</v>
      </c>
      <c r="O56" s="108" t="n">
        <v>-0.2724130575909742</v>
      </c>
      <c r="P56" s="38" t="n">
        <v>0</v>
      </c>
      <c r="Q56" s="15" t="n">
        <v>-0.2724130575909742</v>
      </c>
      <c r="R56" s="108" t="n">
        <v>-0.3003054986348019</v>
      </c>
      <c r="S56" s="38" t="n">
        <v>0</v>
      </c>
      <c r="T56" s="15" t="n">
        <v>-0.3003054986348019</v>
      </c>
      <c r="U56" s="109" t="n">
        <v>-1.148623022695117</v>
      </c>
      <c r="V56" s="110" t="n">
        <v>0.03807465365160061</v>
      </c>
      <c r="W56" s="109" t="n">
        <v>-1.186697676346718</v>
      </c>
      <c r="X56" s="108" t="n">
        <v>0.3916751924696271</v>
      </c>
      <c r="Y56" s="108" t="n">
        <v>1.5</v>
      </c>
      <c r="Z56" s="108" t="inlineStr">
        <is>
          <t>2022 кв.1</t>
        </is>
      </c>
      <c r="AA56" s="58" t="n"/>
      <c r="AB56" s="58" t="n"/>
      <c r="AC56" s="58" t="n"/>
      <c r="AD56" s="58" t="n"/>
    </row>
    <row r="57">
      <c r="A57" s="256" t="n">
        <v>44652</v>
      </c>
      <c r="B57" s="3" t="n">
        <v>0</v>
      </c>
      <c r="C57" s="14" t="n">
        <v>0.001442909123647925</v>
      </c>
      <c r="D57" s="38" t="n">
        <v>0.001442909123647925</v>
      </c>
      <c r="E57" s="15" t="n">
        <v>0</v>
      </c>
      <c r="F57" s="14" t="n">
        <v>-0.4105173609517704</v>
      </c>
      <c r="G57" s="38" t="n">
        <v>0</v>
      </c>
      <c r="H57" s="15" t="n">
        <v>-0.4105173609517704</v>
      </c>
      <c r="I57" s="14" t="n">
        <v>0.1007739792405169</v>
      </c>
      <c r="J57" s="38" t="n">
        <v>0.1007739792405169</v>
      </c>
      <c r="K57" s="15" t="n">
        <v>0</v>
      </c>
      <c r="L57" s="14" t="n">
        <v>-0.1030488661878987</v>
      </c>
      <c r="M57" s="38" t="n">
        <v>0</v>
      </c>
      <c r="N57" s="15" t="n">
        <v>-0.1030488661878987</v>
      </c>
      <c r="O57" s="108" t="n">
        <v>-0.2340601772926116</v>
      </c>
      <c r="P57" s="38" t="n">
        <v>0</v>
      </c>
      <c r="Q57" s="15" t="n">
        <v>-0.2340601772926116</v>
      </c>
      <c r="R57" s="108" t="n">
        <v>-0.3901707226139474</v>
      </c>
      <c r="S57" s="38" t="n">
        <v>0</v>
      </c>
      <c r="T57" s="15" t="n">
        <v>-0.3901707226139474</v>
      </c>
      <c r="U57" s="109" t="n">
        <v>-1.035580238682063</v>
      </c>
      <c r="V57" s="110" t="n">
        <v>0.1022168883641648</v>
      </c>
      <c r="W57" s="109" t="n">
        <v>-1.137797127046228</v>
      </c>
      <c r="X57" s="108" t="n">
        <v>-0.3488960947939077</v>
      </c>
      <c r="Y57" s="108" t="n">
        <v>1.5</v>
      </c>
      <c r="Z57" s="108" t="inlineStr">
        <is>
          <t>2022 кв.2</t>
        </is>
      </c>
      <c r="AA57" s="58" t="n"/>
      <c r="AB57" s="58" t="n"/>
      <c r="AC57" s="58" t="n"/>
      <c r="AD57" s="58" t="n"/>
    </row>
    <row r="58">
      <c r="A58" s="256" t="n">
        <v>44743</v>
      </c>
      <c r="B58" s="3" t="n">
        <v>0</v>
      </c>
      <c r="C58" s="14" t="n">
        <v>-0.01199238234844883</v>
      </c>
      <c r="D58" s="38" t="n">
        <v>0</v>
      </c>
      <c r="E58" s="15" t="n">
        <v>-0.01199238234844883</v>
      </c>
      <c r="F58" s="14" t="n">
        <v>-0.4413853097125819</v>
      </c>
      <c r="G58" s="38" t="n">
        <v>0</v>
      </c>
      <c r="H58" s="15" t="n">
        <v>-0.4413853097125819</v>
      </c>
      <c r="I58" s="14" t="n">
        <v>-0.07805307364323552</v>
      </c>
      <c r="J58" s="38" t="n">
        <v>0</v>
      </c>
      <c r="K58" s="15" t="n">
        <v>-0.07805307364323552</v>
      </c>
      <c r="L58" s="14" t="n">
        <v>-0.3483565676678791</v>
      </c>
      <c r="M58" s="38" t="n">
        <v>0</v>
      </c>
      <c r="N58" s="15" t="n">
        <v>-0.3483565676678791</v>
      </c>
      <c r="O58" s="108" t="n">
        <v>-0.2960910036581968</v>
      </c>
      <c r="P58" s="38" t="n">
        <v>0</v>
      </c>
      <c r="Q58" s="15" t="n">
        <v>-0.2960910036581968</v>
      </c>
      <c r="R58" s="108" t="n">
        <v>-0.2709088582234145</v>
      </c>
      <c r="S58" s="38" t="n">
        <v>0</v>
      </c>
      <c r="T58" s="15" t="n">
        <v>-0.2709088582234145</v>
      </c>
      <c r="U58" s="109" t="n">
        <v>-1.446787195253757</v>
      </c>
      <c r="V58" s="110" t="n">
        <v>0</v>
      </c>
      <c r="W58" s="109" t="n">
        <v>-1.446787195253757</v>
      </c>
      <c r="X58" s="108" t="n">
        <v>-2.272938732462066</v>
      </c>
      <c r="Y58" s="108" t="n">
        <v>1.5</v>
      </c>
      <c r="Z58" s="108" t="inlineStr">
        <is>
          <t>2022 кв.3</t>
        </is>
      </c>
      <c r="AA58" s="58" t="n"/>
      <c r="AB58" s="58" t="n"/>
      <c r="AC58" s="58" t="n"/>
      <c r="AD58" s="58" t="n"/>
    </row>
    <row r="59">
      <c r="A59" s="256" t="n">
        <v>44835</v>
      </c>
      <c r="B59" s="3" t="n">
        <v>0</v>
      </c>
      <c r="C59" s="14" t="n">
        <v>-0.02190837285557697</v>
      </c>
      <c r="D59" s="38" t="n">
        <v>0</v>
      </c>
      <c r="E59" s="15" t="n">
        <v>-0.02190837285557697</v>
      </c>
      <c r="F59" s="14" t="n">
        <v>-0.3840370511878545</v>
      </c>
      <c r="G59" s="38" t="n">
        <v>0</v>
      </c>
      <c r="H59" s="15" t="n">
        <v>-0.3840370511878545</v>
      </c>
      <c r="I59" s="14" t="n">
        <v>-0.008471579388333985</v>
      </c>
      <c r="J59" s="38" t="n">
        <v>0</v>
      </c>
      <c r="K59" s="15" t="n">
        <v>-0.008471579388333985</v>
      </c>
      <c r="L59" s="14" t="n">
        <v>-0.4698415738191984</v>
      </c>
      <c r="M59" s="38" t="n">
        <v>0</v>
      </c>
      <c r="N59" s="15" t="n">
        <v>-0.4698415738191984</v>
      </c>
      <c r="O59" s="108" t="n">
        <v>-0.2186319843288762</v>
      </c>
      <c r="P59" s="38" t="n">
        <v>0</v>
      </c>
      <c r="Q59" s="15" t="n">
        <v>-0.2186319843288762</v>
      </c>
      <c r="R59" s="108" t="n">
        <v>-0.2334629164163225</v>
      </c>
      <c r="S59" s="38" t="n">
        <v>0</v>
      </c>
      <c r="T59" s="15" t="n">
        <v>-0.2334629164163225</v>
      </c>
      <c r="U59" s="109" t="n">
        <v>-1.336353477996162</v>
      </c>
      <c r="V59" s="110" t="n">
        <v>0</v>
      </c>
      <c r="W59" s="109" t="n">
        <v>-1.336353477996162</v>
      </c>
      <c r="X59" s="108" t="n">
        <v>-3.249359743928217</v>
      </c>
      <c r="Y59" s="108" t="n">
        <v>1.5</v>
      </c>
      <c r="Z59" s="108" t="inlineStr">
        <is>
          <t>2022 кв.4</t>
        </is>
      </c>
      <c r="AA59" s="58" t="n"/>
      <c r="AB59" s="58" t="n"/>
      <c r="AC59" s="58" t="n"/>
      <c r="AD59" s="58" t="n"/>
    </row>
    <row r="60">
      <c r="A60" s="256" t="n">
        <v>44927</v>
      </c>
      <c r="B60" s="3" t="n">
        <v>0</v>
      </c>
      <c r="C60" s="14" t="n">
        <v>0.100532067598806</v>
      </c>
      <c r="D60" s="38" t="n">
        <v>0.100532067598806</v>
      </c>
      <c r="E60" s="15" t="n">
        <v>0</v>
      </c>
      <c r="F60" s="14" t="n">
        <v>-0.321708911643647</v>
      </c>
      <c r="G60" s="38" t="n">
        <v>0</v>
      </c>
      <c r="H60" s="15" t="n">
        <v>-0.321708911643647</v>
      </c>
      <c r="I60" s="14" t="n">
        <v>-0.01199648662093523</v>
      </c>
      <c r="J60" s="38" t="n">
        <v>0</v>
      </c>
      <c r="K60" s="15" t="n">
        <v>-0.01199648662093523</v>
      </c>
      <c r="L60" s="14" t="n">
        <v>-0.4243318731748954</v>
      </c>
      <c r="M60" s="38" t="n">
        <v>0</v>
      </c>
      <c r="N60" s="15" t="n">
        <v>-0.4243318731748954</v>
      </c>
      <c r="O60" s="108" t="n">
        <v>-0.179331242236546</v>
      </c>
      <c r="P60" s="38" t="n">
        <v>0</v>
      </c>
      <c r="Q60" s="15" t="n">
        <v>-0.179331242236546</v>
      </c>
      <c r="R60" s="108" t="n">
        <v>-0.3223778381740207</v>
      </c>
      <c r="S60" s="38" t="n">
        <v>0</v>
      </c>
      <c r="T60" s="15" t="n">
        <v>-0.3223778381740207</v>
      </c>
      <c r="U60" s="109" t="n">
        <v>-1.159214284251238</v>
      </c>
      <c r="V60" s="110" t="n">
        <v>0.100532067598806</v>
      </c>
      <c r="W60" s="109" t="n">
        <v>-1.259746351850044</v>
      </c>
      <c r="X60" s="108" t="n">
        <v>-1.950956385896809</v>
      </c>
      <c r="Y60" s="108" t="n">
        <v>1.5</v>
      </c>
      <c r="Z60" s="108" t="inlineStr">
        <is>
          <t>2023 кв.1</t>
        </is>
      </c>
      <c r="AA60" s="58" t="n"/>
    </row>
    <row r="61">
      <c r="A61" s="256" t="n">
        <v>45017</v>
      </c>
      <c r="B61" s="3" t="n">
        <v>0</v>
      </c>
      <c r="C61" s="14" t="n">
        <v>0.1654106520358486</v>
      </c>
      <c r="D61" s="38" t="n">
        <v>0.1654106520358486</v>
      </c>
      <c r="E61" s="15" t="n">
        <v>0</v>
      </c>
      <c r="F61" s="14" t="n">
        <v>-0.2545933259324537</v>
      </c>
      <c r="G61" s="38" t="n">
        <v>0</v>
      </c>
      <c r="H61" s="15" t="n">
        <v>-0.2545933259324537</v>
      </c>
      <c r="I61" s="14" t="n">
        <v>-0.2401553844185506</v>
      </c>
      <c r="J61" s="38" t="n">
        <v>0</v>
      </c>
      <c r="K61" s="15" t="n">
        <v>-0.2401553844185506</v>
      </c>
      <c r="L61" s="14" t="n">
        <v>-0.3205981607906557</v>
      </c>
      <c r="M61" s="38" t="n">
        <v>0</v>
      </c>
      <c r="N61" s="15" t="n">
        <v>-0.3205981607906557</v>
      </c>
      <c r="O61" s="108" t="n">
        <v>-0.04165826563759978</v>
      </c>
      <c r="P61" s="38" t="n">
        <v>0</v>
      </c>
      <c r="Q61" s="15" t="n">
        <v>-0.04165826563759978</v>
      </c>
      <c r="R61" s="108" t="n">
        <v>-0.1439991578527168</v>
      </c>
      <c r="S61" s="38" t="n">
        <v>0</v>
      </c>
      <c r="T61" s="15" t="n">
        <v>-0.1439991578527168</v>
      </c>
      <c r="U61" s="109" t="n">
        <v>-0.8355936425961279</v>
      </c>
      <c r="V61" s="110" t="n">
        <v>0.1654106520358486</v>
      </c>
      <c r="W61" s="109" t="n">
        <v>-1.001004294631977</v>
      </c>
      <c r="X61" s="108" t="n">
        <v>-1.421064628415017</v>
      </c>
      <c r="Y61" s="108" t="n">
        <v>1.5</v>
      </c>
      <c r="Z61" s="108" t="inlineStr">
        <is>
          <t>2023 кв.2</t>
        </is>
      </c>
      <c r="AA61" s="58" t="n"/>
    </row>
    <row r="62">
      <c r="A62" s="256" t="n">
        <v>45108</v>
      </c>
      <c r="B62" s="3" t="n">
        <v>0</v>
      </c>
      <c r="C62" s="14" t="n">
        <v>0.1759353948135198</v>
      </c>
      <c r="D62" s="38" t="n">
        <v>0.1759353948135198</v>
      </c>
      <c r="E62" s="15" t="n">
        <v>0</v>
      </c>
      <c r="F62" s="14" t="n">
        <v>-0.1595819097690504</v>
      </c>
      <c r="G62" s="38" t="n">
        <v>0</v>
      </c>
      <c r="H62" s="15" t="n">
        <v>-0.1595819097690504</v>
      </c>
      <c r="I62" s="14" t="n">
        <v>-0.1802665168133688</v>
      </c>
      <c r="J62" s="38" t="n">
        <v>0</v>
      </c>
      <c r="K62" s="15" t="n">
        <v>-0.1802665168133688</v>
      </c>
      <c r="L62" s="14" t="n">
        <v>-0.2079594720493904</v>
      </c>
      <c r="M62" s="38" t="n">
        <v>0</v>
      </c>
      <c r="N62" s="15" t="n">
        <v>-0.2079594720493904</v>
      </c>
      <c r="O62" s="108" t="n">
        <v>0.121476810617237</v>
      </c>
      <c r="P62" s="38" t="n">
        <v>0.121476810617237</v>
      </c>
      <c r="Q62" s="15" t="n">
        <v>0</v>
      </c>
      <c r="R62" s="108" t="n">
        <v>-0.1658234467866072</v>
      </c>
      <c r="S62" s="38" t="n">
        <v>0</v>
      </c>
      <c r="T62" s="15" t="n">
        <v>-0.1658234467866072</v>
      </c>
      <c r="U62" s="109" t="n">
        <v>-0.41621913998766</v>
      </c>
      <c r="V62" s="110" t="n">
        <v>0.2974122054307567</v>
      </c>
      <c r="W62" s="109" t="n">
        <v>-0.7136313454184167</v>
      </c>
      <c r="X62" s="108" t="n">
        <v>-0.6105616632402118</v>
      </c>
      <c r="Y62" s="108" t="n">
        <v>1.5</v>
      </c>
      <c r="Z62" s="108" t="inlineStr">
        <is>
          <t>2023 кв.3</t>
        </is>
      </c>
      <c r="AA62" s="58" t="n"/>
    </row>
    <row r="63">
      <c r="A63" s="256" t="n">
        <v>45200</v>
      </c>
      <c r="B63" s="3" t="n">
        <v>0</v>
      </c>
      <c r="C63" s="14" t="n">
        <v>0.1436398485350045</v>
      </c>
      <c r="D63" s="38" t="n">
        <v>0.1436398485350045</v>
      </c>
      <c r="E63" s="15" t="n">
        <v>0</v>
      </c>
      <c r="F63" s="14" t="n">
        <v>-0.1051170095917572</v>
      </c>
      <c r="G63" s="38" t="n">
        <v>0</v>
      </c>
      <c r="H63" s="15" t="n">
        <v>-0.1051170095917572</v>
      </c>
      <c r="I63" s="14" t="n">
        <v>-0.2039950085529544</v>
      </c>
      <c r="J63" s="38" t="n">
        <v>0</v>
      </c>
      <c r="K63" s="15" t="n">
        <v>-0.2039950085529544</v>
      </c>
      <c r="L63" s="14" t="n">
        <v>-0.09760754792560355</v>
      </c>
      <c r="M63" s="38" t="n">
        <v>0</v>
      </c>
      <c r="N63" s="15" t="n">
        <v>-0.09760754792560355</v>
      </c>
      <c r="O63" s="108" t="n">
        <v>0.2361353308439433</v>
      </c>
      <c r="P63" s="38" t="n">
        <v>0.2361353308439433</v>
      </c>
      <c r="Q63" s="15" t="n">
        <v>0</v>
      </c>
      <c r="R63" s="108" t="n">
        <v>0.08264297216420578</v>
      </c>
      <c r="S63" s="38" t="n">
        <v>0.08264297216420578</v>
      </c>
      <c r="T63" s="15" t="n">
        <v>0</v>
      </c>
      <c r="U63" s="109" t="n">
        <v>0.05569858547283842</v>
      </c>
      <c r="V63" s="110" t="n">
        <v>0.4624181515431536</v>
      </c>
      <c r="W63" s="109" t="n">
        <v>-0.4067195660703151</v>
      </c>
      <c r="X63" s="108" t="n">
        <v>0.2733774132467275</v>
      </c>
      <c r="Y63" s="108" t="n">
        <v>1.5</v>
      </c>
      <c r="Z63" s="108" t="inlineStr">
        <is>
          <t>2023 кв.4</t>
        </is>
      </c>
      <c r="AA63" s="58" t="n"/>
    </row>
    <row r="64">
      <c r="A64" s="256" t="n">
        <v>45292</v>
      </c>
      <c r="B64" s="3" t="n">
        <v>0</v>
      </c>
      <c r="C64" s="14" t="n">
        <v>0.105346901231555</v>
      </c>
      <c r="D64" s="38" t="n">
        <v>0.105346901231555</v>
      </c>
      <c r="E64" s="15" t="n">
        <v>0</v>
      </c>
      <c r="F64" s="14" t="n">
        <v>-0.05366119238743819</v>
      </c>
      <c r="G64" s="38" t="n">
        <v>0</v>
      </c>
      <c r="H64" s="15" t="n">
        <v>-0.05366119238743819</v>
      </c>
      <c r="I64" s="14" t="n">
        <v>-0.2737293749005932</v>
      </c>
      <c r="J64" s="38" t="n">
        <v>0</v>
      </c>
      <c r="K64" s="15" t="n">
        <v>-0.2737293749005932</v>
      </c>
      <c r="L64" s="14" t="n">
        <v>-0.1166526303565509</v>
      </c>
      <c r="M64" s="38" t="n">
        <v>0</v>
      </c>
      <c r="N64" s="15" t="n">
        <v>-0.1166526303565509</v>
      </c>
      <c r="O64" s="108" t="n">
        <v>0.2206631085149176</v>
      </c>
      <c r="P64" s="38" t="n">
        <v>0.2206631085149176</v>
      </c>
      <c r="Q64" s="15" t="n">
        <v>0</v>
      </c>
      <c r="R64" s="108" t="n">
        <v>0.2726527677106466</v>
      </c>
      <c r="S64" s="38" t="n">
        <v>0.2726527677106466</v>
      </c>
      <c r="T64" s="15" t="n">
        <v>0</v>
      </c>
      <c r="U64" s="109" t="n">
        <v>0.154619579812537</v>
      </c>
      <c r="V64" s="110" t="n">
        <v>0.5986627774571193</v>
      </c>
      <c r="W64" s="109" t="n">
        <v>-0.4440431976445822</v>
      </c>
      <c r="X64" s="108" t="n">
        <v>0.236096414000869</v>
      </c>
      <c r="Y64" s="108" t="n">
        <v>1.5</v>
      </c>
      <c r="Z64" s="108" t="inlineStr">
        <is>
          <t>2024 кв.1</t>
        </is>
      </c>
      <c r="AA64" s="58" t="n"/>
    </row>
    <row r="65">
      <c r="A65" s="256" t="n">
        <v>45383</v>
      </c>
      <c r="B65" s="3" t="n">
        <v>0</v>
      </c>
      <c r="C65" s="14" t="n">
        <v>0.02057852461984712</v>
      </c>
      <c r="D65" s="38" t="n">
        <v>0.02057852461984712</v>
      </c>
      <c r="E65" s="15" t="n">
        <v>0</v>
      </c>
      <c r="F65" s="14" t="n">
        <v>-0.003842734722550204</v>
      </c>
      <c r="G65" s="38" t="n">
        <v>0</v>
      </c>
      <c r="H65" s="15" t="n">
        <v>-0.003842734722550204</v>
      </c>
      <c r="I65" s="14" t="n">
        <v>-0.0945488821854141</v>
      </c>
      <c r="J65" s="38" t="n">
        <v>0</v>
      </c>
      <c r="K65" s="15" t="n">
        <v>-0.0945488821854141</v>
      </c>
      <c r="L65" s="14" t="n">
        <v>-0.09525978755326658</v>
      </c>
      <c r="M65" s="38" t="n">
        <v>0</v>
      </c>
      <c r="N65" s="15" t="n">
        <v>-0.09525978755326658</v>
      </c>
      <c r="O65" s="108" t="n">
        <v>0.1710509574306193</v>
      </c>
      <c r="P65" s="38" t="n">
        <v>0.1710509574306193</v>
      </c>
      <c r="Q65" s="15" t="n">
        <v>0</v>
      </c>
      <c r="R65" s="108" t="n">
        <v>0.2212138469441024</v>
      </c>
      <c r="S65" s="38" t="n">
        <v>0.2212138469441024</v>
      </c>
      <c r="T65" s="15" t="n">
        <v>0</v>
      </c>
      <c r="U65" s="109" t="n">
        <v>0.219191924533338</v>
      </c>
      <c r="V65" s="110" t="n">
        <v>0.4128433289945689</v>
      </c>
      <c r="W65" s="109" t="n">
        <v>-0.1936514044612309</v>
      </c>
      <c r="X65" s="108" t="n">
        <v>0.1507054355133661</v>
      </c>
      <c r="Y65" s="108" t="n">
        <v>1.5</v>
      </c>
      <c r="Z65" s="108" t="inlineStr">
        <is>
          <t>2024 кв.2</t>
        </is>
      </c>
      <c r="AA65" s="58" t="n"/>
    </row>
    <row r="66">
      <c r="A66" s="256" t="n">
        <v>45474</v>
      </c>
      <c r="B66" s="3" t="n">
        <v>0</v>
      </c>
      <c r="C66" s="14" t="n">
        <v>-0.01290656118193421</v>
      </c>
      <c r="D66" s="38" t="n">
        <v>0</v>
      </c>
      <c r="E66" s="15" t="n">
        <v>-0.01290656118193421</v>
      </c>
      <c r="F66" s="14" t="n">
        <v>0.05112097486753518</v>
      </c>
      <c r="G66" s="38" t="n">
        <v>0.05112097486753518</v>
      </c>
      <c r="H66" s="15" t="n">
        <v>0</v>
      </c>
      <c r="I66" s="14" t="n">
        <v>-0.1753210180526364</v>
      </c>
      <c r="J66" s="38" t="n">
        <v>0</v>
      </c>
      <c r="K66" s="15" t="n">
        <v>-0.1753210180526364</v>
      </c>
      <c r="L66" s="14" t="n">
        <v>-0.08756548951849871</v>
      </c>
      <c r="M66" s="38" t="n">
        <v>0</v>
      </c>
      <c r="N66" s="15" t="n">
        <v>-0.08756548951849871</v>
      </c>
      <c r="O66" s="108" t="n">
        <v>0.1935870854291026</v>
      </c>
      <c r="P66" s="38" t="n">
        <v>0.1935870854291026</v>
      </c>
      <c r="Q66" s="15" t="n">
        <v>0</v>
      </c>
      <c r="R66" s="108" t="n">
        <v>-0.3493607509900577</v>
      </c>
      <c r="S66" s="38" t="n">
        <v>0</v>
      </c>
      <c r="T66" s="15" t="n">
        <v>-0.3493607509900577</v>
      </c>
      <c r="U66" s="109" t="n">
        <v>-0.3804457594464892</v>
      </c>
      <c r="V66" s="110" t="n">
        <v>0.2447080602966377</v>
      </c>
      <c r="W66" s="109" t="n">
        <v>-0.625153819743127</v>
      </c>
      <c r="X66" s="108" t="n">
        <v>-0.3825693479083583</v>
      </c>
      <c r="Y66" s="108" t="n">
        <v>1.5</v>
      </c>
      <c r="Z66" s="108" t="inlineStr">
        <is>
          <t>2024 кв.3</t>
        </is>
      </c>
      <c r="AA66" s="58" t="n"/>
    </row>
    <row r="67">
      <c r="A67" s="256" t="n">
        <v>45566</v>
      </c>
      <c r="B67" s="3" t="n">
        <v>0</v>
      </c>
      <c r="C67" s="14" t="n">
        <v>0.02731108126549327</v>
      </c>
      <c r="D67" s="38" t="n">
        <v>0.02731108126549327</v>
      </c>
      <c r="E67" s="15" t="n">
        <v>0</v>
      </c>
      <c r="F67" s="14" t="n">
        <v>0.1051112454239992</v>
      </c>
      <c r="G67" s="38" t="n">
        <v>0.1051112454239992</v>
      </c>
      <c r="H67" s="15" t="n">
        <v>0</v>
      </c>
      <c r="I67" s="14" t="n">
        <v>-0.225036578526417</v>
      </c>
      <c r="J67" s="38" t="n">
        <v>0</v>
      </c>
      <c r="K67" s="15" t="n">
        <v>-0.225036578526417</v>
      </c>
      <c r="L67" s="14" t="n">
        <v>-0.0456069015539788</v>
      </c>
      <c r="M67" s="38" t="n">
        <v>0</v>
      </c>
      <c r="N67" s="15" t="n">
        <v>-0.0456069015539788</v>
      </c>
      <c r="O67" s="108" t="n">
        <v>0.1384284337087342</v>
      </c>
      <c r="P67" s="38" t="n">
        <v>0.1384284337087342</v>
      </c>
      <c r="Q67" s="15" t="n">
        <v>0</v>
      </c>
      <c r="R67" s="108" t="n">
        <v>-0.3569502275797627</v>
      </c>
      <c r="S67" s="38" t="n">
        <v>0</v>
      </c>
      <c r="T67" s="15" t="n">
        <v>-0.3569502275797627</v>
      </c>
      <c r="U67" s="109" t="n">
        <v>-0.3567429472619319</v>
      </c>
      <c r="V67" s="110" t="n">
        <v>0.2708507603982266</v>
      </c>
      <c r="W67" s="109" t="n">
        <v>-0.6275937076601585</v>
      </c>
      <c r="X67" s="108" t="n">
        <v>0.07070707195388337</v>
      </c>
      <c r="Y67" s="108" t="n">
        <v>1.5</v>
      </c>
      <c r="Z67" s="108" t="inlineStr">
        <is>
          <t>2024 кв.4</t>
        </is>
      </c>
    </row>
    <row r="68">
      <c r="A68" s="256" t="n">
        <v>45658</v>
      </c>
      <c r="B68" s="3" t="n">
        <v>0</v>
      </c>
      <c r="C68" s="14" t="n">
        <v>0.07292792147112528</v>
      </c>
      <c r="D68" s="38" t="n">
        <v>0.07292792147112528</v>
      </c>
      <c r="E68" s="15" t="n">
        <v>0</v>
      </c>
      <c r="F68" s="14" t="n">
        <v>0.1615632660549406</v>
      </c>
      <c r="G68" s="38" t="n">
        <v>0.1615632660549406</v>
      </c>
      <c r="H68" s="15" t="n">
        <v>0</v>
      </c>
      <c r="I68" s="14" t="n">
        <v>-0.2038799640113026</v>
      </c>
      <c r="J68" s="38" t="n">
        <v>0</v>
      </c>
      <c r="K68" s="15" t="n">
        <v>-0.2038799640113026</v>
      </c>
      <c r="L68" s="14" t="n">
        <v>-0.008277646146993594</v>
      </c>
      <c r="M68" s="38" t="n">
        <v>0</v>
      </c>
      <c r="N68" s="15" t="n">
        <v>-0.008277646146993594</v>
      </c>
      <c r="O68" s="108" t="n">
        <v>0.1336367990686641</v>
      </c>
      <c r="P68" s="38" t="n">
        <v>0.1336367990686641</v>
      </c>
      <c r="Q68" s="15" t="n">
        <v>0</v>
      </c>
      <c r="R68" s="108" t="n">
        <v>-0.3334493832894969</v>
      </c>
      <c r="S68" s="38" t="n">
        <v>0</v>
      </c>
      <c r="T68" s="15" t="n">
        <v>-0.3334493832894969</v>
      </c>
      <c r="U68" s="109" t="n">
        <v>-0.1774790068530632</v>
      </c>
      <c r="V68" s="110" t="n">
        <v>0.36812798659473</v>
      </c>
      <c r="W68" s="109" t="n">
        <v>-0.5456069934477932</v>
      </c>
      <c r="X68" s="108" t="n">
        <v>0.7642791304977763</v>
      </c>
      <c r="Y68" s="108" t="n">
        <v>1.5</v>
      </c>
      <c r="Z68" s="108" t="inlineStr">
        <is>
          <t>2025 кв.1</t>
        </is>
      </c>
    </row>
    <row r="69">
      <c r="A69" s="256" t="n">
        <v>45748</v>
      </c>
      <c r="B69" s="3" t="n">
        <v>0</v>
      </c>
      <c r="C69" s="108" t="n">
        <v>0.1956324756369583</v>
      </c>
      <c r="D69" s="111" t="n">
        <v>0.1956324756369583</v>
      </c>
      <c r="E69" s="108" t="n">
        <v>0</v>
      </c>
      <c r="F69" s="108" t="n">
        <v>0.1777763441583245</v>
      </c>
      <c r="G69" s="111" t="n">
        <v>0.1777763441583245</v>
      </c>
      <c r="H69" s="108" t="n">
        <v>0</v>
      </c>
      <c r="I69" s="108" t="n">
        <v>-0.1827562875569037</v>
      </c>
      <c r="J69" s="111" t="n">
        <v>0</v>
      </c>
      <c r="K69" s="108" t="n">
        <v>-0.1827562875569037</v>
      </c>
      <c r="L69" s="108" t="n">
        <v>-0.0252280423775138</v>
      </c>
      <c r="M69" s="111" t="n">
        <v>0</v>
      </c>
      <c r="N69" s="108" t="n">
        <v>-0.0252280423775138</v>
      </c>
      <c r="O69" s="108" t="n">
        <v>0.1108143124908164</v>
      </c>
      <c r="P69" s="111" t="n">
        <v>0.1108143124908164</v>
      </c>
      <c r="Q69" s="108" t="n">
        <v>0</v>
      </c>
      <c r="R69" s="108" t="n">
        <v>-0.3632109753616383</v>
      </c>
      <c r="S69" s="111" t="n">
        <v>0</v>
      </c>
      <c r="T69" s="108" t="n">
        <v>-0.3632109753616383</v>
      </c>
      <c r="U69" s="109" t="n">
        <v>-0.08697217300995652</v>
      </c>
      <c r="V69" s="110" t="n">
        <v>0.4842231322860992</v>
      </c>
      <c r="W69" s="109" t="n">
        <v>-0.5711953052960558</v>
      </c>
      <c r="X69" s="108" t="n">
        <v>0.6474571099122031</v>
      </c>
      <c r="Y69" s="108" t="n">
        <v>1.5</v>
      </c>
      <c r="Z69" s="108" t="inlineStr">
        <is>
          <t>2025 кв.2</t>
        </is>
      </c>
    </row>
    <row r="70">
      <c r="A70" s="256" t="n">
        <v>45839</v>
      </c>
      <c r="B70" s="96" t="n">
        <v>0</v>
      </c>
      <c r="C70" s="108" t="n">
        <v>0.209412297530357</v>
      </c>
      <c r="D70" s="111" t="n">
        <v>0.209412297530357</v>
      </c>
      <c r="E70" s="108" t="n">
        <v>0</v>
      </c>
      <c r="F70" s="108" t="n">
        <v>0.1403836737314078</v>
      </c>
      <c r="G70" s="111" t="n">
        <v>0.1403836737314078</v>
      </c>
      <c r="H70" s="108" t="n">
        <v>0</v>
      </c>
      <c r="I70" s="108" t="n">
        <v>-0.07381706884461375</v>
      </c>
      <c r="J70" s="111" t="n">
        <v>0</v>
      </c>
      <c r="K70" s="108" t="n">
        <v>-0.07381706884461375</v>
      </c>
      <c r="L70" s="108" t="n">
        <v>-0.07410341753592734</v>
      </c>
      <c r="M70" s="111" t="n">
        <v>0</v>
      </c>
      <c r="N70" s="108" t="n">
        <v>-0.07410341753592734</v>
      </c>
      <c r="O70" s="108" t="n">
        <v>-0.02574122652957807</v>
      </c>
      <c r="P70" s="111" t="n">
        <v>0</v>
      </c>
      <c r="Q70" s="108" t="n">
        <v>-0.02574122652957807</v>
      </c>
      <c r="R70" s="108" t="n">
        <v>-0.3832904372308325</v>
      </c>
      <c r="S70" s="111" t="n">
        <v>0</v>
      </c>
      <c r="T70" s="108" t="n">
        <v>-0.3832904372308325</v>
      </c>
      <c r="U70" s="109" t="n">
        <v>-0.2071561788791869</v>
      </c>
      <c r="V70" s="110" t="n">
        <v>0.3497959712617648</v>
      </c>
      <c r="W70" s="109" t="n">
        <v>-0.5569521501409517</v>
      </c>
      <c r="X70" s="108" t="n">
        <v>-0.02713607590418121</v>
      </c>
      <c r="Y70" s="108" t="n">
        <v>1.5</v>
      </c>
      <c r="Z70" s="108" t="inlineStr">
        <is>
          <t>2025 кв.3</t>
        </is>
      </c>
    </row>
    <row r="71">
      <c r="A71" s="256" t="n">
        <v>45931</v>
      </c>
      <c r="B71" s="96" t="n">
        <v>0</v>
      </c>
      <c r="C71" s="108" t="n">
        <v>0.1767365398226488</v>
      </c>
      <c r="D71" s="111" t="n">
        <v>0.1767365398226488</v>
      </c>
      <c r="E71" s="112" t="n">
        <v>0</v>
      </c>
      <c r="F71" s="108" t="n">
        <v>0.09207325304669105</v>
      </c>
      <c r="G71" s="111" t="n">
        <v>0.09207325304669105</v>
      </c>
      <c r="H71" s="112" t="n">
        <v>0</v>
      </c>
      <c r="I71" s="108" t="n">
        <v>0.01617051969191672</v>
      </c>
      <c r="J71" s="111" t="n">
        <v>0.01617051969191672</v>
      </c>
      <c r="K71" s="112" t="n">
        <v>0</v>
      </c>
      <c r="L71" s="108" t="n">
        <v>-0.09669177733998623</v>
      </c>
      <c r="M71" s="111" t="n">
        <v>0</v>
      </c>
      <c r="N71" s="112" t="n">
        <v>-0.09669177733998623</v>
      </c>
      <c r="O71" s="108" t="n">
        <v>-0.1016801713406687</v>
      </c>
      <c r="P71" s="111" t="n">
        <v>0</v>
      </c>
      <c r="Q71" s="112" t="n">
        <v>-0.1016801713406687</v>
      </c>
      <c r="R71" s="108" t="n">
        <v>-0.4200794296718008</v>
      </c>
      <c r="S71" s="111" t="n">
        <v>0</v>
      </c>
      <c r="T71" s="112" t="n">
        <v>-0.4200794296718008</v>
      </c>
      <c r="U71" s="109" t="n">
        <v>-0.3334710657911992</v>
      </c>
      <c r="V71" s="110" t="n">
        <v>0.2849803125612566</v>
      </c>
      <c r="W71" s="109" t="n">
        <v>-0.6184513783524558</v>
      </c>
      <c r="X71" s="108" t="n">
        <v>-0.005168000273314988</v>
      </c>
      <c r="Y71" s="108" t="n">
        <v>1.5</v>
      </c>
      <c r="Z71" s="108" t="inlineStr">
        <is>
          <t>2025 кв.4</t>
        </is>
      </c>
    </row>
    <row r="72">
      <c r="A72" s="256" t="n">
        <v>46023</v>
      </c>
      <c r="B72" s="96" t="n">
        <v>0</v>
      </c>
      <c r="C72" s="108" t="n">
        <v>0.22358699738023</v>
      </c>
      <c r="D72" s="111" t="n">
        <v>0.22358699738023</v>
      </c>
      <c r="E72" s="112" t="n">
        <v>0</v>
      </c>
      <c r="F72" s="108" t="n">
        <v>0.0498485393494425</v>
      </c>
      <c r="G72" s="111" t="n">
        <v>0.0498485393494425</v>
      </c>
      <c r="H72" s="112" t="n">
        <v>0</v>
      </c>
      <c r="I72" s="108" t="n">
        <v>0.006673091550691426</v>
      </c>
      <c r="J72" s="111" t="n">
        <v>0.006673091550691426</v>
      </c>
      <c r="K72" s="112" t="n">
        <v>0</v>
      </c>
      <c r="L72" s="108" t="n">
        <v>-0.09169761942493757</v>
      </c>
      <c r="M72" s="111" t="n">
        <v>0</v>
      </c>
      <c r="N72" s="112" t="n">
        <v>-0.09169761942493757</v>
      </c>
      <c r="O72" s="108" t="n">
        <v>-0.1430675790835384</v>
      </c>
      <c r="P72" s="111" t="n">
        <v>0</v>
      </c>
      <c r="Q72" s="112" t="n">
        <v>-0.1430675790835384</v>
      </c>
      <c r="R72" s="108" t="n">
        <v>-0.4213067589043654</v>
      </c>
      <c r="S72" s="111" t="n">
        <v>0</v>
      </c>
      <c r="T72" s="112" t="n">
        <v>-0.4213067589043654</v>
      </c>
      <c r="U72" s="109" t="n">
        <v>-0.3759633291324774</v>
      </c>
      <c r="V72" s="110" t="n">
        <v>0.2801086282803639</v>
      </c>
      <c r="W72" s="109" t="n">
        <v>-0.6560719574128413</v>
      </c>
      <c r="X72" s="108" t="n">
        <v>0.1688622792847525</v>
      </c>
      <c r="Y72" s="108" t="n">
        <v>1.5</v>
      </c>
      <c r="Z72" s="108" t="inlineStr">
        <is>
          <t>2026 кв.1</t>
        </is>
      </c>
    </row>
    <row r="73">
      <c r="A73" s="256" t="n">
        <v>46113</v>
      </c>
      <c r="B73" s="96" t="n">
        <v>0</v>
      </c>
      <c r="C73" s="108" t="n">
        <v>0.2078056707228425</v>
      </c>
      <c r="D73" s="111" t="n">
        <v>0.2078056707228425</v>
      </c>
      <c r="E73" s="112" t="n">
        <v>0</v>
      </c>
      <c r="F73" s="108" t="n">
        <v>0.0165048452605689</v>
      </c>
      <c r="G73" s="111" t="n">
        <v>0.0165048452605689</v>
      </c>
      <c r="H73" s="112" t="n">
        <v>0</v>
      </c>
      <c r="I73" s="108" t="n">
        <v>-0.0656659144106656</v>
      </c>
      <c r="J73" s="111" t="n">
        <v>0</v>
      </c>
      <c r="K73" s="112" t="n">
        <v>-0.0656659144106656</v>
      </c>
      <c r="L73" s="108" t="n">
        <v>-0.08984992333736457</v>
      </c>
      <c r="M73" s="111" t="n">
        <v>0</v>
      </c>
      <c r="N73" s="112" t="n">
        <v>-0.08984992333736457</v>
      </c>
      <c r="O73" s="108" t="n">
        <v>-0.2038942105091194</v>
      </c>
      <c r="P73" s="111" t="n">
        <v>0</v>
      </c>
      <c r="Q73" s="112" t="n">
        <v>-0.2038942105091194</v>
      </c>
      <c r="R73" s="108" t="n">
        <v>-0.3795747759767767</v>
      </c>
      <c r="S73" s="111" t="n">
        <v>0</v>
      </c>
      <c r="T73" s="112" t="n">
        <v>-0.3795747759767767</v>
      </c>
      <c r="U73" s="109" t="n">
        <v>-0.514674308250515</v>
      </c>
      <c r="V73" s="110" t="n">
        <v>0.2243105159834113</v>
      </c>
      <c r="W73" s="109" t="n">
        <v>-0.7389848242339263</v>
      </c>
      <c r="X73" s="108" t="n">
        <v>-0.2875722699823342</v>
      </c>
      <c r="Y73" s="108" t="n">
        <v>1.5</v>
      </c>
      <c r="Z73" s="108" t="inlineStr">
        <is>
          <t>2026 кв.2</t>
        </is>
      </c>
    </row>
    <row r="74">
      <c r="B74" s="108" t="n"/>
      <c r="C74" s="108" t="n"/>
      <c r="D74" s="111" t="n"/>
      <c r="E74" s="112" t="n"/>
      <c r="F74" s="108" t="n"/>
      <c r="G74" s="111" t="n"/>
      <c r="H74" s="112" t="n"/>
      <c r="I74" s="108" t="n"/>
      <c r="J74" s="111" t="n"/>
      <c r="K74" s="112" t="n"/>
      <c r="L74" s="108" t="n"/>
      <c r="M74" s="111" t="n"/>
      <c r="N74" s="112" t="n"/>
      <c r="O74" s="108" t="n"/>
      <c r="P74" s="111" t="n"/>
      <c r="Q74" s="112" t="n"/>
      <c r="R74" s="108" t="n"/>
      <c r="S74" s="111" t="n"/>
      <c r="T74" s="112" t="n"/>
      <c r="U74" s="109" t="n"/>
      <c r="V74" s="110" t="n"/>
      <c r="W74" s="109" t="n"/>
      <c r="X74" s="108" t="n"/>
      <c r="Y74" s="108" t="n"/>
      <c r="Z74" s="108" t="n"/>
    </row>
    <row r="75">
      <c r="B75" s="108" t="n"/>
      <c r="C75" s="108" t="n"/>
      <c r="D75" s="111" t="n"/>
      <c r="E75" s="112" t="n"/>
      <c r="F75" s="108" t="n"/>
      <c r="G75" s="111" t="n"/>
      <c r="H75" s="112" t="n"/>
      <c r="I75" s="108" t="n"/>
      <c r="J75" s="111" t="n"/>
      <c r="K75" s="112" t="n"/>
      <c r="L75" s="108" t="n"/>
      <c r="M75" s="111" t="n"/>
      <c r="N75" s="112" t="n"/>
      <c r="O75" s="108" t="n"/>
      <c r="P75" s="111" t="n"/>
      <c r="Q75" s="112" t="n"/>
      <c r="R75" s="108" t="n"/>
      <c r="S75" s="111" t="n"/>
      <c r="T75" s="112" t="n"/>
      <c r="U75" s="109" t="n"/>
      <c r="V75" s="110" t="n"/>
      <c r="W75" s="109" t="n"/>
      <c r="X75" s="108" t="n"/>
      <c r="Y75" s="108" t="n"/>
      <c r="Z75" s="108" t="n"/>
    </row>
    <row r="76">
      <c r="B76" s="108" t="n"/>
      <c r="C76" s="108" t="n"/>
      <c r="D76" s="111" t="n"/>
      <c r="E76" s="112" t="n"/>
      <c r="F76" s="108" t="n"/>
      <c r="G76" s="111" t="n"/>
      <c r="H76" s="112" t="n"/>
      <c r="I76" s="108" t="n"/>
      <c r="J76" s="111" t="n"/>
      <c r="K76" s="112" t="n"/>
      <c r="L76" s="108" t="n"/>
      <c r="M76" s="111" t="n"/>
      <c r="N76" s="112" t="n"/>
      <c r="O76" s="108" t="n"/>
      <c r="P76" s="111" t="n"/>
      <c r="Q76" s="112" t="n"/>
      <c r="R76" s="108" t="n"/>
      <c r="S76" s="111" t="n"/>
      <c r="T76" s="112" t="n"/>
      <c r="U76" s="109" t="n"/>
      <c r="V76" s="110" t="n"/>
      <c r="W76" s="109" t="n"/>
      <c r="X76" s="108" t="n"/>
      <c r="Y76" s="108" t="n"/>
      <c r="Z76" s="108" t="n"/>
    </row>
    <row r="77">
      <c r="B77" s="108" t="n"/>
      <c r="C77" s="108" t="n"/>
      <c r="D77" s="111" t="n"/>
      <c r="E77" s="112" t="n"/>
      <c r="F77" s="108" t="n"/>
      <c r="G77" s="111" t="n"/>
      <c r="H77" s="112" t="n"/>
      <c r="I77" s="108" t="n"/>
      <c r="J77" s="111" t="n"/>
      <c r="K77" s="112" t="n"/>
      <c r="L77" s="108" t="n"/>
      <c r="M77" s="111" t="n"/>
      <c r="N77" s="112" t="n"/>
      <c r="O77" s="108" t="n"/>
      <c r="P77" s="111" t="n"/>
      <c r="Q77" s="112" t="n"/>
      <c r="R77" s="108" t="n"/>
      <c r="S77" s="111" t="n"/>
      <c r="T77" s="112" t="n"/>
      <c r="U77" s="109" t="n"/>
      <c r="V77" s="110" t="n"/>
      <c r="W77" s="109" t="n"/>
      <c r="X77" s="108" t="n"/>
      <c r="Y77" s="108" t="n"/>
      <c r="Z77" s="108" t="n"/>
    </row>
    <row r="78">
      <c r="B78" s="108" t="n"/>
      <c r="C78" s="108" t="n"/>
      <c r="D78" s="111" t="n"/>
      <c r="E78" s="112" t="n"/>
      <c r="F78" s="108" t="n"/>
      <c r="G78" s="111" t="n"/>
      <c r="H78" s="112" t="n"/>
      <c r="I78" s="108" t="n"/>
      <c r="J78" s="111" t="n"/>
      <c r="K78" s="112" t="n"/>
      <c r="L78" s="108" t="n"/>
      <c r="M78" s="111" t="n"/>
      <c r="N78" s="112" t="n"/>
      <c r="O78" s="108" t="n"/>
      <c r="P78" s="111" t="n"/>
      <c r="Q78" s="112" t="n"/>
      <c r="R78" s="108" t="n"/>
      <c r="S78" s="111" t="n"/>
      <c r="T78" s="112" t="n"/>
      <c r="U78" s="109" t="n"/>
      <c r="V78" s="110" t="n"/>
      <c r="W78" s="109" t="n"/>
      <c r="X78" s="108" t="n"/>
      <c r="Y78" s="108" t="n"/>
      <c r="Z78" s="108" t="n"/>
    </row>
  </sheetData>
  <mergeCells count="7">
    <mergeCell ref="F1:H2"/>
    <mergeCell ref="I1:K2"/>
    <mergeCell ref="L1:N2"/>
    <mergeCell ref="O1:Q2"/>
    <mergeCell ref="U1:W1"/>
    <mergeCell ref="R1:T2"/>
    <mergeCell ref="C1:E2"/>
  </mergeCells>
  <pageMargins left="0.7086614173228347" right="0.7086614173228347" top="0.7480314960629921" bottom="0.7480314960629921" header="0.3149606299212598" footer="0.3149606299212598"/>
  <pageSetup orientation="landscape" paperSize="9" fitToHeight="4" fitToWidth="4" verticalDpi="120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33"/>
  <sheetViews>
    <sheetView zoomScale="80" zoomScaleNormal="80" workbookViewId="0">
      <selection activeCell="I30" sqref="I30"/>
    </sheetView>
  </sheetViews>
  <sheetFormatPr baseColWidth="8" defaultRowHeight="15"/>
  <cols>
    <col width="45.42578125" customWidth="1" style="214" min="1" max="1"/>
    <col width="8.5703125" bestFit="1" customWidth="1" style="214" min="2" max="3"/>
    <col width="9" bestFit="1" customWidth="1" style="214" min="4" max="4"/>
    <col width="9" customWidth="1" style="214" min="5" max="5"/>
    <col width="12.140625" bestFit="1" customWidth="1" style="214" min="6" max="6"/>
    <col width="9" bestFit="1" customWidth="1" style="214" min="7" max="7"/>
    <col width="1" customWidth="1" style="59" min="8" max="8"/>
    <col width="10.28515625" customWidth="1" style="214" min="13" max="13"/>
  </cols>
  <sheetData>
    <row r="1" customFormat="1" s="59">
      <c r="A1" s="73" t="n"/>
      <c r="B1" s="58" t="n"/>
      <c r="C1" s="58" t="n"/>
      <c r="D1" s="58" t="n"/>
      <c r="E1" s="58" t="n"/>
      <c r="F1" s="58" t="n"/>
      <c r="G1" s="58" t="n"/>
      <c r="I1" s="58" t="n"/>
      <c r="J1" s="58" t="n"/>
      <c r="K1" s="58" t="n"/>
      <c r="L1" s="58" t="n"/>
      <c r="M1" s="58" t="n"/>
      <c r="N1" s="58" t="n"/>
    </row>
    <row r="2" ht="21" customFormat="1" customHeight="1" s="59">
      <c r="A2" s="73" t="n"/>
      <c r="D2" s="58" t="n"/>
      <c r="G2" s="74" t="inlineStr">
        <is>
          <t>Корпоративный сектор</t>
        </is>
      </c>
      <c r="I2" s="58" t="n"/>
      <c r="J2" s="58" t="n"/>
      <c r="K2" s="58" t="n"/>
      <c r="L2" s="58" t="n"/>
      <c r="M2" s="58" t="n"/>
      <c r="N2" s="58" t="n"/>
    </row>
    <row r="3" customFormat="1" s="59">
      <c r="A3" s="73" t="n"/>
      <c r="I3" s="58" t="n"/>
      <c r="J3" s="58" t="n"/>
      <c r="K3" s="58" t="n"/>
      <c r="L3" s="58" t="n"/>
      <c r="M3" s="58" t="n"/>
      <c r="N3" s="58" t="n"/>
    </row>
    <row r="4" customFormat="1" s="59">
      <c r="B4" s="72" t="n"/>
    </row>
    <row r="5" customFormat="1" s="59"/>
    <row r="6" customFormat="1" s="59"/>
    <row r="7" customFormat="1" s="59"/>
    <row r="8" customFormat="1" s="59"/>
    <row r="9" customFormat="1" s="59"/>
    <row r="10" customFormat="1" s="59"/>
    <row r="11" customFormat="1" s="59"/>
    <row r="12" customFormat="1" s="59"/>
    <row r="13" customFormat="1" s="59"/>
    <row r="14" customFormat="1" s="59"/>
    <row r="15" customFormat="1" s="59"/>
    <row r="16" customFormat="1" s="59"/>
    <row r="17" customFormat="1" s="59"/>
    <row r="18" customFormat="1" s="59"/>
    <row r="19" customFormat="1" s="59"/>
    <row r="20" customFormat="1" s="59"/>
    <row r="21" customFormat="1" s="59"/>
    <row r="22" customFormat="1" s="59"/>
    <row r="23" customFormat="1" s="59"/>
    <row r="25">
      <c r="B25" t="inlineStr">
        <is>
          <t>текущий</t>
        </is>
      </c>
      <c r="D25" s="7">
        <f>SUM(B27:G30)</f>
        <v/>
      </c>
      <c r="F25" s="145">
        <f>SUM(B27:G30)-Barometr_1!C73</f>
        <v/>
      </c>
      <c r="I25" t="inlineStr">
        <is>
          <t>предыдущий</t>
        </is>
      </c>
      <c r="K25" s="7">
        <f>SUM(I27:N30)</f>
        <v/>
      </c>
      <c r="M25" s="146">
        <f>K25-Barometr_1!C72</f>
        <v/>
      </c>
    </row>
    <row r="26" ht="57.95" customHeight="1" s="214">
      <c r="A26" s="10" t="n"/>
      <c r="B26" s="113" t="inlineStr">
        <is>
          <t>разрыв</t>
        </is>
      </c>
      <c r="C26" s="113" t="inlineStr">
        <is>
          <t>прирост за год</t>
        </is>
      </c>
      <c r="D26" s="113" t="inlineStr">
        <is>
          <t>прирост за 2 года</t>
        </is>
      </c>
      <c r="E26" s="113" t="inlineStr">
        <is>
          <t>прирост за 3 года</t>
        </is>
      </c>
      <c r="F26" s="113" t="inlineStr">
        <is>
          <t>отклонение от среднего за 2 года</t>
        </is>
      </c>
      <c r="G26" s="113" t="inlineStr">
        <is>
          <t>отклонение от среднего за 3 года</t>
        </is>
      </c>
      <c r="I26" s="113" t="inlineStr">
        <is>
          <t>разрыв</t>
        </is>
      </c>
      <c r="J26" s="113" t="inlineStr">
        <is>
          <t>прирост за год</t>
        </is>
      </c>
      <c r="K26" s="113" t="inlineStr">
        <is>
          <t>прирост за 2 года</t>
        </is>
      </c>
      <c r="L26" s="113" t="inlineStr">
        <is>
          <t>прирост за 3 года</t>
        </is>
      </c>
      <c r="M26" s="113" t="inlineStr">
        <is>
          <t>отклонение от среднего за 2 года</t>
        </is>
      </c>
      <c r="N26" s="113" t="inlineStr">
        <is>
          <t>отклонение от среднего за 3 года</t>
        </is>
      </c>
    </row>
    <row r="27" ht="32.1" customHeight="1" s="214">
      <c r="A27" s="75" t="inlineStr">
        <is>
          <t>Кредитная задолженность перед банками и нерезидентами относительно ВВП</t>
        </is>
      </c>
      <c r="B27" s="71" t="n">
        <v>-0.003859224850098494</v>
      </c>
      <c r="C27" s="71" t="n">
        <v>-0.002122312837080029</v>
      </c>
      <c r="D27" s="71" t="n">
        <v>-0.001768264712212047</v>
      </c>
      <c r="E27" s="71" t="inlineStr"/>
      <c r="F27" s="71" t="n">
        <v>-0.001654242765475749</v>
      </c>
      <c r="G27" s="71" t="n">
        <v>-0.001639805980325117</v>
      </c>
      <c r="I27" s="71" t="n">
        <v>-0.001321174494326175</v>
      </c>
      <c r="J27" s="71" t="n">
        <v>0.0006937033482619242</v>
      </c>
      <c r="K27" s="71" t="n">
        <v>-0.001724169858425633</v>
      </c>
      <c r="L27" s="71" t="inlineStr"/>
      <c r="M27" s="71" t="n">
        <v>0.001248529384882065</v>
      </c>
      <c r="N27" s="71" t="n">
        <v>0.0008237718657976146</v>
      </c>
      <c r="P27" s="7">
        <f>SUM(B27:G27)</f>
        <v/>
      </c>
      <c r="Q27" s="7">
        <f>SUM(I27:N27)</f>
        <v/>
      </c>
    </row>
    <row r="28" ht="25.35" customHeight="1" s="214">
      <c r="A28" s="75" t="inlineStr">
        <is>
          <t>Прирост кредитной задолженности в реальном выражении</t>
        </is>
      </c>
      <c r="B28" s="10" t="inlineStr"/>
      <c r="C28" s="71" t="n">
        <v>-0.01482206462595878</v>
      </c>
      <c r="D28" s="71" t="n">
        <v>-0.005563110756555145</v>
      </c>
      <c r="E28" s="71" t="n">
        <v>0.0008173577166921952</v>
      </c>
      <c r="F28" s="71" t="inlineStr"/>
      <c r="G28" s="71" t="inlineStr"/>
      <c r="I28" s="10" t="inlineStr"/>
      <c r="J28" s="71" t="n">
        <v>-0.008660490636117775</v>
      </c>
      <c r="K28" s="71" t="n">
        <v>-0.002192808528822031</v>
      </c>
      <c r="L28" s="71" t="n">
        <v>0.003992735202676994</v>
      </c>
      <c r="M28" s="71" t="inlineStr"/>
      <c r="N28" s="71" t="inlineStr"/>
      <c r="P28" s="7">
        <f>SUM(B28:G28)</f>
        <v/>
      </c>
      <c r="Q28" s="7">
        <f>SUM(I28:N28)</f>
        <v/>
      </c>
    </row>
    <row r="29" ht="23.45" customHeight="1" s="214">
      <c r="A29" s="76" t="inlineStr">
        <is>
          <t>Коэффициент обслуживания кредитной задолженности относительно ВВП</t>
        </is>
      </c>
      <c r="B29" s="71" t="n">
        <v>0.0518131985402787</v>
      </c>
      <c r="C29" s="71" t="n">
        <v>0.01230424930936642</v>
      </c>
      <c r="D29" s="71" t="n">
        <v>0.005715560298728331</v>
      </c>
      <c r="E29" s="71" t="inlineStr"/>
      <c r="F29" s="71" t="n">
        <v>0.009689651903899787</v>
      </c>
      <c r="G29" s="71" t="n">
        <v>0.004047334188895247</v>
      </c>
      <c r="I29" s="71" t="n">
        <v>0.04818490892077246</v>
      </c>
      <c r="J29" s="71" t="n">
        <v>0.005910168069720552</v>
      </c>
      <c r="K29" s="71" t="n">
        <v>0.0003478712024307134</v>
      </c>
      <c r="L29" s="71" t="inlineStr"/>
      <c r="M29" s="71" t="n">
        <v>0.003411196280931431</v>
      </c>
      <c r="N29" s="71" t="n">
        <v>0.000853022228633549</v>
      </c>
      <c r="P29" s="7">
        <f>SUM(B29:G29)</f>
        <v/>
      </c>
      <c r="Q29" s="7">
        <f>SUM(I29:N29)</f>
        <v/>
      </c>
    </row>
    <row r="30" ht="25.35" customHeight="1" s="214">
      <c r="A30" s="76" t="inlineStr">
        <is>
          <t>Отношение складских запасов в промышленности к среднемесячному объему промышленного производства</t>
        </is>
      </c>
      <c r="B30" s="71" t="n">
        <v>0.04664544029836386</v>
      </c>
      <c r="C30" s="71" t="n">
        <v>0.008549530399997065</v>
      </c>
      <c r="D30" s="71" t="n">
        <v>0.02908823686266435</v>
      </c>
      <c r="E30" s="71" t="inlineStr"/>
      <c r="F30" s="71" t="n">
        <v>0.03308484042252011</v>
      </c>
      <c r="G30" s="71" t="n">
        <v>0.03747929730914178</v>
      </c>
      <c r="I30" s="71" t="n">
        <v>0.0438294803109043</v>
      </c>
      <c r="J30" s="71" t="n">
        <v>0.02992335639998976</v>
      </c>
      <c r="K30" s="71" t="n">
        <v>0.02577333807489635</v>
      </c>
      <c r="L30" s="71" t="inlineStr"/>
      <c r="M30" s="71" t="n">
        <v>0.03575616426046287</v>
      </c>
      <c r="N30" s="71" t="n">
        <v>0.03673739534756102</v>
      </c>
      <c r="P30" s="7">
        <f>SUM(B30:G30)</f>
        <v/>
      </c>
      <c r="Q30" s="7">
        <f>SUM(I30:N30)</f>
        <v/>
      </c>
    </row>
    <row r="32">
      <c r="B32" s="7" t="n"/>
      <c r="C32" s="7" t="n"/>
      <c r="D32" s="7" t="n"/>
      <c r="E32" s="7" t="n"/>
      <c r="F32" s="7" t="n"/>
      <c r="G32" s="7" t="n"/>
      <c r="I32" s="7" t="n"/>
      <c r="J32" s="7" t="n"/>
      <c r="K32" s="7" t="n"/>
      <c r="L32" s="7" t="n"/>
      <c r="M32" s="7" t="n"/>
      <c r="N32" s="7" t="n"/>
      <c r="P32" s="7">
        <f>MIN(P27:Q30)</f>
        <v/>
      </c>
      <c r="Q32" s="7">
        <f>MAX(P27:Q30)</f>
        <v/>
      </c>
    </row>
    <row r="33">
      <c r="P33" t="inlineStr">
        <is>
          <t>min</t>
        </is>
      </c>
      <c r="Q33" t="inlineStr">
        <is>
          <t>max</t>
        </is>
      </c>
    </row>
  </sheetData>
  <pageMargins left="0.7" right="0.7" top="0.75" bottom="0.75" header="0.3" footer="0.3"/>
  <pageSetup orientation="portrait" paperSize="9" fitToHeight="5" fitToWidth="5" horizontalDpi="1200" verticalDpi="1200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Q33"/>
  <sheetViews>
    <sheetView zoomScale="90" zoomScaleNormal="90" workbookViewId="0">
      <selection activeCell="L34" sqref="L34"/>
    </sheetView>
  </sheetViews>
  <sheetFormatPr baseColWidth="8" defaultRowHeight="15"/>
  <cols>
    <col width="39.28515625" customWidth="1" style="214" min="1" max="1"/>
    <col width="8.5703125" bestFit="1" customWidth="1" style="214" min="2" max="3"/>
    <col width="9" bestFit="1" customWidth="1" style="214" min="4" max="4"/>
    <col width="9" customWidth="1" style="214" min="5" max="5"/>
    <col width="9.85546875" bestFit="1" customWidth="1" style="214" min="6" max="6"/>
    <col width="9" bestFit="1" customWidth="1" style="214" min="7" max="7"/>
    <col width="1" customWidth="1" style="214" min="8" max="8"/>
    <col width="9.85546875" bestFit="1" customWidth="1" style="214" min="13" max="13"/>
  </cols>
  <sheetData>
    <row r="1" customFormat="1" s="59">
      <c r="A1" s="73" t="n"/>
      <c r="B1" s="58" t="n"/>
      <c r="C1" s="58" t="n"/>
      <c r="D1" s="58" t="n"/>
      <c r="E1" s="58" t="n"/>
      <c r="F1" s="58" t="n"/>
      <c r="G1" s="58" t="n"/>
      <c r="I1" s="58" t="n"/>
      <c r="J1" s="58" t="n"/>
      <c r="K1" s="58" t="n"/>
      <c r="L1" s="58" t="n"/>
      <c r="M1" s="58" t="n"/>
      <c r="N1" s="58" t="n"/>
    </row>
    <row r="2" ht="21" customFormat="1" customHeight="1" s="59">
      <c r="A2" s="73" t="n"/>
      <c r="D2" s="58" t="n"/>
      <c r="G2" s="74" t="inlineStr">
        <is>
          <t>Cектор домохозяйств</t>
        </is>
      </c>
      <c r="I2" s="58" t="n"/>
      <c r="J2" s="58" t="n"/>
      <c r="K2" s="58" t="n"/>
      <c r="L2" s="58" t="n"/>
      <c r="M2" s="58" t="n"/>
      <c r="N2" s="58" t="n"/>
    </row>
    <row r="3" customFormat="1" s="59">
      <c r="A3" s="73" t="n"/>
      <c r="I3" s="58" t="n"/>
      <c r="J3" s="58" t="n"/>
      <c r="K3" s="58" t="n"/>
      <c r="L3" s="58" t="n"/>
      <c r="M3" s="58" t="n"/>
      <c r="N3" s="58" t="n"/>
    </row>
    <row r="4" customFormat="1" s="59">
      <c r="B4" s="72" t="n"/>
    </row>
    <row r="5" customFormat="1" s="59"/>
    <row r="6" customFormat="1" s="59"/>
    <row r="7" customFormat="1" s="59"/>
    <row r="8" customFormat="1" s="59"/>
    <row r="9" customFormat="1" s="59"/>
    <row r="10" customFormat="1" s="59"/>
    <row r="11" customFormat="1" s="59"/>
    <row r="12" customFormat="1" s="59"/>
    <row r="13" customFormat="1" s="59"/>
    <row r="14" customFormat="1" s="59"/>
    <row r="15" customFormat="1" s="59"/>
    <row r="16" customFormat="1" s="59"/>
    <row r="17" customFormat="1" s="59"/>
    <row r="18" customFormat="1" s="59"/>
    <row r="19" customFormat="1" s="59"/>
    <row r="20" customFormat="1" s="59"/>
    <row r="21" customFormat="1" s="59"/>
    <row r="22" customFormat="1" s="59"/>
    <row r="23" customFormat="1" s="59"/>
    <row r="25">
      <c r="B25" t="inlineStr">
        <is>
          <t>текущий</t>
        </is>
      </c>
      <c r="D25" s="7">
        <f>SUM(B27:G29)</f>
        <v/>
      </c>
      <c r="F25" s="147">
        <f>D25-Barometr_1!F73</f>
        <v/>
      </c>
      <c r="H25" s="70" t="n"/>
      <c r="I25" t="inlineStr">
        <is>
          <t>предыдущий</t>
        </is>
      </c>
      <c r="K25" s="7">
        <f>SUM(I27:N29)</f>
        <v/>
      </c>
      <c r="M25" s="147">
        <f>K25-Barometr_1!F72</f>
        <v/>
      </c>
    </row>
    <row r="26" ht="57.95" customHeight="1" s="214">
      <c r="A26" s="10" t="n"/>
      <c r="B26" s="113" t="inlineStr">
        <is>
          <t>разрыв</t>
        </is>
      </c>
      <c r="C26" s="113" t="inlineStr">
        <is>
          <t>прирост за год</t>
        </is>
      </c>
      <c r="D26" s="113" t="inlineStr">
        <is>
          <t>прирост за 2 года</t>
        </is>
      </c>
      <c r="E26" s="113" t="inlineStr">
        <is>
          <t>прирост за 3 года</t>
        </is>
      </c>
      <c r="F26" s="113" t="inlineStr">
        <is>
          <t>отклонение от среднего за 2 года</t>
        </is>
      </c>
      <c r="G26" s="113" t="inlineStr">
        <is>
          <t>отклонение от среднего за 3 года</t>
        </is>
      </c>
      <c r="H26" s="70" t="n"/>
      <c r="I26" s="113" t="inlineStr">
        <is>
          <t>разрыв</t>
        </is>
      </c>
      <c r="J26" s="113" t="inlineStr">
        <is>
          <t>прирост за год</t>
        </is>
      </c>
      <c r="K26" s="113" t="inlineStr">
        <is>
          <t>прирост за 2 года</t>
        </is>
      </c>
      <c r="L26" s="113" t="inlineStr">
        <is>
          <t>прирост за 3 года</t>
        </is>
      </c>
      <c r="M26" s="113" t="inlineStr">
        <is>
          <t>отклонение от среднего за 2 года</t>
        </is>
      </c>
      <c r="N26" s="113" t="inlineStr">
        <is>
          <t>отклонение от среднего за 3 года</t>
        </is>
      </c>
    </row>
    <row r="27" ht="46.35" customHeight="1" s="214">
      <c r="A27" s="75" t="inlineStr">
        <is>
          <t>Кредитная задолженность перед банками относительно ВВП</t>
        </is>
      </c>
      <c r="B27" s="71" t="n">
        <v>0.007292088283716205</v>
      </c>
      <c r="C27" s="71" t="n">
        <v>-0.006650791531248769</v>
      </c>
      <c r="D27" s="71" t="n">
        <v>0.004316421859235422</v>
      </c>
      <c r="E27" t="inlineStr"/>
      <c r="F27" s="71" t="n">
        <v>0.001124788985602246</v>
      </c>
      <c r="G27" s="71" t="n">
        <v>0.004415037071922097</v>
      </c>
      <c r="H27" s="70" t="n"/>
      <c r="I27" s="71" t="n">
        <v>0.009046444097862439</v>
      </c>
      <c r="J27" s="71" t="n">
        <v>-0.001856539376551252</v>
      </c>
      <c r="K27" s="71" t="n">
        <v>0.005612691333282821</v>
      </c>
      <c r="L27" t="inlineStr"/>
      <c r="M27" s="71" t="n">
        <v>0.006014405280926012</v>
      </c>
      <c r="N27" s="71" t="n">
        <v>0.007071617608446367</v>
      </c>
      <c r="P27" s="7">
        <f>SUM(B27:G27)</f>
        <v/>
      </c>
      <c r="Q27" s="7">
        <f>SUM(I27:N27)</f>
        <v/>
      </c>
    </row>
    <row r="28" ht="46.35" customHeight="1" s="214">
      <c r="A28" s="75" t="inlineStr">
        <is>
          <t>Прирост кредитной задолженности в реальном выражении</t>
        </is>
      </c>
      <c r="B28" s="10" t="inlineStr"/>
      <c r="C28" s="71" t="n">
        <v>0.007007153707528599</v>
      </c>
      <c r="D28" s="71" t="n">
        <v>0.02283861707591294</v>
      </c>
      <c r="E28" s="71" t="n">
        <v>0.03379709287431605</v>
      </c>
      <c r="F28" s="71" t="inlineStr"/>
      <c r="G28" s="71" t="inlineStr"/>
      <c r="H28" s="70" t="n"/>
      <c r="I28" s="10" t="inlineStr"/>
      <c r="J28" s="71" t="n">
        <v>0.001830081711005584</v>
      </c>
      <c r="K28" s="71" t="n">
        <v>0.02751114810766275</v>
      </c>
      <c r="L28" s="71" t="n">
        <v>0.03491976587123386</v>
      </c>
      <c r="M28" s="71" t="inlineStr"/>
      <c r="N28" s="71" t="inlineStr"/>
      <c r="P28" s="7">
        <f>SUM(B28:G28)</f>
        <v/>
      </c>
      <c r="Q28" s="7">
        <f>SUM(I28:N28)</f>
        <v/>
      </c>
    </row>
    <row r="29" ht="46.35" customHeight="1" s="214">
      <c r="A29" s="76" t="inlineStr">
        <is>
          <t>Коэффициент обслуживания кредитной задолженности относительно ВВП</t>
        </is>
      </c>
      <c r="B29" s="71" t="n">
        <v>-0.05269934774161941</v>
      </c>
      <c r="C29" s="71" t="n">
        <v>-0.009485920736941844</v>
      </c>
      <c r="D29" s="71" t="n">
        <v>0.003963847205721759</v>
      </c>
      <c r="E29" s="71" t="inlineStr"/>
      <c r="F29" s="71" t="n">
        <v>-0.0001771446760067642</v>
      </c>
      <c r="G29" s="71" t="n">
        <v>0.0007630028824303537</v>
      </c>
      <c r="H29" s="70" t="n"/>
      <c r="I29" s="71" t="n">
        <v>-0.05269934774161941</v>
      </c>
      <c r="J29" s="71" t="n">
        <v>0.002492097710320352</v>
      </c>
      <c r="K29" s="71" t="n">
        <v>0.004110402303542794</v>
      </c>
      <c r="L29" s="71" t="inlineStr"/>
      <c r="M29" s="71" t="n">
        <v>0.002981390063710941</v>
      </c>
      <c r="N29" s="71" t="n">
        <v>0.002814382379619237</v>
      </c>
      <c r="P29" s="7">
        <f>SUM(B29:G29)</f>
        <v/>
      </c>
      <c r="Q29" s="7">
        <f>SUM(I29:N29)</f>
        <v/>
      </c>
    </row>
    <row r="30">
      <c r="P30" s="7" t="n"/>
      <c r="Q30" s="7" t="n"/>
    </row>
    <row r="31">
      <c r="B31" s="7" t="n"/>
      <c r="C31" s="7" t="n"/>
      <c r="D31" s="7" t="n"/>
      <c r="E31" s="7" t="n"/>
      <c r="F31" s="7" t="n"/>
      <c r="G31" s="7" t="n"/>
      <c r="I31" s="7" t="n"/>
      <c r="J31" s="7" t="n"/>
      <c r="K31" s="7" t="n"/>
      <c r="L31" s="7" t="n"/>
      <c r="M31" s="7" t="n"/>
      <c r="N31" s="7" t="n"/>
    </row>
    <row r="32">
      <c r="P32" s="7">
        <f>MIN(P27:Q30)</f>
        <v/>
      </c>
      <c r="Q32" s="7">
        <f>MAX(P27:Q30)</f>
        <v/>
      </c>
    </row>
    <row r="33">
      <c r="P33" t="inlineStr">
        <is>
          <t>min</t>
        </is>
      </c>
      <c r="Q33" t="inlineStr">
        <is>
          <t>max</t>
        </is>
      </c>
    </row>
  </sheetData>
  <pageMargins left="0.7" right="0.7" top="0.75" bottom="0.75" header="0.3" footer="0.3"/>
  <pageSetup orientation="portrait" paperSize="9" fitToHeight="5" fitToWidth="5" horizontalDpi="1200" verticalDpi="1200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O33"/>
  <sheetViews>
    <sheetView tabSelected="1" topLeftCell="A16" zoomScale="130" zoomScaleNormal="130" workbookViewId="0">
      <selection activeCell="A32" sqref="A32"/>
    </sheetView>
  </sheetViews>
  <sheetFormatPr baseColWidth="8" defaultRowHeight="15"/>
  <cols>
    <col width="54.28515625" customWidth="1" style="214" min="1" max="1"/>
    <col width="11.28515625" customWidth="1" style="214" min="2" max="2"/>
    <col width="8.5703125" bestFit="1" customWidth="1" style="214" min="3" max="3"/>
    <col width="11.140625" customWidth="1" style="214" min="4" max="5"/>
    <col width="10.5703125" customWidth="1" style="214" min="6" max="6"/>
    <col width="1" customWidth="1" style="214" min="7" max="7"/>
    <col width="9.85546875" bestFit="1" customWidth="1" style="214" min="11" max="11"/>
  </cols>
  <sheetData>
    <row r="1" customFormat="1" s="59">
      <c r="A1" s="73" t="n"/>
      <c r="B1" s="58" t="n"/>
      <c r="C1" s="58" t="n"/>
      <c r="D1" s="58" t="n"/>
      <c r="E1" s="58" t="n"/>
      <c r="F1" s="58" t="n"/>
      <c r="H1" s="58" t="n"/>
      <c r="I1" s="58" t="n"/>
      <c r="J1" s="58" t="n"/>
      <c r="K1" s="58" t="n"/>
      <c r="L1" s="58" t="n"/>
    </row>
    <row r="2" ht="21" customFormat="1" customHeight="1" s="59">
      <c r="A2" s="73" t="n"/>
      <c r="D2" s="58" t="n"/>
      <c r="F2" s="74" t="inlineStr">
        <is>
          <t>Cегмент госуправления</t>
        </is>
      </c>
      <c r="H2" s="58" t="n"/>
      <c r="I2" s="58" t="n"/>
      <c r="J2" s="58" t="n"/>
      <c r="K2" s="58" t="n"/>
      <c r="L2" s="58" t="n"/>
    </row>
    <row r="3" customFormat="1" s="59">
      <c r="A3" s="73" t="n"/>
      <c r="H3" s="58" t="n"/>
      <c r="I3" s="58" t="n"/>
      <c r="J3" s="58" t="n"/>
      <c r="K3" s="58" t="n"/>
      <c r="L3" s="58" t="n"/>
    </row>
    <row r="4" customFormat="1" s="59">
      <c r="B4" s="72" t="n"/>
    </row>
    <row r="5" customFormat="1" s="59"/>
    <row r="6" customFormat="1" s="59"/>
    <row r="7" customFormat="1" s="59"/>
    <row r="8" customFormat="1" s="59"/>
    <row r="9" customFormat="1" s="59"/>
    <row r="10" customFormat="1" s="59"/>
    <row r="11" customFormat="1" s="59"/>
    <row r="12" customFormat="1" s="59"/>
    <row r="13" customFormat="1" s="59"/>
    <row r="14" customFormat="1" s="59"/>
    <row r="15" customFormat="1" s="59"/>
    <row r="16" customFormat="1" s="59"/>
    <row r="17" customFormat="1" s="59"/>
    <row r="18" customFormat="1" s="59"/>
    <row r="19" customFormat="1" s="59"/>
    <row r="20" customFormat="1" s="59"/>
    <row r="21" customFormat="1" s="59"/>
    <row r="22" customFormat="1" s="59"/>
    <row r="23" customFormat="1" s="59"/>
    <row r="25">
      <c r="B25" t="inlineStr">
        <is>
          <t>текущий</t>
        </is>
      </c>
      <c r="D25" s="7">
        <f>SUM(B27:F29)</f>
        <v/>
      </c>
      <c r="E25" s="147">
        <f>D25-Barometr_1!I73</f>
        <v/>
      </c>
      <c r="G25" s="70" t="n"/>
      <c r="H25" t="inlineStr">
        <is>
          <t>предыдущий</t>
        </is>
      </c>
      <c r="J25" s="7">
        <f>SUM(H27:L29)</f>
        <v/>
      </c>
      <c r="K25" s="147">
        <f>J25-Barometr_1!I72</f>
        <v/>
      </c>
    </row>
    <row r="26" ht="72.59999999999999" customHeight="1" s="214">
      <c r="A26" s="10" t="n"/>
      <c r="B26" s="113" t="inlineStr">
        <is>
          <t>разрыв</t>
        </is>
      </c>
      <c r="C26" s="113" t="inlineStr">
        <is>
          <t>прирост за год</t>
        </is>
      </c>
      <c r="D26" s="113" t="inlineStr">
        <is>
          <t>прирост за 2 года</t>
        </is>
      </c>
      <c r="E26" s="113" t="inlineStr">
        <is>
          <t>отклонение от среднего за 2 года</t>
        </is>
      </c>
      <c r="F26" s="113" t="inlineStr">
        <is>
          <t>отклонение от среднего за 3 года</t>
        </is>
      </c>
      <c r="G26" s="70" t="n"/>
      <c r="H26" s="113" t="inlineStr">
        <is>
          <t>разрыв</t>
        </is>
      </c>
      <c r="I26" s="113" t="inlineStr">
        <is>
          <t>прирост за год</t>
        </is>
      </c>
      <c r="J26" s="113" t="inlineStr">
        <is>
          <t>прирост за 2 года</t>
        </is>
      </c>
      <c r="K26" s="113" t="inlineStr">
        <is>
          <t>отклонение от среднего за 2 года</t>
        </is>
      </c>
      <c r="L26" s="113" t="inlineStr">
        <is>
          <t>отклонение от среднего за 3 года</t>
        </is>
      </c>
    </row>
    <row r="27" ht="32.45" customHeight="1" s="214">
      <c r="A27" s="75" t="inlineStr">
        <is>
          <t>Валовой государственный долг относительно ВВП</t>
        </is>
      </c>
      <c r="B27" s="71" t="n">
        <v>-0.02025216415863446</v>
      </c>
      <c r="C27" s="71" t="n">
        <v>-0.02123186691150745</v>
      </c>
      <c r="D27" s="71" t="n">
        <v>-0.02937065337238183</v>
      </c>
      <c r="E27" s="71" t="n">
        <v>-0.02745023984383925</v>
      </c>
      <c r="F27" s="71" t="n">
        <v>-0.03640423236159054</v>
      </c>
      <c r="G27" s="70" t="n"/>
      <c r="H27" s="71" t="n">
        <v>-0.01303571534985759</v>
      </c>
      <c r="I27" s="71" t="n">
        <v>-0.01476906734209159</v>
      </c>
      <c r="J27" s="71" t="n">
        <v>-0.02309224486655994</v>
      </c>
      <c r="K27" s="71" t="n">
        <v>-0.01906227442618511</v>
      </c>
      <c r="L27" s="71" t="n">
        <v>-0.02537395286361034</v>
      </c>
      <c r="N27" s="7">
        <f>SUM(B27:F27)</f>
        <v/>
      </c>
      <c r="O27" s="7">
        <f>SUM(H27:L27)</f>
        <v/>
      </c>
    </row>
    <row r="28" ht="24" customHeight="1" s="214">
      <c r="A28" s="75" t="inlineStr">
        <is>
          <t>Сальдо консолидированного бюджета относительно ВВП</t>
        </is>
      </c>
      <c r="B28" s="71" t="n">
        <v>-0.04611875726974856</v>
      </c>
      <c r="C28" s="71" t="n">
        <v>-0.00354944871854521</v>
      </c>
      <c r="D28" s="71" t="n">
        <v>-0.0196367821344996</v>
      </c>
      <c r="E28" s="71" t="n">
        <v>-0.02025679410846241</v>
      </c>
      <c r="F28" s="71" t="n">
        <v>-0.01845840690794118</v>
      </c>
      <c r="G28" s="70" t="n"/>
      <c r="H28" s="71" t="n">
        <v>-0.01641074137636949</v>
      </c>
      <c r="I28" s="71" t="n">
        <v>0.01978561667887817</v>
      </c>
      <c r="J28" s="71" t="n">
        <v>0.03489089320035513</v>
      </c>
      <c r="K28" s="71" t="n">
        <v>0.02469345634382389</v>
      </c>
      <c r="L28" s="71" t="n">
        <v>0.01712384094919165</v>
      </c>
      <c r="N28" s="7">
        <f>SUM(B28:F28)</f>
        <v/>
      </c>
      <c r="O28" s="7">
        <f>SUM(H28:L28)</f>
        <v/>
      </c>
    </row>
    <row r="29" ht="27" customHeight="1" s="214">
      <c r="A29" s="76" t="inlineStr">
        <is>
          <t>Коэффициент обслуживания государственного внешнего долга относительно ВВП</t>
        </is>
      </c>
      <c r="B29" s="71" t="n">
        <v>0.02944382331473186</v>
      </c>
      <c r="C29" s="71" t="n">
        <v>0.04857465789736388</v>
      </c>
      <c r="D29" s="71" t="n">
        <v>0.03082049260216741</v>
      </c>
      <c r="E29" s="71" t="n">
        <v>0.04213414946790033</v>
      </c>
      <c r="F29" s="71" t="n">
        <v>0.0260903080943214</v>
      </c>
      <c r="G29" s="70" t="n"/>
      <c r="H29" s="71" t="n">
        <v>-0.007762107554767794</v>
      </c>
      <c r="I29" s="71" t="n">
        <v>0.01679062870535343</v>
      </c>
      <c r="J29" s="71" t="n">
        <v>0.002020774610205565</v>
      </c>
      <c r="K29" s="71" t="n">
        <v>0.006422601718553306</v>
      </c>
      <c r="L29" s="71" t="n">
        <v>0.00445138312377216</v>
      </c>
      <c r="N29" s="7">
        <f>SUM(B29:F29)</f>
        <v/>
      </c>
      <c r="O29" s="7">
        <f>SUM(H29:L29)</f>
        <v/>
      </c>
    </row>
    <row r="30">
      <c r="N30" s="7" t="n"/>
      <c r="O30" s="7" t="n"/>
    </row>
    <row r="31">
      <c r="B31" s="7" t="n"/>
      <c r="C31" s="7" t="n"/>
      <c r="D31" s="7" t="n"/>
      <c r="E31" s="7" t="n"/>
      <c r="F31" s="7" t="n"/>
      <c r="H31" s="7" t="n"/>
      <c r="I31" s="7" t="n"/>
      <c r="J31" s="7" t="n"/>
      <c r="K31" s="7" t="n"/>
      <c r="L31" s="7" t="n"/>
    </row>
    <row r="32">
      <c r="A32" s="76" t="n"/>
      <c r="N32" s="7">
        <f>MIN(N27:O30)</f>
        <v/>
      </c>
      <c r="O32" s="7">
        <f>MAX(N27:O30)</f>
        <v/>
      </c>
    </row>
    <row r="33">
      <c r="N33" t="inlineStr">
        <is>
          <t>min</t>
        </is>
      </c>
      <c r="O33" t="inlineStr">
        <is>
          <t>max</t>
        </is>
      </c>
    </row>
  </sheetData>
  <pageMargins left="0.7" right="0.7" top="0.75" bottom="0.75" header="0.3" footer="0.3"/>
  <pageSetup orientation="portrait" paperSize="9" fitToHeight="5" fitToWidth="5" horizontalDpi="1200" verticalDpi="1200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O33"/>
  <sheetViews>
    <sheetView topLeftCell="A3" zoomScale="80" zoomScaleNormal="80" workbookViewId="0">
      <selection activeCell="K39" sqref="K39"/>
    </sheetView>
  </sheetViews>
  <sheetFormatPr baseColWidth="8" defaultRowHeight="15"/>
  <cols>
    <col width="33.5703125" customWidth="1" style="214" min="1" max="1"/>
    <col width="9.85546875" customWidth="1" style="214" min="2" max="2"/>
    <col width="9.5703125" customWidth="1" style="214" min="3" max="3"/>
    <col width="9" bestFit="1" customWidth="1" style="214" min="4" max="4"/>
    <col width="9.85546875" bestFit="1" customWidth="1" style="214" min="5" max="5"/>
    <col width="9" bestFit="1" customWidth="1" style="214" min="6" max="6"/>
    <col width="1" customWidth="1" style="59" min="7" max="7"/>
    <col width="9.85546875" bestFit="1" customWidth="1" style="214" min="11" max="11"/>
  </cols>
  <sheetData>
    <row r="1" customFormat="1" s="59">
      <c r="A1" s="73" t="n"/>
      <c r="B1" s="58" t="n"/>
      <c r="C1" s="58" t="n"/>
      <c r="D1" s="58" t="n"/>
      <c r="E1" s="58" t="n"/>
      <c r="F1" s="58" t="n"/>
      <c r="H1" s="58" t="n"/>
      <c r="I1" s="58" t="n"/>
      <c r="J1" s="58" t="n"/>
      <c r="K1" s="58" t="n"/>
      <c r="L1" s="58" t="n"/>
    </row>
    <row r="2" ht="21" customFormat="1" customHeight="1" s="59">
      <c r="A2" s="73" t="n"/>
      <c r="D2" s="58" t="n"/>
      <c r="F2" s="74" t="inlineStr">
        <is>
          <t>Банковский сектор</t>
        </is>
      </c>
      <c r="H2" s="58" t="n"/>
      <c r="I2" s="58" t="n"/>
      <c r="J2" s="58" t="n"/>
      <c r="K2" s="58" t="n"/>
      <c r="L2" s="58" t="n"/>
    </row>
    <row r="3" customFormat="1" s="59">
      <c r="A3" s="73" t="n"/>
      <c r="H3" s="58" t="n"/>
      <c r="I3" s="58" t="n"/>
      <c r="J3" s="58" t="n"/>
      <c r="K3" s="58" t="n"/>
      <c r="L3" s="58" t="n"/>
    </row>
    <row r="4" customFormat="1" s="59">
      <c r="B4" s="72" t="n"/>
    </row>
    <row r="5" customFormat="1" s="59"/>
    <row r="6" customFormat="1" s="59"/>
    <row r="7" customFormat="1" s="59"/>
    <row r="8" customFormat="1" s="59"/>
    <row r="9" customFormat="1" s="59"/>
    <row r="10" customFormat="1" s="59"/>
    <row r="11" customFormat="1" s="59"/>
    <row r="12" customFormat="1" s="59"/>
    <row r="13" customFormat="1" s="59"/>
    <row r="14" customFormat="1" s="59"/>
    <row r="15" customFormat="1" s="59"/>
    <row r="16" customFormat="1" s="59"/>
    <row r="17" customFormat="1" s="59"/>
    <row r="18" customFormat="1" s="59"/>
    <row r="19" customFormat="1" s="59"/>
    <row r="20" customFormat="1" s="59"/>
    <row r="21" customFormat="1" s="59"/>
    <row r="22" customFormat="1" s="59"/>
    <row r="23" customFormat="1" s="59"/>
    <row r="25">
      <c r="B25" t="inlineStr">
        <is>
          <t>текущий</t>
        </is>
      </c>
      <c r="D25" s="7">
        <f>SUM(B27:F29)</f>
        <v/>
      </c>
      <c r="E25" s="147">
        <f>SUM(B27:F29)-Barometr_1!L73</f>
        <v/>
      </c>
      <c r="H25" t="inlineStr">
        <is>
          <t>предыдущий</t>
        </is>
      </c>
      <c r="J25" s="7">
        <f>SUM(H27:L29)</f>
        <v/>
      </c>
      <c r="K25" s="147">
        <f>J25-Barometr_1!L72</f>
        <v/>
      </c>
    </row>
    <row r="26" ht="57.95" customHeight="1" s="214">
      <c r="A26" s="10" t="n"/>
      <c r="B26" s="113" t="inlineStr">
        <is>
          <t>разрыв</t>
        </is>
      </c>
      <c r="C26" s="113" t="inlineStr">
        <is>
          <t>прирост за год</t>
        </is>
      </c>
      <c r="D26" s="113" t="inlineStr">
        <is>
          <t>прирост за 2 года</t>
        </is>
      </c>
      <c r="E26" s="113" t="inlineStr">
        <is>
          <t>отклонение от среднего за 2 года</t>
        </is>
      </c>
      <c r="F26" s="113" t="inlineStr">
        <is>
          <t>отклонение от среднего за 3 года</t>
        </is>
      </c>
      <c r="H26" s="113" t="inlineStr">
        <is>
          <t>разрыв</t>
        </is>
      </c>
      <c r="I26" s="113" t="inlineStr">
        <is>
          <t>прирост за год</t>
        </is>
      </c>
      <c r="J26" s="113" t="inlineStr">
        <is>
          <t>прирост за 2 года</t>
        </is>
      </c>
      <c r="K26" s="113" t="inlineStr">
        <is>
          <t>отклонение от среднего за 2 года</t>
        </is>
      </c>
      <c r="L26" s="113" t="inlineStr">
        <is>
          <t>отклонение от среднего за 3 года</t>
        </is>
      </c>
    </row>
    <row r="27" ht="29.45" customHeight="1" s="214">
      <c r="A27" s="75" t="inlineStr">
        <is>
          <t>Требования банков к экономике относительно ВВП</t>
        </is>
      </c>
      <c r="B27" s="71" t="n">
        <v>-0.002463325437166016</v>
      </c>
      <c r="C27" s="71" t="n">
        <v>-0.006637248029895808</v>
      </c>
      <c r="D27" s="71" t="n">
        <v>-0.001676342812392993</v>
      </c>
      <c r="E27" s="71" t="n">
        <v>-0.003012722558931776</v>
      </c>
      <c r="F27" s="71" t="n">
        <v>-0.001260787175799935</v>
      </c>
      <c r="H27" s="71" t="n">
        <v>0.001446463346293841</v>
      </c>
      <c r="I27" s="71" t="n">
        <v>-0.004226529569719134</v>
      </c>
      <c r="J27" s="71" t="n">
        <v>-0.0002571599172523499</v>
      </c>
      <c r="K27" s="71" t="n">
        <v>-8.453388990071116e-05</v>
      </c>
      <c r="L27" s="71" t="n">
        <v>0.00162783421338153</v>
      </c>
      <c r="N27" s="7">
        <f>SUM(B27:F27)</f>
        <v/>
      </c>
      <c r="O27" s="7">
        <f>SUM(H27:L27)</f>
        <v/>
      </c>
    </row>
    <row r="28" ht="30.6" customHeight="1" s="214">
      <c r="A28" s="75" t="inlineStr">
        <is>
          <t xml:space="preserve">Требования банков к экономике относительно депозитов в банках </t>
        </is>
      </c>
      <c r="B28" s="71" t="n">
        <v>-0.01300418101628313</v>
      </c>
      <c r="C28" s="71" t="n">
        <v>-0.0129020454098692</v>
      </c>
      <c r="D28" s="71" t="n">
        <v>-0.004975961743454755</v>
      </c>
      <c r="E28" s="71" t="n">
        <v>-0.008466529451524474</v>
      </c>
      <c r="F28" s="71" t="n">
        <v>-0.005977666106113365</v>
      </c>
      <c r="H28" s="71" t="n">
        <v>-0.01201984410163245</v>
      </c>
      <c r="I28" s="71" t="n">
        <v>-0.01419522255555139</v>
      </c>
      <c r="J28" s="71" t="n">
        <v>-0.003506849954252086</v>
      </c>
      <c r="K28" s="71" t="n">
        <v>-0.00793189077043871</v>
      </c>
      <c r="L28" s="71" t="n">
        <v>-0.005595479860687503</v>
      </c>
      <c r="N28" s="7">
        <f>SUM(B28:F28)</f>
        <v/>
      </c>
      <c r="O28" s="7">
        <f>SUM(H28:L28)</f>
        <v/>
      </c>
    </row>
    <row r="29" ht="20.45" customHeight="1" s="214">
      <c r="A29" s="76" t="inlineStr">
        <is>
          <t>Леверидж (активы к собственному капиталу)</t>
        </is>
      </c>
      <c r="B29" s="71" t="n">
        <v>-0.03244361020533168</v>
      </c>
      <c r="C29" s="71" t="n">
        <v>0.000356948922873322</v>
      </c>
      <c r="D29" s="71" t="n">
        <v>-0.0001228578202601458</v>
      </c>
      <c r="E29" s="71" t="n">
        <v>0.002171452752659166</v>
      </c>
      <c r="F29" s="71" t="n">
        <v>0.0005649527541262329</v>
      </c>
      <c r="H29" s="71" t="n">
        <v>-0.03467646616968553</v>
      </c>
      <c r="I29" s="71" t="n">
        <v>-0.003025818882359056</v>
      </c>
      <c r="J29" s="71" t="n">
        <v>-0.004543103695611319</v>
      </c>
      <c r="K29" s="71" t="n">
        <v>-0.002206206051374129</v>
      </c>
      <c r="L29" s="71" t="n">
        <v>-0.00250281156614856</v>
      </c>
      <c r="N29" s="7">
        <f>SUM(B29:F29)</f>
        <v/>
      </c>
      <c r="O29" s="7">
        <f>SUM(H29:L29)</f>
        <v/>
      </c>
    </row>
    <row r="30">
      <c r="N30" s="7" t="n"/>
      <c r="O30" s="7" t="n"/>
    </row>
    <row r="31">
      <c r="B31" s="7">
        <f>SUM(B27:B29)</f>
        <v/>
      </c>
      <c r="C31" s="7">
        <f>SUM(C27:C29)</f>
        <v/>
      </c>
      <c r="D31" s="7">
        <f>SUM(D27:D29)</f>
        <v/>
      </c>
      <c r="E31" s="7">
        <f>SUM(E27:E29)</f>
        <v/>
      </c>
      <c r="F31" s="7">
        <f>SUM(F27:F29)</f>
        <v/>
      </c>
      <c r="H31" s="7">
        <f>SUM(H27:H29)</f>
        <v/>
      </c>
      <c r="I31" s="7">
        <f>SUM(I27:I29)</f>
        <v/>
      </c>
      <c r="J31" s="7">
        <f>SUM(J27:J29)</f>
        <v/>
      </c>
      <c r="K31" s="7">
        <f>SUM(K27:K29)</f>
        <v/>
      </c>
      <c r="L31" s="7">
        <f>SUM(L27:L29)</f>
        <v/>
      </c>
    </row>
    <row r="32">
      <c r="N32" s="7">
        <f>MIN(N27:O30)</f>
        <v/>
      </c>
      <c r="O32" s="7">
        <f>MAX(N27:O30)</f>
        <v/>
      </c>
    </row>
    <row r="33">
      <c r="N33" t="inlineStr">
        <is>
          <t>min</t>
        </is>
      </c>
      <c r="O33" t="inlineStr">
        <is>
          <t>max</t>
        </is>
      </c>
    </row>
  </sheetData>
  <pageMargins left="0.7" right="0.7" top="0.75" bottom="0.75" header="0.3" footer="0.3"/>
  <pageSetup orientation="portrait" paperSize="9" fitToHeight="5" fitToWidth="5" horizontalDpi="1200" verticalDpi="1200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O32"/>
  <sheetViews>
    <sheetView zoomScaleNormal="100" workbookViewId="0">
      <selection activeCell="E25" sqref="E25"/>
    </sheetView>
  </sheetViews>
  <sheetFormatPr baseColWidth="8" defaultRowHeight="15"/>
  <cols>
    <col width="24.5703125" customWidth="1" style="214" min="1" max="1"/>
    <col width="8.5703125" bestFit="1" customWidth="1" style="214" min="2" max="3"/>
    <col width="9" bestFit="1" customWidth="1" style="214" min="4" max="4"/>
    <col width="9.140625" bestFit="1" customWidth="1" style="214" min="5" max="5"/>
    <col width="9" bestFit="1" customWidth="1" style="214" min="6" max="6"/>
    <col width="1" customWidth="1" style="59" min="7" max="7"/>
    <col width="9.140625" bestFit="1" customWidth="1" style="214" min="11" max="11"/>
  </cols>
  <sheetData>
    <row r="1" customFormat="1" s="59">
      <c r="A1" s="73" t="n"/>
      <c r="B1" s="58" t="n"/>
      <c r="C1" s="58" t="n"/>
      <c r="D1" s="58" t="n"/>
      <c r="E1" s="58" t="n"/>
      <c r="F1" s="58" t="n"/>
      <c r="H1" s="58" t="n"/>
      <c r="I1" s="58" t="n"/>
      <c r="J1" s="58" t="n"/>
      <c r="K1" s="58" t="n"/>
      <c r="L1" s="58" t="n"/>
    </row>
    <row r="2" ht="21" customFormat="1" customHeight="1" s="59">
      <c r="A2" s="73" t="n"/>
      <c r="D2" s="58" t="n"/>
      <c r="F2" s="74" t="inlineStr">
        <is>
          <t>Внешний сектор</t>
        </is>
      </c>
      <c r="H2" s="58" t="n"/>
      <c r="I2" s="58" t="n"/>
      <c r="J2" s="58" t="n"/>
      <c r="K2" s="58" t="n"/>
      <c r="L2" s="58" t="n"/>
    </row>
    <row r="3" customFormat="1" s="59">
      <c r="A3" s="73" t="n"/>
      <c r="H3" s="58" t="n"/>
      <c r="I3" s="58" t="n"/>
      <c r="J3" s="58" t="n"/>
      <c r="K3" s="58" t="n"/>
      <c r="L3" s="58" t="n"/>
    </row>
    <row r="4" customFormat="1" s="59">
      <c r="B4" s="72" t="n"/>
    </row>
    <row r="5" customFormat="1" s="59"/>
    <row r="6" customFormat="1" s="59"/>
    <row r="7" customFormat="1" s="59"/>
    <row r="8" customFormat="1" s="59"/>
    <row r="9" customFormat="1" s="59"/>
    <row r="10" customFormat="1" s="59"/>
    <row r="11" customFormat="1" s="59"/>
    <row r="12" customFormat="1" s="59"/>
    <row r="13" customFormat="1" s="59"/>
    <row r="14" customFormat="1" s="59"/>
    <row r="15" customFormat="1" s="59"/>
    <row r="16" customFormat="1" s="59"/>
    <row r="17" customFormat="1" s="59"/>
    <row r="18" customFormat="1" s="59"/>
    <row r="19" customFormat="1" s="59"/>
    <row r="20" customFormat="1" s="59"/>
    <row r="21" customFormat="1" s="59"/>
    <row r="22" customFormat="1" s="59"/>
    <row r="23" customFormat="1" s="59"/>
    <row r="25">
      <c r="B25" t="inlineStr">
        <is>
          <t>текущий</t>
        </is>
      </c>
      <c r="D25" s="7">
        <f>SUM(B27:F28)</f>
        <v/>
      </c>
      <c r="E25" s="147">
        <f>SUM(B27:F28)-Barometr_1!O73</f>
        <v/>
      </c>
      <c r="H25" t="inlineStr">
        <is>
          <t>предыдущий</t>
        </is>
      </c>
      <c r="J25" s="7">
        <f>SUM(H27:L28)</f>
        <v/>
      </c>
      <c r="K25" s="147">
        <f>J25-Barometr_1!O72</f>
        <v/>
      </c>
    </row>
    <row r="26" ht="57.95" customHeight="1" s="214">
      <c r="A26" s="10" t="n"/>
      <c r="B26" s="113" t="inlineStr">
        <is>
          <t>разрыв</t>
        </is>
      </c>
      <c r="C26" s="113" t="inlineStr">
        <is>
          <t>прирост за год</t>
        </is>
      </c>
      <c r="D26" s="113" t="inlineStr">
        <is>
          <t>прирост за 2 года</t>
        </is>
      </c>
      <c r="E26" s="113" t="inlineStr">
        <is>
          <t>отклонение от среднего за 2 года</t>
        </is>
      </c>
      <c r="F26" s="113" t="inlineStr">
        <is>
          <t>отклонение от среднего за 3 года</t>
        </is>
      </c>
      <c r="H26" s="113" t="inlineStr">
        <is>
          <t>разрыв</t>
        </is>
      </c>
      <c r="I26" s="113" t="inlineStr">
        <is>
          <t>прирост за год</t>
        </is>
      </c>
      <c r="J26" s="113" t="inlineStr">
        <is>
          <t>прирост за 2 года</t>
        </is>
      </c>
      <c r="K26" s="113" t="inlineStr">
        <is>
          <t>отклонение от среднего за 2 года</t>
        </is>
      </c>
      <c r="L26" s="113" t="inlineStr">
        <is>
          <t>отклонение от среднего за 3 года</t>
        </is>
      </c>
      <c r="N26" s="7" t="n"/>
      <c r="O26" s="7" t="n"/>
    </row>
    <row r="27" ht="30" customHeight="1" s="214">
      <c r="A27" s="75" t="inlineStr">
        <is>
          <t>Внешний долг относительно ВВП</t>
        </is>
      </c>
      <c r="B27" s="71" t="n">
        <v>-0.03257585026409721</v>
      </c>
      <c r="C27" s="71" t="n">
        <v>-0.05027292423450051</v>
      </c>
      <c r="D27" s="71" t="n">
        <v>-0.02886279618374541</v>
      </c>
      <c r="E27" s="71" t="n">
        <v>-0.0345073036313987</v>
      </c>
      <c r="F27" s="71" t="n">
        <v>-0.02750708551188613</v>
      </c>
      <c r="H27" s="71" t="n">
        <v>-0.02103515419211448</v>
      </c>
      <c r="I27" s="71" t="n">
        <v>-0.02766889857253658</v>
      </c>
      <c r="J27" s="71" t="n">
        <v>-0.01989635077459551</v>
      </c>
      <c r="K27" s="71" t="n">
        <v>-0.02300034702147691</v>
      </c>
      <c r="L27" s="71" t="n">
        <v>-0.01644863785214147</v>
      </c>
      <c r="N27" s="7">
        <f>SUM(B27:F27)</f>
        <v/>
      </c>
      <c r="O27" s="7">
        <f>SUM(H27:L27)</f>
        <v/>
      </c>
    </row>
    <row r="28" ht="27.6" customHeight="1" s="214">
      <c r="A28" s="75" t="inlineStr">
        <is>
          <t>Сальдо счета текущих операций относительно ВВП</t>
        </is>
      </c>
      <c r="B28" s="71" t="n">
        <v>-0.01108298802584257</v>
      </c>
      <c r="C28" s="71" t="n">
        <v>-0.01801226125497956</v>
      </c>
      <c r="D28" s="71" t="n">
        <v>0.005587522269566487</v>
      </c>
      <c r="E28" s="71" t="n">
        <v>-0.007231537588423387</v>
      </c>
      <c r="F28" s="71" t="n">
        <v>0.0005710139161876248</v>
      </c>
      <c r="H28" s="71" t="n">
        <v>-0.01208186872287921</v>
      </c>
      <c r="I28" s="71" t="n">
        <v>-0.02115310119990902</v>
      </c>
      <c r="J28" s="71" t="n">
        <v>0.003072184719978009</v>
      </c>
      <c r="K28" s="71" t="n">
        <v>-0.008391892466905785</v>
      </c>
      <c r="L28" s="71" t="n">
        <v>0.003536486999042528</v>
      </c>
      <c r="N28" s="7">
        <f>SUM(B28:F28)</f>
        <v/>
      </c>
      <c r="O28" s="7">
        <f>SUM(H28:L28)</f>
        <v/>
      </c>
    </row>
    <row r="29">
      <c r="N29" s="7" t="n"/>
      <c r="O29" s="7" t="n"/>
    </row>
    <row r="30">
      <c r="B30" s="7" t="n"/>
      <c r="C30" s="7" t="n"/>
      <c r="D30" s="7" t="n"/>
      <c r="E30" s="7" t="n"/>
      <c r="F30" s="7" t="n"/>
      <c r="H30" s="7" t="n"/>
      <c r="I30" s="7" t="n"/>
      <c r="J30" s="7" t="n"/>
      <c r="K30" s="7" t="n"/>
      <c r="L30" s="7" t="n"/>
    </row>
    <row r="31">
      <c r="N31" s="7">
        <f>MIN(N27:O28)</f>
        <v/>
      </c>
      <c r="O31" s="7">
        <f>MAX(N27:O28)</f>
        <v/>
      </c>
    </row>
    <row r="32">
      <c r="N32" t="inlineStr">
        <is>
          <t>min</t>
        </is>
      </c>
      <c r="O32" t="inlineStr">
        <is>
          <t>max</t>
        </is>
      </c>
    </row>
  </sheetData>
  <pageMargins left="0.7" right="0.7" top="0.75" bottom="0.75" header="0.3" footer="0.3"/>
  <pageSetup orientation="portrait" paperSize="9" fitToHeight="5" fitToWidth="5" horizontalDpi="1200" verticalDpi="1200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32"/>
  <sheetViews>
    <sheetView zoomScale="90" zoomScaleNormal="90" workbookViewId="0">
      <selection activeCell="E25" sqref="E25"/>
    </sheetView>
  </sheetViews>
  <sheetFormatPr baseColWidth="8" defaultRowHeight="15"/>
  <cols>
    <col width="22.85546875" customWidth="1" style="214" min="1" max="1"/>
    <col width="8.5703125" bestFit="1" customWidth="1" style="214" min="2" max="3"/>
    <col width="9" bestFit="1" customWidth="1" style="214" min="4" max="4"/>
    <col width="10.140625" bestFit="1" customWidth="1" style="214" min="5" max="5"/>
    <col width="9" bestFit="1" customWidth="1" style="214" min="6" max="6"/>
    <col width="1" customWidth="1" style="59" min="7" max="7"/>
    <col width="11.42578125" customWidth="1" style="214" min="11" max="11"/>
  </cols>
  <sheetData>
    <row r="1" customFormat="1" s="59">
      <c r="A1" s="73" t="n"/>
      <c r="B1" s="58" t="n"/>
      <c r="C1" s="58" t="n"/>
      <c r="D1" s="58" t="n"/>
      <c r="E1" s="58" t="n"/>
      <c r="F1" s="58" t="n"/>
      <c r="H1" s="58" t="n"/>
      <c r="I1" s="58" t="n"/>
      <c r="J1" s="58" t="n"/>
      <c r="K1" s="58" t="n"/>
      <c r="L1" s="58" t="n"/>
    </row>
    <row r="2" ht="21" customFormat="1" customHeight="1" s="59">
      <c r="A2" s="73" t="n"/>
      <c r="D2" s="58" t="n"/>
      <c r="F2" s="74" t="inlineStr">
        <is>
          <t>Рынок недвижимости</t>
        </is>
      </c>
      <c r="H2" s="58" t="n"/>
      <c r="I2" s="58" t="n"/>
      <c r="J2" s="58" t="n"/>
      <c r="K2" s="58" t="n"/>
      <c r="L2" s="58" t="n"/>
    </row>
    <row r="3" customFormat="1" s="59">
      <c r="A3" s="73" t="n"/>
      <c r="H3" s="58" t="n"/>
      <c r="I3" s="58" t="n"/>
      <c r="J3" s="58" t="n"/>
      <c r="K3" s="58" t="n"/>
      <c r="L3" s="58" t="n"/>
    </row>
    <row r="4" customFormat="1" s="59">
      <c r="B4" s="72" t="n"/>
    </row>
    <row r="5" customFormat="1" s="59"/>
    <row r="6" customFormat="1" s="59"/>
    <row r="7" customFormat="1" s="59"/>
    <row r="8" customFormat="1" s="59"/>
    <row r="9" customFormat="1" s="59"/>
    <row r="10" customFormat="1" s="59"/>
    <row r="11" customFormat="1" s="59"/>
    <row r="12" customFormat="1" s="59"/>
    <row r="13" customFormat="1" s="59"/>
    <row r="14" customFormat="1" s="59"/>
    <row r="15" customFormat="1" s="59"/>
    <row r="16" customFormat="1" s="59"/>
    <row r="17" customFormat="1" s="59"/>
    <row r="18" customFormat="1" s="59"/>
    <row r="19" customFormat="1" s="59"/>
    <row r="20" customFormat="1" s="59"/>
    <row r="21" customFormat="1" s="59"/>
    <row r="22" customFormat="1" s="59"/>
    <row r="23" customFormat="1" s="59"/>
    <row r="25">
      <c r="B25" t="inlineStr">
        <is>
          <t>текущий</t>
        </is>
      </c>
      <c r="D25" s="7">
        <f>SUM(B27:F28)</f>
        <v/>
      </c>
      <c r="E25" s="147">
        <f>SUM(B27:F28)-Barometr_1!R73</f>
        <v/>
      </c>
      <c r="H25" t="inlineStr">
        <is>
          <t>предыдущий</t>
        </is>
      </c>
      <c r="J25" s="7">
        <f>SUM(H27:L28)</f>
        <v/>
      </c>
      <c r="K25" s="146">
        <f>J25-Barometr_1!R72</f>
        <v/>
      </c>
    </row>
    <row r="26" ht="57.95" customHeight="1" s="214">
      <c r="A26" s="10" t="n"/>
      <c r="B26" s="113" t="inlineStr">
        <is>
          <t>разрыв</t>
        </is>
      </c>
      <c r="C26" s="113" t="inlineStr">
        <is>
          <t>прирост за год</t>
        </is>
      </c>
      <c r="D26" s="113" t="inlineStr">
        <is>
          <t>прирост за 2 года</t>
        </is>
      </c>
      <c r="E26" s="113" t="inlineStr">
        <is>
          <t>отклонение от среднего за 2 года</t>
        </is>
      </c>
      <c r="F26" s="113" t="inlineStr">
        <is>
          <t>отклонение от среднего за 3 года</t>
        </is>
      </c>
      <c r="H26" s="113" t="inlineStr">
        <is>
          <t>разрыв</t>
        </is>
      </c>
      <c r="I26" s="113" t="inlineStr">
        <is>
          <t>прирост за год</t>
        </is>
      </c>
      <c r="J26" s="113" t="inlineStr">
        <is>
          <t>прирост за 2 года</t>
        </is>
      </c>
      <c r="K26" s="113" t="inlineStr">
        <is>
          <t>отклонение от среднего за 2 года</t>
        </is>
      </c>
      <c r="L26" s="113" t="inlineStr">
        <is>
          <t>отклонение от среднего за 3 года</t>
        </is>
      </c>
    </row>
    <row r="27" ht="30.6" customHeight="1" s="214">
      <c r="A27" s="75" t="inlineStr">
        <is>
          <t>Цены на коммерческую недвижимость</t>
        </is>
      </c>
      <c r="B27" s="71" t="n">
        <v>-0.1024234092990846</v>
      </c>
      <c r="C27" s="71" t="n">
        <v>-0.1260444073993549</v>
      </c>
      <c r="D27" s="71" t="n">
        <v>-0.08357265381848272</v>
      </c>
      <c r="E27" s="71" t="n">
        <v>-0.1204960045235484</v>
      </c>
      <c r="F27" s="71" t="n">
        <v>-0.1077342527442223</v>
      </c>
      <c r="H27" s="71" t="n">
        <v>-0.1024234092990846</v>
      </c>
      <c r="I27" s="71" t="n">
        <v>-0.1260444073993549</v>
      </c>
      <c r="J27" s="71" t="n">
        <v>-0.08357265381848272</v>
      </c>
      <c r="K27" s="71" t="n">
        <v>-0.1204960045235484</v>
      </c>
      <c r="L27" s="71" t="n">
        <v>-0.1077342527442223</v>
      </c>
      <c r="N27" s="7">
        <f>SUM(B27:F27)</f>
        <v/>
      </c>
      <c r="O27" s="7">
        <f>SUM(H27:L27)</f>
        <v/>
      </c>
    </row>
    <row r="28" ht="33" customHeight="1" s="214">
      <c r="A28" s="75" t="inlineStr">
        <is>
          <t>Цены на жилую недвижимость</t>
        </is>
      </c>
      <c r="B28" s="71" t="n">
        <v>0.0292146740160771</v>
      </c>
      <c r="C28" s="71" t="n">
        <v>0.02804277407977528</v>
      </c>
      <c r="D28" s="71" t="n">
        <v>0.0287835277950728</v>
      </c>
      <c r="E28" s="71" t="n">
        <v>0.04531717849412698</v>
      </c>
      <c r="F28" s="71" t="n">
        <v>0.02933779742286406</v>
      </c>
      <c r="H28" s="71" t="n">
        <v>0.02145727449061137</v>
      </c>
      <c r="I28" s="71" t="n">
        <v>0.01491083416459243</v>
      </c>
      <c r="J28" s="71" t="n">
        <v>0.02522813034279055</v>
      </c>
      <c r="K28" s="71" t="n">
        <v>0.03078996292099157</v>
      </c>
      <c r="L28" s="71" t="n">
        <v>0.02657776696134175</v>
      </c>
      <c r="N28" s="7">
        <f>SUM(B28:F28)</f>
        <v/>
      </c>
      <c r="O28" s="7">
        <f>SUM(H28:L28)</f>
        <v/>
      </c>
    </row>
    <row r="29">
      <c r="N29" s="7" t="n"/>
      <c r="O29" s="7" t="n"/>
    </row>
    <row r="30">
      <c r="B30" s="7" t="n"/>
      <c r="C30" s="7" t="n"/>
      <c r="D30" s="7" t="n"/>
      <c r="E30" s="7" t="n"/>
      <c r="F30" s="7" t="n"/>
      <c r="H30" s="7" t="n"/>
      <c r="I30" s="7" t="n"/>
      <c r="J30" s="7" t="n"/>
      <c r="K30" s="7" t="n"/>
      <c r="L30" s="7" t="n"/>
    </row>
    <row r="31">
      <c r="N31" s="7">
        <f>MIN(N27:O28)</f>
        <v/>
      </c>
      <c r="O31" s="7">
        <f>MAX(N27:O28)</f>
        <v/>
      </c>
    </row>
    <row r="32">
      <c r="N32" t="inlineStr">
        <is>
          <t>min</t>
        </is>
      </c>
      <c r="O32" t="inlineStr">
        <is>
          <t>max</t>
        </is>
      </c>
    </row>
  </sheetData>
  <pageMargins left="0.7" right="0.7" top="0.75" bottom="0.75" header="0.3" footer="0.3"/>
  <pageSetup orientation="portrait" paperSize="9" fitToHeight="5" fitToWidth="5" horizontalDpi="1200" verticalDpi="1200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 codeName="Лист10">
    <outlinePr summaryBelow="1" summaryRight="1"/>
    <pageSetUpPr/>
  </sheetPr>
  <dimension ref="A1:AT75"/>
  <sheetViews>
    <sheetView zoomScale="85" zoomScaleNormal="85" workbookViewId="0">
      <pane xSplit="1" ySplit="3" topLeftCell="U4" activePane="bottomRight" state="frozen"/>
      <selection activeCell="H27" sqref="H27"/>
      <selection pane="topRight" activeCell="H27" sqref="H27"/>
      <selection pane="bottomLeft" activeCell="H27" sqref="H27"/>
      <selection pane="bottomRight" activeCell="AS33" sqref="AS33"/>
    </sheetView>
  </sheetViews>
  <sheetFormatPr baseColWidth="8" defaultRowHeight="15" outlineLevelRow="1"/>
  <cols>
    <col width="9.28515625" customWidth="1" style="2" min="1" max="1"/>
    <col width="9.28515625" customWidth="1" style="13" min="2" max="2"/>
    <col width="9.28515625" customWidth="1" style="239" min="3" max="3"/>
    <col width="10.5703125" customWidth="1" style="239" min="4" max="4"/>
    <col width="10.5703125" customWidth="1" style="214" min="5" max="9"/>
    <col width="10.5703125" customWidth="1" style="190" min="10" max="10"/>
    <col width="10.5703125" customWidth="1" style="239" min="11" max="11"/>
    <col width="10.5703125" customWidth="1" style="214" min="12" max="13"/>
    <col width="10.5703125" customWidth="1" style="190" min="14" max="14"/>
    <col width="10.5703125" customWidth="1" style="239" min="15" max="15"/>
    <col width="10.5703125" customWidth="1" style="214" min="16" max="17"/>
    <col width="10.5703125" customWidth="1" style="190" min="18" max="18"/>
    <col width="10.5703125" customWidth="1" style="239" min="19" max="19"/>
    <col width="15" bestFit="1" customWidth="1" style="214" min="20" max="20"/>
    <col width="12.5703125" bestFit="1" customWidth="1" style="190" min="21" max="21"/>
    <col width="10.5703125" customWidth="1" style="239" min="22" max="22"/>
    <col width="10.5703125" customWidth="1" style="214" min="23" max="23"/>
    <col width="10.5703125" customWidth="1" style="190" min="24" max="24"/>
    <col width="10.5703125" customWidth="1" style="214" min="25" max="25"/>
    <col width="9" bestFit="1" customWidth="1" style="214" min="43" max="43"/>
    <col width="9.5703125" bestFit="1" customWidth="1" style="214" min="45" max="45"/>
    <col width="10.5703125" bestFit="1" customWidth="1" style="11" min="46" max="46"/>
  </cols>
  <sheetData>
    <row r="1">
      <c r="B1" s="10" t="inlineStr">
        <is>
          <t>Binary</t>
        </is>
      </c>
      <c r="C1" s="12" t="n"/>
      <c r="D1" s="203" t="inlineStr">
        <is>
          <t>Corporate</t>
        </is>
      </c>
      <c r="E1" s="204" t="n"/>
      <c r="F1" s="204" t="n"/>
      <c r="G1" s="204" t="n"/>
      <c r="H1" s="204" t="n"/>
      <c r="I1" s="204" t="n"/>
      <c r="J1" s="205" t="n"/>
      <c r="K1" s="203" t="inlineStr">
        <is>
          <t>Households</t>
        </is>
      </c>
      <c r="L1" s="204" t="n"/>
      <c r="M1" s="204" t="n"/>
      <c r="N1" s="205" t="n"/>
      <c r="O1" s="203" t="inlineStr">
        <is>
          <t>Banking</t>
        </is>
      </c>
      <c r="P1" s="204" t="n"/>
      <c r="Q1" s="204" t="n"/>
      <c r="R1" s="205" t="n"/>
      <c r="S1" s="203" t="inlineStr">
        <is>
          <t>Government</t>
        </is>
      </c>
      <c r="T1" s="204" t="n"/>
      <c r="U1" s="205" t="n"/>
      <c r="V1" s="203" t="inlineStr">
        <is>
          <t>Whole Economy</t>
        </is>
      </c>
      <c r="W1" s="204" t="n"/>
      <c r="X1" s="205" t="n"/>
      <c r="Y1" s="244" t="inlineStr">
        <is>
          <t>Corporate</t>
        </is>
      </c>
      <c r="Z1" s="204" t="n"/>
      <c r="AA1" s="204" t="n"/>
      <c r="AB1" s="204" t="n"/>
      <c r="AC1" s="204" t="n"/>
      <c r="AD1" s="204" t="n"/>
      <c r="AE1" s="205" t="n"/>
      <c r="AF1" s="244" t="inlineStr">
        <is>
          <t>Households</t>
        </is>
      </c>
      <c r="AG1" s="204" t="n"/>
      <c r="AH1" s="204" t="n"/>
      <c r="AI1" s="205" t="n"/>
      <c r="AJ1" s="244" t="inlineStr">
        <is>
          <t>Banking</t>
        </is>
      </c>
      <c r="AK1" s="204" t="n"/>
      <c r="AL1" s="204" t="n"/>
      <c r="AM1" s="205" t="n"/>
      <c r="AN1" s="244" t="inlineStr">
        <is>
          <t>Government</t>
        </is>
      </c>
      <c r="AO1" s="204" t="n"/>
      <c r="AP1" s="205" t="n"/>
      <c r="AQ1" s="244" t="inlineStr">
        <is>
          <t>Whole Economy</t>
        </is>
      </c>
      <c r="AR1" s="204" t="n"/>
      <c r="AS1" s="205" t="n"/>
    </row>
    <row r="2" ht="144.95" customHeight="1" s="214">
      <c r="B2" s="245" t="inlineStr">
        <is>
          <t>Binary</t>
        </is>
      </c>
      <c r="C2" s="245" t="inlineStr">
        <is>
          <t>Threshold</t>
        </is>
      </c>
      <c r="D2" s="245" t="inlineStr">
        <is>
          <t>Debts denominated in FX (domestic and external) versus FX generating assets</t>
        </is>
      </c>
      <c r="E2" s="183" t="n"/>
      <c r="F2" s="245" t="inlineStr">
        <is>
          <t>Debt service ratio, %</t>
        </is>
      </c>
      <c r="G2" s="245" t="inlineStr">
        <is>
          <t>All Debt to GDP ratio, %</t>
        </is>
      </c>
      <c r="H2" s="245" t="inlineStr">
        <is>
          <t>Short-term debt versus liquid assets (all deposits)</t>
        </is>
      </c>
      <c r="I2" s="245" t="inlineStr">
        <is>
          <t>All debt versus all assets</t>
        </is>
      </c>
      <c r="J2" s="183" t="n"/>
      <c r="K2" s="245" t="inlineStr">
        <is>
          <t xml:space="preserve">Задолженность в НВ к оплате труда </t>
        </is>
      </c>
      <c r="L2" s="245" t="inlineStr">
        <is>
          <t>Liabilities versus future earnings (GDP)</t>
        </is>
      </c>
      <c r="M2" s="245" t="inlineStr">
        <is>
          <t>Debt_service ratio_annual</t>
        </is>
      </c>
      <c r="N2" s="183" t="n"/>
      <c r="O2" s="245" t="inlineStr">
        <is>
          <t>Весь кредит реальный (ИПЦ 2018=1)</t>
        </is>
      </c>
      <c r="P2" s="245" t="inlineStr">
        <is>
          <t>Задолженность по кредитам банков к ВВП, %</t>
        </is>
      </c>
      <c r="Q2" s="17" t="inlineStr">
        <is>
          <t>(-) Депозиты к активам банков, %</t>
        </is>
      </c>
      <c r="R2" s="17" t="inlineStr">
        <is>
          <t>(-) Все депозиты в реальном выражении (ИПЦ 2018=1)</t>
        </is>
      </c>
      <c r="S2" s="245" t="inlineStr">
        <is>
          <t>Внешний долг сектора государственного управления к ВВП, %</t>
        </is>
      </c>
      <c r="T2" s="183" t="n"/>
      <c r="U2" s="245" t="inlineStr">
        <is>
          <t>Обслуживание внешнего долга органов государственного управления к ВВП, %</t>
        </is>
      </c>
      <c r="V2" s="17" t="inlineStr">
        <is>
          <t>(-) Счет текущих операций за год, в % к ВВП</t>
        </is>
      </c>
      <c r="W2" s="246" t="inlineStr">
        <is>
          <t>Debt service ratio, %</t>
        </is>
      </c>
      <c r="X2" s="183" t="n"/>
      <c r="Y2" s="245" t="inlineStr">
        <is>
          <t>Debts denominated in FX (domestic and external) versus FX generating assets</t>
        </is>
      </c>
      <c r="Z2" s="183" t="n"/>
      <c r="AA2" s="245" t="inlineStr">
        <is>
          <t>Debt service ratio, %</t>
        </is>
      </c>
      <c r="AB2" s="245" t="inlineStr">
        <is>
          <t>All Debt to GDP ratio, %</t>
        </is>
      </c>
      <c r="AC2" s="245" t="inlineStr">
        <is>
          <t>Short-term debt versus liquid assets (all deposits)</t>
        </is>
      </c>
      <c r="AD2" s="245" t="inlineStr">
        <is>
          <t>All debt versus all assets</t>
        </is>
      </c>
      <c r="AE2" s="183" t="n"/>
      <c r="AF2" s="245" t="inlineStr">
        <is>
          <t xml:space="preserve">Задолженность в НВ к оплате труда </t>
        </is>
      </c>
      <c r="AG2" s="245" t="inlineStr">
        <is>
          <t>Liabilities versus future earnings (GDP)</t>
        </is>
      </c>
      <c r="AH2" s="245" t="inlineStr">
        <is>
          <t>Debt_service ratio_annual</t>
        </is>
      </c>
      <c r="AI2" s="183" t="n"/>
      <c r="AJ2" s="245" t="inlineStr">
        <is>
          <t>Весь кредит реальный (ИПЦ 2018=1)</t>
        </is>
      </c>
      <c r="AK2" s="245" t="inlineStr">
        <is>
          <t>Задолженность по кредитам банков к ВВП, %</t>
        </is>
      </c>
      <c r="AL2" s="17" t="inlineStr">
        <is>
          <t>(-) Депозиты к активам банков, %</t>
        </is>
      </c>
      <c r="AM2" s="17" t="inlineStr">
        <is>
          <t>(-) Все депозиты в реальном выражении (ИПЦ 2018=1)</t>
        </is>
      </c>
      <c r="AN2" s="245" t="inlineStr">
        <is>
          <t>Внешний долг сектора государственного управления к ВВП, %</t>
        </is>
      </c>
      <c r="AO2" s="183" t="n"/>
      <c r="AP2" s="245" t="inlineStr">
        <is>
          <t>Обслуживание внешнего долга органов государственного управления к ВВП, %</t>
        </is>
      </c>
      <c r="AQ2" s="17" t="inlineStr">
        <is>
          <t>(-) Счет текущих операций за год, в % к ВВП</t>
        </is>
      </c>
      <c r="AR2" s="246" t="inlineStr">
        <is>
          <t>Debt service ratio, %</t>
        </is>
      </c>
      <c r="AS2" s="183" t="n"/>
      <c r="AT2" s="30" t="inlineStr">
        <is>
          <t>БАРОМЕТР</t>
        </is>
      </c>
    </row>
    <row r="3">
      <c r="B3" s="1" t="inlineStr">
        <is>
          <t>Binary</t>
        </is>
      </c>
      <c r="C3" s="1" t="n"/>
      <c r="D3" s="1" t="inlineStr">
        <is>
          <t>dfx_as2</t>
        </is>
      </c>
      <c r="E3" s="1" t="inlineStr">
        <is>
          <t>dfx_as_av3</t>
        </is>
      </c>
      <c r="F3" s="1" t="inlineStr">
        <is>
          <t>dsr_a_av2</t>
        </is>
      </c>
      <c r="G3" s="1" t="inlineStr">
        <is>
          <t>debt_gdp2</t>
        </is>
      </c>
      <c r="H3" s="1" t="inlineStr">
        <is>
          <t>l_all</t>
        </is>
      </c>
      <c r="I3" s="1" t="inlineStr">
        <is>
          <t>all_d_as1</t>
        </is>
      </c>
      <c r="J3" s="1" t="inlineStr">
        <is>
          <t>all_d_as2</t>
        </is>
      </c>
      <c r="K3" s="1" t="inlineStr">
        <is>
          <t>l_wgs_av3</t>
        </is>
      </c>
      <c r="L3" s="1" t="inlineStr">
        <is>
          <t>l_gdp</t>
        </is>
      </c>
      <c r="M3" s="1" t="inlineStr">
        <is>
          <t>d_srv_a</t>
        </is>
      </c>
      <c r="N3" s="1" t="inlineStr">
        <is>
          <t>d_srv_a2</t>
        </is>
      </c>
      <c r="O3" s="1" t="inlineStr">
        <is>
          <t>cr_cpi</t>
        </is>
      </c>
      <c r="P3" s="1" t="inlineStr">
        <is>
          <t>cr_gdp2</t>
        </is>
      </c>
      <c r="Q3" s="1" t="inlineStr">
        <is>
          <t>d_as_gdp1</t>
        </is>
      </c>
      <c r="R3" s="1" t="inlineStr">
        <is>
          <t>d_cpi</t>
        </is>
      </c>
      <c r="S3" s="1" t="inlineStr">
        <is>
          <t>exdebt_gdp</t>
        </is>
      </c>
      <c r="T3" s="1" t="inlineStr">
        <is>
          <t>exdebt_gdp_av2</t>
        </is>
      </c>
      <c r="U3" s="1" t="inlineStr">
        <is>
          <t>s_exdebt_gdp</t>
        </is>
      </c>
      <c r="V3" s="1" t="inlineStr">
        <is>
          <t>ball_y1</t>
        </is>
      </c>
      <c r="W3" s="1" t="inlineStr">
        <is>
          <t>dsr_y</t>
        </is>
      </c>
      <c r="X3" s="1" t="inlineStr">
        <is>
          <t>dsr_y_av3</t>
        </is>
      </c>
      <c r="Y3" s="28" t="inlineStr">
        <is>
          <t>dfx_as2</t>
        </is>
      </c>
      <c r="Z3" s="28" t="inlineStr">
        <is>
          <t>dfx_as_av3</t>
        </is>
      </c>
      <c r="AA3" s="28" t="inlineStr">
        <is>
          <t>dsr_a_av2</t>
        </is>
      </c>
      <c r="AB3" s="28" t="inlineStr">
        <is>
          <t>debt_gdp2</t>
        </is>
      </c>
      <c r="AC3" s="28" t="inlineStr">
        <is>
          <t>l_all</t>
        </is>
      </c>
      <c r="AD3" s="28" t="inlineStr">
        <is>
          <t>all_d_as1</t>
        </is>
      </c>
      <c r="AE3" s="28" t="inlineStr">
        <is>
          <t>all_d_as2</t>
        </is>
      </c>
      <c r="AF3" s="28" t="inlineStr">
        <is>
          <t>l_wgs_av3</t>
        </is>
      </c>
      <c r="AG3" s="28" t="inlineStr">
        <is>
          <t>l_gdp</t>
        </is>
      </c>
      <c r="AH3" s="28" t="inlineStr">
        <is>
          <t>d_srv_a</t>
        </is>
      </c>
      <c r="AI3" s="28" t="inlineStr">
        <is>
          <t>d_srv_a2</t>
        </is>
      </c>
      <c r="AJ3" s="28" t="inlineStr">
        <is>
          <t>cr_cpi</t>
        </is>
      </c>
      <c r="AK3" s="28" t="inlineStr">
        <is>
          <t>cr_gdp2</t>
        </is>
      </c>
      <c r="AL3" s="28" t="inlineStr">
        <is>
          <t>d_as_gdp1</t>
        </is>
      </c>
      <c r="AM3" s="28" t="inlineStr">
        <is>
          <t>d_cpi</t>
        </is>
      </c>
      <c r="AN3" s="28" t="inlineStr">
        <is>
          <t>exdebt_gdp</t>
        </is>
      </c>
      <c r="AO3" s="28" t="inlineStr">
        <is>
          <t>exdebt_gdp_av2</t>
        </is>
      </c>
      <c r="AP3" s="28" t="inlineStr">
        <is>
          <t>s_exdebt_gdp</t>
        </is>
      </c>
      <c r="AQ3" s="28" t="inlineStr">
        <is>
          <t>ball_y1</t>
        </is>
      </c>
      <c r="AR3" s="28" t="inlineStr">
        <is>
          <t>dsr_y</t>
        </is>
      </c>
      <c r="AS3" s="28" t="inlineStr">
        <is>
          <t>dsr_y_av3</t>
        </is>
      </c>
      <c r="AT3" s="11" t="inlineStr">
        <is>
          <t>VB_index</t>
        </is>
      </c>
    </row>
    <row r="4" hidden="1" outlineLevel="1" s="214">
      <c r="A4" s="2" t="inlineStr">
        <is>
          <t>2005 кв.1</t>
        </is>
      </c>
      <c r="B4" s="16" t="n">
        <v>0</v>
      </c>
      <c r="C4" s="18" t="n"/>
      <c r="D4" s="6" t="n"/>
      <c r="E4" s="7" t="n"/>
      <c r="F4" s="7" t="n"/>
      <c r="G4" s="7" t="n"/>
      <c r="H4" s="14">
        <f>('Indicators Data'!G6-#REF!)/#REF!</f>
        <v/>
      </c>
      <c r="I4" s="7" t="n"/>
      <c r="J4" s="8" t="n"/>
      <c r="K4" s="6">
        <f>('Indicators Data'!U6-#REF!)/#REF!</f>
        <v/>
      </c>
      <c r="L4" s="14">
        <f>('Indicators Data'!Y6-#REF!)/#REF!</f>
        <v/>
      </c>
      <c r="M4" s="7" t="n"/>
      <c r="N4" s="8" t="n"/>
      <c r="O4" s="6">
        <f>('Indicators Data'!#REF!-#REF!)/#REF!</f>
        <v/>
      </c>
      <c r="P4" s="14">
        <f>('Indicators Data'!#REF!-#REF!)/#REF!</f>
        <v/>
      </c>
      <c r="Q4" s="14">
        <f>-('Indicators Data'!#REF!-#REF!)/#REF!</f>
        <v/>
      </c>
      <c r="R4" s="15">
        <f>-('Indicators Data'!#REF!-#REF!)/#REF!</f>
        <v/>
      </c>
      <c r="S4" s="6">
        <f>('Indicators Data'!#REF!-#REF!)/#REF!</f>
        <v/>
      </c>
      <c r="T4" s="14">
        <f>('Indicators Data'!#REF!-#REF!)/#REF!</f>
        <v/>
      </c>
      <c r="U4" s="15">
        <f>('Indicators Data'!#REF!-#REF!)/#REF!</f>
        <v/>
      </c>
      <c r="V4" s="6">
        <f>-('Indicators Data'!#REF!-#REF!)/#REF!</f>
        <v/>
      </c>
      <c r="W4" s="7" t="n"/>
      <c r="X4" s="8" t="n"/>
      <c r="Y4" s="7" t="n"/>
      <c r="Z4" s="28" t="n"/>
      <c r="AA4" s="28" t="n"/>
      <c r="AB4" s="28" t="n"/>
      <c r="AC4" s="28" t="n"/>
      <c r="AD4" s="28" t="n"/>
      <c r="AE4" s="28" t="n"/>
      <c r="AF4" s="28" t="n"/>
      <c r="AG4" s="28" t="n"/>
      <c r="AH4" s="28" t="n"/>
      <c r="AI4" s="28" t="n"/>
      <c r="AJ4" s="28" t="n"/>
      <c r="AK4" s="28" t="n"/>
      <c r="AL4" s="28" t="n"/>
      <c r="AM4" s="28" t="n"/>
      <c r="AN4" s="28" t="n"/>
      <c r="AO4" s="28" t="n"/>
      <c r="AP4" s="28" t="n"/>
      <c r="AQ4" s="28" t="n"/>
      <c r="AR4" s="28" t="n"/>
      <c r="AS4" s="28" t="n"/>
    </row>
    <row r="5" hidden="1" outlineLevel="1" s="214">
      <c r="A5" s="2" t="inlineStr">
        <is>
          <t>2005 кв.2</t>
        </is>
      </c>
      <c r="B5" s="16" t="n">
        <v>0</v>
      </c>
      <c r="C5" s="18" t="n"/>
      <c r="D5" s="6" t="n"/>
      <c r="E5" s="7" t="n"/>
      <c r="F5" s="7" t="n"/>
      <c r="G5" s="7" t="n"/>
      <c r="H5" s="14">
        <f>('Indicators Data'!G7-#REF!)/#REF!</f>
        <v/>
      </c>
      <c r="I5" s="7" t="n"/>
      <c r="J5" s="8" t="n"/>
      <c r="K5" s="6">
        <f>('Indicators Data'!U7-#REF!)/#REF!</f>
        <v/>
      </c>
      <c r="L5" s="14">
        <f>('Indicators Data'!Y7-#REF!)/#REF!</f>
        <v/>
      </c>
      <c r="M5" s="7" t="n"/>
      <c r="N5" s="8" t="n"/>
      <c r="O5" s="6">
        <f>('Indicators Data'!#REF!-#REF!)/#REF!</f>
        <v/>
      </c>
      <c r="P5" s="14">
        <f>('Indicators Data'!#REF!-#REF!)/#REF!</f>
        <v/>
      </c>
      <c r="Q5" s="14">
        <f>-('Indicators Data'!#REF!-#REF!)/#REF!</f>
        <v/>
      </c>
      <c r="R5" s="15">
        <f>-('Indicators Data'!#REF!-#REF!)/#REF!</f>
        <v/>
      </c>
      <c r="S5" s="6">
        <f>('Indicators Data'!#REF!-#REF!)/#REF!</f>
        <v/>
      </c>
      <c r="T5" s="14">
        <f>('Indicators Data'!#REF!-#REF!)/#REF!</f>
        <v/>
      </c>
      <c r="U5" s="15">
        <f>('Indicators Data'!#REF!-#REF!)/#REF!</f>
        <v/>
      </c>
      <c r="V5" s="6">
        <f>-('Indicators Data'!#REF!-#REF!)/#REF!</f>
        <v/>
      </c>
      <c r="W5" s="7" t="n"/>
      <c r="X5" s="8" t="n"/>
      <c r="Y5" s="7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8" t="n"/>
      <c r="AK5" s="28" t="n"/>
      <c r="AL5" s="28" t="n"/>
      <c r="AM5" s="28" t="n"/>
      <c r="AN5" s="28" t="n"/>
      <c r="AO5" s="28" t="n"/>
      <c r="AP5" s="28" t="n"/>
      <c r="AQ5" s="28" t="n"/>
      <c r="AR5" s="28" t="n"/>
      <c r="AS5" s="28" t="n"/>
    </row>
    <row r="6" hidden="1" outlineLevel="1" s="214">
      <c r="A6" s="2" t="inlineStr">
        <is>
          <t>2005 кв.3</t>
        </is>
      </c>
      <c r="B6" s="16" t="n">
        <v>0</v>
      </c>
      <c r="C6" s="18" t="n"/>
      <c r="D6" s="6" t="n"/>
      <c r="E6" s="7" t="n"/>
      <c r="F6" s="7" t="n"/>
      <c r="G6" s="7" t="n"/>
      <c r="H6" s="14">
        <f>('Indicators Data'!G8-#REF!)/#REF!</f>
        <v/>
      </c>
      <c r="I6" s="7" t="n"/>
      <c r="J6" s="8" t="n"/>
      <c r="K6" s="6">
        <f>('Indicators Data'!U8-#REF!)/#REF!</f>
        <v/>
      </c>
      <c r="L6" s="14">
        <f>('Indicators Data'!Y8-#REF!)/#REF!</f>
        <v/>
      </c>
      <c r="M6" s="7" t="n"/>
      <c r="N6" s="8" t="n"/>
      <c r="O6" s="6">
        <f>('Indicators Data'!#REF!-#REF!)/#REF!</f>
        <v/>
      </c>
      <c r="P6" s="14">
        <f>('Indicators Data'!#REF!-#REF!)/#REF!</f>
        <v/>
      </c>
      <c r="Q6" s="14">
        <f>-('Indicators Data'!#REF!-#REF!)/#REF!</f>
        <v/>
      </c>
      <c r="R6" s="15">
        <f>-('Indicators Data'!#REF!-#REF!)/#REF!</f>
        <v/>
      </c>
      <c r="S6" s="6">
        <f>('Indicators Data'!#REF!-#REF!)/#REF!</f>
        <v/>
      </c>
      <c r="T6" s="14">
        <f>('Indicators Data'!#REF!-#REF!)/#REF!</f>
        <v/>
      </c>
      <c r="U6" s="15">
        <f>('Indicators Data'!#REF!-#REF!)/#REF!</f>
        <v/>
      </c>
      <c r="V6" s="6">
        <f>-('Indicators Data'!#REF!-#REF!)/#REF!</f>
        <v/>
      </c>
      <c r="W6" s="7" t="n"/>
      <c r="X6" s="8" t="n"/>
      <c r="Y6" s="7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8" t="n"/>
      <c r="AK6" s="28" t="n"/>
      <c r="AL6" s="28" t="n"/>
      <c r="AM6" s="28" t="n"/>
      <c r="AN6" s="28" t="n"/>
      <c r="AO6" s="28" t="n"/>
      <c r="AP6" s="28" t="n"/>
      <c r="AQ6" s="28" t="n"/>
      <c r="AR6" s="28" t="n"/>
      <c r="AS6" s="28" t="n"/>
    </row>
    <row r="7" hidden="1" outlineLevel="1" s="214">
      <c r="A7" s="2" t="inlineStr">
        <is>
          <t>2005 кв.4</t>
        </is>
      </c>
      <c r="B7" s="16" t="n">
        <v>0</v>
      </c>
      <c r="C7" s="18" t="n"/>
      <c r="D7" s="6" t="n"/>
      <c r="E7" s="7" t="n"/>
      <c r="F7" s="7" t="n"/>
      <c r="G7" s="7" t="n"/>
      <c r="H7" s="14">
        <f>('Indicators Data'!G9-#REF!)/#REF!</f>
        <v/>
      </c>
      <c r="I7" s="7" t="n"/>
      <c r="J7" s="8" t="n"/>
      <c r="K7" s="6">
        <f>('Indicators Data'!U9-#REF!)/#REF!</f>
        <v/>
      </c>
      <c r="L7" s="14">
        <f>('Indicators Data'!Y9-#REF!)/#REF!</f>
        <v/>
      </c>
      <c r="M7" s="14">
        <f>('Indicators Data'!AD9-#REF!)/#REF!</f>
        <v/>
      </c>
      <c r="N7" s="8" t="n"/>
      <c r="O7" s="6">
        <f>('Indicators Data'!#REF!-#REF!)/#REF!</f>
        <v/>
      </c>
      <c r="P7" s="14">
        <f>('Indicators Data'!#REF!-#REF!)/#REF!</f>
        <v/>
      </c>
      <c r="Q7" s="14">
        <f>-('Indicators Data'!#REF!-#REF!)/#REF!</f>
        <v/>
      </c>
      <c r="R7" s="15">
        <f>-('Indicators Data'!#REF!-#REF!)/#REF!</f>
        <v/>
      </c>
      <c r="S7" s="6">
        <f>('Indicators Data'!#REF!-#REF!)/#REF!</f>
        <v/>
      </c>
      <c r="T7" s="14">
        <f>('Indicators Data'!#REF!-#REF!)/#REF!</f>
        <v/>
      </c>
      <c r="U7" s="15">
        <f>('Indicators Data'!#REF!-#REF!)/#REF!</f>
        <v/>
      </c>
      <c r="V7" s="6">
        <f>-('Indicators Data'!#REF!-#REF!)/#REF!</f>
        <v/>
      </c>
      <c r="W7" s="7" t="n"/>
      <c r="X7" s="8" t="n"/>
      <c r="Y7" s="7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  <c r="AP7" s="28" t="n"/>
      <c r="AQ7" s="28" t="n"/>
      <c r="AR7" s="28" t="n"/>
      <c r="AS7" s="28" t="n"/>
    </row>
    <row r="8" hidden="1" outlineLevel="1" s="214">
      <c r="A8" s="2" t="inlineStr">
        <is>
          <t>2006 кв.1</t>
        </is>
      </c>
      <c r="B8" s="16" t="n">
        <v>0</v>
      </c>
      <c r="C8" s="18" t="n"/>
      <c r="D8" s="6" t="n"/>
      <c r="E8" s="7" t="n"/>
      <c r="F8" s="7" t="n"/>
      <c r="G8" s="7" t="n"/>
      <c r="H8" s="14">
        <f>('Indicators Data'!G10-#REF!)/#REF!</f>
        <v/>
      </c>
      <c r="I8" s="14">
        <f>('Indicators Data'!P10-#REF!)/#REF!</f>
        <v/>
      </c>
      <c r="J8" s="8" t="n"/>
      <c r="K8" s="6">
        <f>('Indicators Data'!U10-#REF!)/#REF!</f>
        <v/>
      </c>
      <c r="L8" s="14">
        <f>('Indicators Data'!Y10-#REF!)/#REF!</f>
        <v/>
      </c>
      <c r="M8" s="14">
        <f>('Indicators Data'!AD10-#REF!)/#REF!</f>
        <v/>
      </c>
      <c r="N8" s="8" t="n"/>
      <c r="O8" s="6">
        <f>('Indicators Data'!#REF!-#REF!)/#REF!</f>
        <v/>
      </c>
      <c r="P8" s="14">
        <f>('Indicators Data'!#REF!-#REF!)/#REF!</f>
        <v/>
      </c>
      <c r="Q8" s="14">
        <f>-('Indicators Data'!#REF!-#REF!)/#REF!</f>
        <v/>
      </c>
      <c r="R8" s="15">
        <f>-('Indicators Data'!#REF!-#REF!)/#REF!</f>
        <v/>
      </c>
      <c r="S8" s="6">
        <f>('Indicators Data'!#REF!-#REF!)/#REF!</f>
        <v/>
      </c>
      <c r="T8" s="14">
        <f>('Indicators Data'!#REF!-#REF!)/#REF!</f>
        <v/>
      </c>
      <c r="U8" s="15">
        <f>('Indicators Data'!#REF!-#REF!)/#REF!</f>
        <v/>
      </c>
      <c r="V8" s="6">
        <f>-('Indicators Data'!#REF!-#REF!)/#REF!</f>
        <v/>
      </c>
      <c r="W8" s="14">
        <f>('Indicators Data'!#REF!-#REF!)/#REF!</f>
        <v/>
      </c>
      <c r="X8" s="8" t="n"/>
      <c r="Y8" s="7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8" t="n"/>
      <c r="AK8" s="28" t="n"/>
      <c r="AL8" s="28" t="n"/>
      <c r="AM8" s="28" t="n"/>
      <c r="AN8" s="28" t="n"/>
      <c r="AO8" s="28" t="n"/>
      <c r="AP8" s="28" t="n"/>
      <c r="AQ8" s="28" t="n"/>
      <c r="AR8" s="28" t="n"/>
      <c r="AS8" s="28" t="n"/>
    </row>
    <row r="9" hidden="1" outlineLevel="1" s="214">
      <c r="A9" s="2" t="inlineStr">
        <is>
          <t>2006 кв.2</t>
        </is>
      </c>
      <c r="B9" s="16" t="n">
        <v>0</v>
      </c>
      <c r="C9" s="18" t="n"/>
      <c r="D9" s="6" t="n"/>
      <c r="E9" s="7" t="n"/>
      <c r="F9" s="7" t="n"/>
      <c r="G9" s="7" t="n"/>
      <c r="H9" s="14">
        <f>('Indicators Data'!G11-#REF!)/#REF!</f>
        <v/>
      </c>
      <c r="I9" s="14">
        <f>('Indicators Data'!P11-#REF!)/#REF!</f>
        <v/>
      </c>
      <c r="J9" s="8" t="n"/>
      <c r="K9" s="6">
        <f>('Indicators Data'!U11-#REF!)/#REF!</f>
        <v/>
      </c>
      <c r="L9" s="14">
        <f>('Indicators Data'!Y11-#REF!)/#REF!</f>
        <v/>
      </c>
      <c r="M9" s="14">
        <f>('Indicators Data'!AD11-#REF!)/#REF!</f>
        <v/>
      </c>
      <c r="N9" s="8" t="n"/>
      <c r="O9" s="6">
        <f>('Indicators Data'!#REF!-#REF!)/#REF!</f>
        <v/>
      </c>
      <c r="P9" s="14">
        <f>('Indicators Data'!#REF!-#REF!)/#REF!</f>
        <v/>
      </c>
      <c r="Q9" s="14">
        <f>-('Indicators Data'!#REF!-#REF!)/#REF!</f>
        <v/>
      </c>
      <c r="R9" s="15">
        <f>-('Indicators Data'!#REF!-#REF!)/#REF!</f>
        <v/>
      </c>
      <c r="S9" s="6">
        <f>('Indicators Data'!#REF!-#REF!)/#REF!</f>
        <v/>
      </c>
      <c r="T9" s="14">
        <f>('Indicators Data'!#REF!-#REF!)/#REF!</f>
        <v/>
      </c>
      <c r="U9" s="15">
        <f>('Indicators Data'!#REF!-#REF!)/#REF!</f>
        <v/>
      </c>
      <c r="V9" s="6">
        <f>-('Indicators Data'!#REF!-#REF!)/#REF!</f>
        <v/>
      </c>
      <c r="W9" s="14">
        <f>('Indicators Data'!#REF!-#REF!)/#REF!</f>
        <v/>
      </c>
      <c r="X9" s="8" t="n"/>
      <c r="Y9" s="7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8" t="n"/>
      <c r="AK9" s="28" t="n"/>
      <c r="AL9" s="28" t="n"/>
      <c r="AM9" s="28" t="n"/>
      <c r="AN9" s="28" t="n"/>
      <c r="AO9" s="28" t="n"/>
      <c r="AP9" s="28" t="n"/>
      <c r="AQ9" s="28" t="n"/>
      <c r="AR9" s="28" t="n"/>
      <c r="AS9" s="28" t="n"/>
    </row>
    <row r="10" hidden="1" outlineLevel="1" s="214">
      <c r="A10" s="2" t="inlineStr">
        <is>
          <t>2006 кв.3</t>
        </is>
      </c>
      <c r="B10" s="16" t="n">
        <v>0</v>
      </c>
      <c r="C10" s="18" t="n"/>
      <c r="D10" s="6" t="n"/>
      <c r="E10" s="7" t="n"/>
      <c r="F10" s="7" t="n"/>
      <c r="G10" s="7" t="n"/>
      <c r="H10" s="14">
        <f>('Indicators Data'!G12-#REF!)/#REF!</f>
        <v/>
      </c>
      <c r="I10" s="14">
        <f>('Indicators Data'!P12-#REF!)/#REF!</f>
        <v/>
      </c>
      <c r="J10" s="8" t="n"/>
      <c r="K10" s="6">
        <f>('Indicators Data'!U12-#REF!)/#REF!</f>
        <v/>
      </c>
      <c r="L10" s="14">
        <f>('Indicators Data'!Y12-#REF!)/#REF!</f>
        <v/>
      </c>
      <c r="M10" s="14">
        <f>('Indicators Data'!AD12-#REF!)/#REF!</f>
        <v/>
      </c>
      <c r="N10" s="8" t="n"/>
      <c r="O10" s="6">
        <f>('Indicators Data'!#REF!-#REF!)/#REF!</f>
        <v/>
      </c>
      <c r="P10" s="14">
        <f>('Indicators Data'!#REF!-#REF!)/#REF!</f>
        <v/>
      </c>
      <c r="Q10" s="14">
        <f>-('Indicators Data'!#REF!-#REF!)/#REF!</f>
        <v/>
      </c>
      <c r="R10" s="15">
        <f>-('Indicators Data'!#REF!-#REF!)/#REF!</f>
        <v/>
      </c>
      <c r="S10" s="6">
        <f>('Indicators Data'!#REF!-#REF!)/#REF!</f>
        <v/>
      </c>
      <c r="T10" s="14">
        <f>('Indicators Data'!#REF!-#REF!)/#REF!</f>
        <v/>
      </c>
      <c r="U10" s="15">
        <f>('Indicators Data'!#REF!-#REF!)/#REF!</f>
        <v/>
      </c>
      <c r="V10" s="6">
        <f>-('Indicators Data'!#REF!-#REF!)/#REF!</f>
        <v/>
      </c>
      <c r="W10" s="14">
        <f>('Indicators Data'!#REF!-#REF!)/#REF!</f>
        <v/>
      </c>
      <c r="X10" s="8" t="n"/>
      <c r="Y10" s="7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8" t="n"/>
      <c r="AK10" s="28" t="n"/>
      <c r="AL10" s="28" t="n"/>
      <c r="AM10" s="28" t="n"/>
      <c r="AN10" s="28" t="n"/>
      <c r="AO10" s="28" t="n"/>
      <c r="AP10" s="28" t="n"/>
      <c r="AQ10" s="28" t="n"/>
      <c r="AR10" s="28" t="n"/>
      <c r="AS10" s="28" t="n"/>
    </row>
    <row r="11" hidden="1" outlineLevel="1" s="214">
      <c r="A11" s="2" t="inlineStr">
        <is>
          <t>2006 кв.4</t>
        </is>
      </c>
      <c r="B11" s="16" t="n">
        <v>0</v>
      </c>
      <c r="C11" s="18" t="n"/>
      <c r="D11" s="6" t="n"/>
      <c r="E11" s="7" t="n"/>
      <c r="F11" s="7" t="n"/>
      <c r="G11" s="7" t="n"/>
      <c r="H11" s="14">
        <f>('Indicators Data'!G13-#REF!)/#REF!</f>
        <v/>
      </c>
      <c r="I11" s="14">
        <f>('Indicators Data'!P13-#REF!)/#REF!</f>
        <v/>
      </c>
      <c r="J11" s="8" t="n"/>
      <c r="K11" s="6">
        <f>('Indicators Data'!U13-#REF!)/#REF!</f>
        <v/>
      </c>
      <c r="L11" s="14">
        <f>('Indicators Data'!Y13-#REF!)/#REF!</f>
        <v/>
      </c>
      <c r="M11" s="14">
        <f>('Indicators Data'!AD13-#REF!)/#REF!</f>
        <v/>
      </c>
      <c r="N11" s="8" t="n"/>
      <c r="O11" s="6">
        <f>('Indicators Data'!#REF!-#REF!)/#REF!</f>
        <v/>
      </c>
      <c r="P11" s="14">
        <f>('Indicators Data'!#REF!-#REF!)/#REF!</f>
        <v/>
      </c>
      <c r="Q11" s="14">
        <f>-('Indicators Data'!#REF!-#REF!)/#REF!</f>
        <v/>
      </c>
      <c r="R11" s="15">
        <f>-('Indicators Data'!#REF!-#REF!)/#REF!</f>
        <v/>
      </c>
      <c r="S11" s="6">
        <f>('Indicators Data'!#REF!-#REF!)/#REF!</f>
        <v/>
      </c>
      <c r="T11" s="14">
        <f>('Indicators Data'!#REF!-#REF!)/#REF!</f>
        <v/>
      </c>
      <c r="U11" s="15">
        <f>('Indicators Data'!#REF!-#REF!)/#REF!</f>
        <v/>
      </c>
      <c r="V11" s="6">
        <f>-('Indicators Data'!#REF!-#REF!)/#REF!</f>
        <v/>
      </c>
      <c r="W11" s="14">
        <f>('Indicators Data'!#REF!-#REF!)/#REF!</f>
        <v/>
      </c>
      <c r="X11" s="8" t="n"/>
      <c r="Y11" s="7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8" t="n"/>
      <c r="AK11" s="28" t="n"/>
      <c r="AL11" s="28" t="n"/>
      <c r="AM11" s="28" t="n"/>
      <c r="AN11" s="28" t="n"/>
      <c r="AO11" s="28" t="n"/>
      <c r="AP11" s="28" t="n"/>
      <c r="AQ11" s="28" t="n"/>
      <c r="AR11" s="28" t="n"/>
      <c r="AS11" s="28" t="n"/>
    </row>
    <row r="12" hidden="1" outlineLevel="1" s="214">
      <c r="A12" s="2" t="inlineStr">
        <is>
          <t>2007 кв.1</t>
        </is>
      </c>
      <c r="B12" s="16" t="n">
        <v>0</v>
      </c>
      <c r="C12" s="18" t="n"/>
      <c r="D12" s="6">
        <f>('Indicators Data'!C14-#REF!)/#REF!</f>
        <v/>
      </c>
      <c r="E12" s="14" t="n"/>
      <c r="F12" s="14">
        <f>('Indicators Data'!E14-#REF!)/#REF!</f>
        <v/>
      </c>
      <c r="G12" s="14">
        <f>('Indicators Data'!F14-#REF!)/#REF!</f>
        <v/>
      </c>
      <c r="H12" s="14">
        <f>('Indicators Data'!G14-#REF!)/#REF!</f>
        <v/>
      </c>
      <c r="I12" s="14">
        <f>('Indicators Data'!P14-#REF!)/#REF!</f>
        <v/>
      </c>
      <c r="J12" s="15">
        <f>('Indicators Data'!T14-#REF!)/#REF!</f>
        <v/>
      </c>
      <c r="K12" s="6">
        <f>('Indicators Data'!U14-#REF!)/#REF!</f>
        <v/>
      </c>
      <c r="L12" s="14">
        <f>('Indicators Data'!Y14-#REF!)/#REF!</f>
        <v/>
      </c>
      <c r="M12" s="14">
        <f>('Indicators Data'!AD14-#REF!)/#REF!</f>
        <v/>
      </c>
      <c r="N12" s="8" t="n"/>
      <c r="O12" s="6">
        <f>('Indicators Data'!#REF!-#REF!)/#REF!</f>
        <v/>
      </c>
      <c r="P12" s="14">
        <f>('Indicators Data'!#REF!-#REF!)/#REF!</f>
        <v/>
      </c>
      <c r="Q12" s="14">
        <f>-('Indicators Data'!#REF!-#REF!)/#REF!</f>
        <v/>
      </c>
      <c r="R12" s="15">
        <f>-('Indicators Data'!#REF!-#REF!)/#REF!</f>
        <v/>
      </c>
      <c r="S12" s="6">
        <f>('Indicators Data'!#REF!-#REF!)/#REF!</f>
        <v/>
      </c>
      <c r="T12" s="14">
        <f>('Indicators Data'!#REF!-#REF!)/#REF!</f>
        <v/>
      </c>
      <c r="U12" s="15">
        <f>('Indicators Data'!#REF!-#REF!)/#REF!</f>
        <v/>
      </c>
      <c r="V12" s="6">
        <f>-('Indicators Data'!#REF!-#REF!)/#REF!</f>
        <v/>
      </c>
      <c r="W12" s="14">
        <f>('Indicators Data'!#REF!-#REF!)/#REF!</f>
        <v/>
      </c>
      <c r="X12" s="8" t="n"/>
      <c r="Y12" s="7" t="n"/>
      <c r="Z12" s="28" t="n"/>
      <c r="AA12" s="28" t="n"/>
      <c r="AB12" s="28" t="n"/>
      <c r="AC12" s="28" t="n"/>
      <c r="AD12" s="28" t="n"/>
      <c r="AE12" s="28" t="n"/>
      <c r="AF12" s="28" t="n"/>
      <c r="AG12" s="28" t="n"/>
      <c r="AH12" s="28" t="n"/>
      <c r="AI12" s="28" t="n"/>
      <c r="AJ12" s="28" t="n"/>
      <c r="AK12" s="28" t="n"/>
      <c r="AL12" s="28" t="n"/>
      <c r="AM12" s="28" t="n"/>
      <c r="AN12" s="28" t="n"/>
      <c r="AO12" s="28" t="n"/>
      <c r="AP12" s="28" t="n"/>
      <c r="AQ12" s="28" t="n"/>
      <c r="AR12" s="28" t="n"/>
      <c r="AS12" s="28" t="n"/>
    </row>
    <row r="13" hidden="1" outlineLevel="1" s="214">
      <c r="A13" s="2" t="inlineStr">
        <is>
          <t>2007 кв.2</t>
        </is>
      </c>
      <c r="B13" s="16" t="n">
        <v>0</v>
      </c>
      <c r="C13" s="18" t="n"/>
      <c r="D13" s="6">
        <f>('Indicators Data'!C15-#REF!)/#REF!</f>
        <v/>
      </c>
      <c r="E13" s="14" t="n"/>
      <c r="F13" s="14">
        <f>('Indicators Data'!E15-#REF!)/#REF!</f>
        <v/>
      </c>
      <c r="G13" s="14">
        <f>('Indicators Data'!F15-#REF!)/#REF!</f>
        <v/>
      </c>
      <c r="H13" s="14">
        <f>('Indicators Data'!G15-#REF!)/#REF!</f>
        <v/>
      </c>
      <c r="I13" s="14">
        <f>('Indicators Data'!P15-#REF!)/#REF!</f>
        <v/>
      </c>
      <c r="J13" s="15">
        <f>('Indicators Data'!T15-#REF!)/#REF!</f>
        <v/>
      </c>
      <c r="K13" s="6">
        <f>('Indicators Data'!U15-#REF!)/#REF!</f>
        <v/>
      </c>
      <c r="L13" s="14">
        <f>('Indicators Data'!Y15-#REF!)/#REF!</f>
        <v/>
      </c>
      <c r="M13" s="14">
        <f>('Indicators Data'!AD15-#REF!)/#REF!</f>
        <v/>
      </c>
      <c r="N13" s="8" t="n"/>
      <c r="O13" s="6">
        <f>('Indicators Data'!#REF!-#REF!)/#REF!</f>
        <v/>
      </c>
      <c r="P13" s="14">
        <f>('Indicators Data'!#REF!-#REF!)/#REF!</f>
        <v/>
      </c>
      <c r="Q13" s="14">
        <f>-('Indicators Data'!#REF!-#REF!)/#REF!</f>
        <v/>
      </c>
      <c r="R13" s="15">
        <f>-('Indicators Data'!#REF!-#REF!)/#REF!</f>
        <v/>
      </c>
      <c r="S13" s="6">
        <f>('Indicators Data'!#REF!-#REF!)/#REF!</f>
        <v/>
      </c>
      <c r="T13" s="14">
        <f>('Indicators Data'!#REF!-#REF!)/#REF!</f>
        <v/>
      </c>
      <c r="U13" s="15">
        <f>('Indicators Data'!#REF!-#REF!)/#REF!</f>
        <v/>
      </c>
      <c r="V13" s="6">
        <f>-('Indicators Data'!#REF!-#REF!)/#REF!</f>
        <v/>
      </c>
      <c r="W13" s="14">
        <f>('Indicators Data'!#REF!-#REF!)/#REF!</f>
        <v/>
      </c>
      <c r="X13" s="8" t="n"/>
      <c r="Y13" s="7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  <c r="AS13" s="28" t="n"/>
    </row>
    <row r="14" hidden="1" outlineLevel="1" s="214">
      <c r="A14" s="2" t="inlineStr">
        <is>
          <t>2007 кв.3</t>
        </is>
      </c>
      <c r="B14" s="16" t="n">
        <v>0</v>
      </c>
      <c r="C14" s="18" t="n"/>
      <c r="D14" s="6">
        <f>('Indicators Data'!C16-#REF!)/#REF!</f>
        <v/>
      </c>
      <c r="E14" s="14" t="n"/>
      <c r="F14" s="14">
        <f>('Indicators Data'!E16-#REF!)/#REF!</f>
        <v/>
      </c>
      <c r="G14" s="14">
        <f>('Indicators Data'!F16-#REF!)/#REF!</f>
        <v/>
      </c>
      <c r="H14" s="14">
        <f>('Indicators Data'!G16-#REF!)/#REF!</f>
        <v/>
      </c>
      <c r="I14" s="14">
        <f>('Indicators Data'!P16-#REF!)/#REF!</f>
        <v/>
      </c>
      <c r="J14" s="15">
        <f>('Indicators Data'!T16-#REF!)/#REF!</f>
        <v/>
      </c>
      <c r="K14" s="6">
        <f>('Indicators Data'!U16-#REF!)/#REF!</f>
        <v/>
      </c>
      <c r="L14" s="14">
        <f>('Indicators Data'!Y16-#REF!)/#REF!</f>
        <v/>
      </c>
      <c r="M14" s="14">
        <f>('Indicators Data'!AD16-#REF!)/#REF!</f>
        <v/>
      </c>
      <c r="N14" s="8" t="n"/>
      <c r="O14" s="6">
        <f>('Indicators Data'!#REF!-#REF!)/#REF!</f>
        <v/>
      </c>
      <c r="P14" s="14">
        <f>('Indicators Data'!#REF!-#REF!)/#REF!</f>
        <v/>
      </c>
      <c r="Q14" s="14">
        <f>-('Indicators Data'!#REF!-#REF!)/#REF!</f>
        <v/>
      </c>
      <c r="R14" s="15">
        <f>-('Indicators Data'!#REF!-#REF!)/#REF!</f>
        <v/>
      </c>
      <c r="S14" s="6">
        <f>('Indicators Data'!#REF!-#REF!)/#REF!</f>
        <v/>
      </c>
      <c r="T14" s="14">
        <f>('Indicators Data'!#REF!-#REF!)/#REF!</f>
        <v/>
      </c>
      <c r="U14" s="15">
        <f>('Indicators Data'!#REF!-#REF!)/#REF!</f>
        <v/>
      </c>
      <c r="V14" s="6">
        <f>-('Indicators Data'!#REF!-#REF!)/#REF!</f>
        <v/>
      </c>
      <c r="W14" s="14">
        <f>('Indicators Data'!#REF!-#REF!)/#REF!</f>
        <v/>
      </c>
      <c r="X14" s="8" t="n"/>
      <c r="Y14" s="7" t="n"/>
      <c r="Z14" s="28" t="n"/>
      <c r="AA14" s="28" t="n"/>
      <c r="AB14" s="28" t="n"/>
      <c r="AC14" s="28" t="n"/>
      <c r="AD14" s="28" t="n"/>
      <c r="AE14" s="28" t="n"/>
      <c r="AF14" s="28" t="n"/>
      <c r="AG14" s="28" t="n"/>
      <c r="AH14" s="28" t="n"/>
      <c r="AI14" s="28" t="n"/>
      <c r="AJ14" s="28" t="n"/>
      <c r="AK14" s="28" t="n"/>
      <c r="AL14" s="28" t="n"/>
      <c r="AM14" s="28" t="n"/>
      <c r="AN14" s="28" t="n"/>
      <c r="AO14" s="28" t="n"/>
      <c r="AP14" s="28" t="n"/>
      <c r="AQ14" s="28" t="n"/>
      <c r="AR14" s="28" t="n"/>
      <c r="AS14" s="28" t="n"/>
    </row>
    <row r="15" hidden="1" outlineLevel="1" s="214">
      <c r="A15" s="2" t="inlineStr">
        <is>
          <t>2007 кв.4</t>
        </is>
      </c>
      <c r="B15" s="16" t="n">
        <v>0</v>
      </c>
      <c r="C15" s="18" t="n"/>
      <c r="D15" s="6">
        <f>('Indicators Data'!C17-#REF!)/#REF!</f>
        <v/>
      </c>
      <c r="E15" s="14" t="n"/>
      <c r="F15" s="14">
        <f>('Indicators Data'!E17-#REF!)/#REF!</f>
        <v/>
      </c>
      <c r="G15" s="14">
        <f>('Indicators Data'!F17-#REF!)/#REF!</f>
        <v/>
      </c>
      <c r="H15" s="14">
        <f>('Indicators Data'!G17-#REF!)/#REF!</f>
        <v/>
      </c>
      <c r="I15" s="14">
        <f>('Indicators Data'!P17-#REF!)/#REF!</f>
        <v/>
      </c>
      <c r="J15" s="15">
        <f>('Indicators Data'!T17-#REF!)/#REF!</f>
        <v/>
      </c>
      <c r="K15" s="6">
        <f>('Indicators Data'!U17-#REF!)/#REF!</f>
        <v/>
      </c>
      <c r="L15" s="14">
        <f>('Indicators Data'!Y17-#REF!)/#REF!</f>
        <v/>
      </c>
      <c r="M15" s="14">
        <f>('Indicators Data'!AD17-#REF!)/#REF!</f>
        <v/>
      </c>
      <c r="N15" s="15">
        <f>('Indicators Data'!#REF!-#REF!)/#REF!</f>
        <v/>
      </c>
      <c r="O15" s="6">
        <f>('Indicators Data'!#REF!-#REF!)/#REF!</f>
        <v/>
      </c>
      <c r="P15" s="14">
        <f>('Indicators Data'!#REF!-#REF!)/#REF!</f>
        <v/>
      </c>
      <c r="Q15" s="14">
        <f>-('Indicators Data'!#REF!-#REF!)/#REF!</f>
        <v/>
      </c>
      <c r="R15" s="15">
        <f>-('Indicators Data'!#REF!-#REF!)/#REF!</f>
        <v/>
      </c>
      <c r="S15" s="6">
        <f>('Indicators Data'!#REF!-#REF!)/#REF!</f>
        <v/>
      </c>
      <c r="T15" s="14">
        <f>('Indicators Data'!#REF!-#REF!)/#REF!</f>
        <v/>
      </c>
      <c r="U15" s="15">
        <f>('Indicators Data'!#REF!-#REF!)/#REF!</f>
        <v/>
      </c>
      <c r="V15" s="6">
        <f>-('Indicators Data'!#REF!-#REF!)/#REF!</f>
        <v/>
      </c>
      <c r="W15" s="14">
        <f>('Indicators Data'!#REF!-#REF!)/#REF!</f>
        <v/>
      </c>
      <c r="X15" s="8" t="n"/>
      <c r="Y15" s="7" t="n"/>
      <c r="Z15" s="28" t="n"/>
      <c r="AA15" s="28" t="n"/>
      <c r="AB15" s="28" t="n"/>
      <c r="AC15" s="28" t="n"/>
      <c r="AD15" s="28" t="n"/>
      <c r="AE15" s="28" t="n"/>
      <c r="AF15" s="28" t="n"/>
      <c r="AG15" s="28" t="n"/>
      <c r="AH15" s="28" t="n"/>
      <c r="AI15" s="28" t="n"/>
      <c r="AJ15" s="28" t="n"/>
      <c r="AK15" s="28" t="n"/>
      <c r="AL15" s="28" t="n"/>
      <c r="AM15" s="28" t="n"/>
      <c r="AN15" s="28" t="n"/>
      <c r="AO15" s="28" t="n"/>
      <c r="AP15" s="28" t="n"/>
      <c r="AQ15" s="28" t="n"/>
      <c r="AR15" s="28" t="n"/>
      <c r="AS15" s="28" t="n"/>
    </row>
    <row r="16" collapsed="1" customFormat="1" s="28">
      <c r="A16" s="20" t="inlineStr">
        <is>
          <t>2008 кв.1</t>
        </is>
      </c>
      <c r="B16" s="21" t="n">
        <v>0</v>
      </c>
      <c r="C16" s="22" t="n">
        <v>2</v>
      </c>
      <c r="D16" s="23">
        <f>('Indicators Data'!C18-#REF!)/#REF!</f>
        <v/>
      </c>
      <c r="E16" s="24">
        <f>('Indicators Data'!D18-#REF!)/#REF!</f>
        <v/>
      </c>
      <c r="F16" s="24">
        <f>('Indicators Data'!E18-#REF!)/#REF!</f>
        <v/>
      </c>
      <c r="G16" s="24">
        <f>('Indicators Data'!F18-#REF!)/#REF!</f>
        <v/>
      </c>
      <c r="H16" s="24">
        <f>('Indicators Data'!G18-#REF!)/#REF!</f>
        <v/>
      </c>
      <c r="I16" s="24">
        <f>('Indicators Data'!P18-#REF!)/#REF!</f>
        <v/>
      </c>
      <c r="J16" s="25">
        <f>('Indicators Data'!T18-#REF!)/#REF!</f>
        <v/>
      </c>
      <c r="K16" s="23">
        <f>('Indicators Data'!U18-#REF!)/#REF!</f>
        <v/>
      </c>
      <c r="L16" s="24">
        <f>('Indicators Data'!Y18-#REF!)/#REF!</f>
        <v/>
      </c>
      <c r="M16" s="24">
        <f>('Indicators Data'!AD18-#REF!)/#REF!</f>
        <v/>
      </c>
      <c r="N16" s="25">
        <f>('Indicators Data'!#REF!-#REF!)/#REF!</f>
        <v/>
      </c>
      <c r="O16" s="23">
        <f>('Indicators Data'!#REF!-#REF!)/#REF!</f>
        <v/>
      </c>
      <c r="P16" s="24">
        <f>('Indicators Data'!#REF!-#REF!)/#REF!</f>
        <v/>
      </c>
      <c r="Q16" s="24">
        <f>-('Indicators Data'!#REF!-#REF!)/#REF!</f>
        <v/>
      </c>
      <c r="R16" s="25">
        <f>-('Indicators Data'!#REF!-#REF!)/#REF!</f>
        <v/>
      </c>
      <c r="S16" s="23">
        <f>('Indicators Data'!#REF!-#REF!)/#REF!</f>
        <v/>
      </c>
      <c r="T16" s="24">
        <f>('Indicators Data'!#REF!-#REF!)/#REF!</f>
        <v/>
      </c>
      <c r="U16" s="25">
        <f>('Indicators Data'!#REF!-#REF!)/#REF!</f>
        <v/>
      </c>
      <c r="V16" s="23">
        <f>-('Indicators Data'!#REF!-#REF!)/#REF!</f>
        <v/>
      </c>
      <c r="W16" s="24">
        <f>('Indicators Data'!#REF!-#REF!)/#REF!</f>
        <v/>
      </c>
      <c r="X16" s="26" t="n"/>
      <c r="Y16" s="27">
        <f>MAX(D16-$C16,-1)*#REF!</f>
        <v/>
      </c>
      <c r="Z16" s="27">
        <f>MAX(E16-$C16,-1)*#REF!</f>
        <v/>
      </c>
      <c r="AA16" s="27">
        <f>MAX(F16-$C16,-1)*#REF!</f>
        <v/>
      </c>
      <c r="AB16" s="27">
        <f>MAX(G16-$C16,-1)*#REF!</f>
        <v/>
      </c>
      <c r="AC16" s="27">
        <f>MAX(H16-$C16,-1)*#REF!</f>
        <v/>
      </c>
      <c r="AD16" s="27">
        <f>MAX(I16-$C16,-1)*#REF!</f>
        <v/>
      </c>
      <c r="AE16" s="27">
        <f>MAX(J16-$C16,-1)*#REF!</f>
        <v/>
      </c>
      <c r="AF16" s="27">
        <f>MAX(K16-$C16,-1)*#REF!</f>
        <v/>
      </c>
      <c r="AG16" s="27">
        <f>MAX(L16-$C16,-1)*#REF!</f>
        <v/>
      </c>
      <c r="AH16" s="27">
        <f>MAX(M16-$C16,-1)*#REF!</f>
        <v/>
      </c>
      <c r="AI16" s="27">
        <f>MAX(N16-$C16,-1)*#REF!</f>
        <v/>
      </c>
      <c r="AJ16" s="27">
        <f>MAX(O16-$C16,-1)*#REF!</f>
        <v/>
      </c>
      <c r="AK16" s="27">
        <f>MAX(P16-$C16,-1)*#REF!</f>
        <v/>
      </c>
      <c r="AL16" s="27">
        <f>MAX(Q16-$C16,-1)*#REF!</f>
        <v/>
      </c>
      <c r="AM16" s="27">
        <f>MAX(R16-$C16,-1)*#REF!</f>
        <v/>
      </c>
      <c r="AN16" s="27">
        <f>MAX(S16-$C16,-1)*#REF!</f>
        <v/>
      </c>
      <c r="AO16" s="27">
        <f>MAX(T16-$C16,-1)*#REF!</f>
        <v/>
      </c>
      <c r="AP16" s="27">
        <f>MAX(U16-$C16,-1)*#REF!</f>
        <v/>
      </c>
      <c r="AQ16" s="27">
        <f>MAX(V16-$C16,-1)*#REF!</f>
        <v/>
      </c>
      <c r="AR16" s="27">
        <f>MAX(W16-$C16,-1)*#REF!</f>
        <v/>
      </c>
      <c r="AS16" s="27">
        <f>MAX(X16-$C16,-1)*#REF!</f>
        <v/>
      </c>
      <c r="AT16" s="29">
        <f>SUM(MAX(Y16:AS16,0))</f>
        <v/>
      </c>
    </row>
    <row r="17">
      <c r="A17" s="2" t="inlineStr">
        <is>
          <t>2008 кв.2</t>
        </is>
      </c>
      <c r="B17" s="16" t="n">
        <v>0</v>
      </c>
      <c r="C17" s="18" t="n">
        <v>2</v>
      </c>
      <c r="D17" s="6">
        <f>('Indicators Data'!C19-#REF!)/#REF!</f>
        <v/>
      </c>
      <c r="E17" s="14">
        <f>('Indicators Data'!D19-#REF!)/#REF!</f>
        <v/>
      </c>
      <c r="F17" s="14">
        <f>('Indicators Data'!E19-#REF!)/#REF!</f>
        <v/>
      </c>
      <c r="G17" s="14">
        <f>('Indicators Data'!F19-#REF!)/#REF!</f>
        <v/>
      </c>
      <c r="H17" s="14">
        <f>('Indicators Data'!G19-#REF!)/#REF!</f>
        <v/>
      </c>
      <c r="I17" s="14">
        <f>('Indicators Data'!P19-#REF!)/#REF!</f>
        <v/>
      </c>
      <c r="J17" s="15">
        <f>('Indicators Data'!T19-#REF!)/#REF!</f>
        <v/>
      </c>
      <c r="K17" s="6">
        <f>('Indicators Data'!U19-#REF!)/#REF!</f>
        <v/>
      </c>
      <c r="L17" s="14">
        <f>('Indicators Data'!Y19-#REF!)/#REF!</f>
        <v/>
      </c>
      <c r="M17" s="14">
        <f>('Indicators Data'!AD19-#REF!)/#REF!</f>
        <v/>
      </c>
      <c r="N17" s="15">
        <f>('Indicators Data'!#REF!-#REF!)/#REF!</f>
        <v/>
      </c>
      <c r="O17" s="6">
        <f>('Indicators Data'!#REF!-#REF!)/#REF!</f>
        <v/>
      </c>
      <c r="P17" s="14">
        <f>('Indicators Data'!#REF!-#REF!)/#REF!</f>
        <v/>
      </c>
      <c r="Q17" s="14">
        <f>-('Indicators Data'!#REF!-#REF!)/#REF!</f>
        <v/>
      </c>
      <c r="R17" s="15">
        <f>-('Indicators Data'!#REF!-#REF!)/#REF!</f>
        <v/>
      </c>
      <c r="S17" s="6">
        <f>('Indicators Data'!#REF!-#REF!)/#REF!</f>
        <v/>
      </c>
      <c r="T17" s="14">
        <f>('Indicators Data'!#REF!-#REF!)/#REF!</f>
        <v/>
      </c>
      <c r="U17" s="15">
        <f>('Indicators Data'!#REF!-#REF!)/#REF!</f>
        <v/>
      </c>
      <c r="V17" s="6">
        <f>-('Indicators Data'!#REF!-#REF!)/#REF!</f>
        <v/>
      </c>
      <c r="W17" s="14">
        <f>('Indicators Data'!#REF!-#REF!)/#REF!</f>
        <v/>
      </c>
      <c r="X17" s="8" t="n"/>
      <c r="Y17" s="27">
        <f>MAX(D17-$C17,-1)*#REF!</f>
        <v/>
      </c>
      <c r="Z17" s="27">
        <f>MAX(E17-$C17,-1)*#REF!</f>
        <v/>
      </c>
      <c r="AA17" s="27">
        <f>MAX(F17-$C17,-1)*#REF!</f>
        <v/>
      </c>
      <c r="AB17" s="27">
        <f>MAX(G17-$C17,-1)*#REF!</f>
        <v/>
      </c>
      <c r="AC17" s="27">
        <f>MAX(H17-$C17,-1)*#REF!</f>
        <v/>
      </c>
      <c r="AD17" s="27">
        <f>MAX(I17-$C17,-1)*#REF!</f>
        <v/>
      </c>
      <c r="AE17" s="27">
        <f>MAX(J17-$C17,-1)*#REF!</f>
        <v/>
      </c>
      <c r="AF17" s="27">
        <f>MAX(K17-$C17,-1)*#REF!</f>
        <v/>
      </c>
      <c r="AG17" s="27">
        <f>MAX(L17-$C17,-1)*#REF!</f>
        <v/>
      </c>
      <c r="AH17" s="27">
        <f>MAX(M17-$C17,-1)*#REF!</f>
        <v/>
      </c>
      <c r="AI17" s="27">
        <f>MAX(N17-$C17,-1)*#REF!</f>
        <v/>
      </c>
      <c r="AJ17" s="27">
        <f>MAX(O17-$C17,-1)*#REF!</f>
        <v/>
      </c>
      <c r="AK17" s="27">
        <f>MAX(P17-$C17,-1)*#REF!</f>
        <v/>
      </c>
      <c r="AL17" s="27">
        <f>MAX(Q17-$C17,-1)*#REF!</f>
        <v/>
      </c>
      <c r="AM17" s="27">
        <f>MAX(R17-$C17,-1)*#REF!</f>
        <v/>
      </c>
      <c r="AN17" s="27">
        <f>MAX(S17-$C17,-1)*#REF!</f>
        <v/>
      </c>
      <c r="AO17" s="27">
        <f>MAX(T17-$C17,-1)*#REF!</f>
        <v/>
      </c>
      <c r="AP17" s="27">
        <f>MAX(U17-$C17,-1)*#REF!</f>
        <v/>
      </c>
      <c r="AQ17" s="27">
        <f>MAX(V17-$C17,-1)*#REF!</f>
        <v/>
      </c>
      <c r="AR17" s="27">
        <f>MAX(W17-$C17,-1)*#REF!</f>
        <v/>
      </c>
      <c r="AS17" s="27">
        <f>MAX(X17-$C17,-1)*#REF!</f>
        <v/>
      </c>
      <c r="AT17" s="29">
        <f>SUM(MAX(Y17:AS17,0))</f>
        <v/>
      </c>
    </row>
    <row r="18">
      <c r="A18" s="2" t="inlineStr">
        <is>
          <t>2008 кв.3</t>
        </is>
      </c>
      <c r="B18" s="16" t="n">
        <v>0</v>
      </c>
      <c r="C18" s="18" t="n">
        <v>2</v>
      </c>
      <c r="D18" s="6">
        <f>('Indicators Data'!C20-#REF!)/#REF!</f>
        <v/>
      </c>
      <c r="E18" s="14">
        <f>('Indicators Data'!D20-#REF!)/#REF!</f>
        <v/>
      </c>
      <c r="F18" s="14">
        <f>('Indicators Data'!E20-#REF!)/#REF!</f>
        <v/>
      </c>
      <c r="G18" s="14">
        <f>('Indicators Data'!F20-#REF!)/#REF!</f>
        <v/>
      </c>
      <c r="H18" s="14">
        <f>('Indicators Data'!G20-#REF!)/#REF!</f>
        <v/>
      </c>
      <c r="I18" s="14">
        <f>('Indicators Data'!P20-#REF!)/#REF!</f>
        <v/>
      </c>
      <c r="J18" s="15">
        <f>('Indicators Data'!T20-#REF!)/#REF!</f>
        <v/>
      </c>
      <c r="K18" s="6">
        <f>('Indicators Data'!U20-#REF!)/#REF!</f>
        <v/>
      </c>
      <c r="L18" s="14">
        <f>('Indicators Data'!Y20-#REF!)/#REF!</f>
        <v/>
      </c>
      <c r="M18" s="14">
        <f>('Indicators Data'!AD20-#REF!)/#REF!</f>
        <v/>
      </c>
      <c r="N18" s="15">
        <f>('Indicators Data'!#REF!-#REF!)/#REF!</f>
        <v/>
      </c>
      <c r="O18" s="6">
        <f>('Indicators Data'!#REF!-#REF!)/#REF!</f>
        <v/>
      </c>
      <c r="P18" s="14">
        <f>('Indicators Data'!#REF!-#REF!)/#REF!</f>
        <v/>
      </c>
      <c r="Q18" s="14">
        <f>-('Indicators Data'!#REF!-#REF!)/#REF!</f>
        <v/>
      </c>
      <c r="R18" s="15">
        <f>-('Indicators Data'!#REF!-#REF!)/#REF!</f>
        <v/>
      </c>
      <c r="S18" s="6">
        <f>('Indicators Data'!#REF!-#REF!)/#REF!</f>
        <v/>
      </c>
      <c r="T18" s="14">
        <f>('Indicators Data'!#REF!-#REF!)/#REF!</f>
        <v/>
      </c>
      <c r="U18" s="15">
        <f>('Indicators Data'!#REF!-#REF!)/#REF!</f>
        <v/>
      </c>
      <c r="V18" s="6">
        <f>-('Indicators Data'!#REF!-#REF!)/#REF!</f>
        <v/>
      </c>
      <c r="W18" s="14">
        <f>('Indicators Data'!#REF!-#REF!)/#REF!</f>
        <v/>
      </c>
      <c r="X18" s="8" t="n"/>
      <c r="Y18" s="27">
        <f>MAX(D18-$C18,-1)*#REF!</f>
        <v/>
      </c>
      <c r="Z18" s="27">
        <f>MAX(E18-$C18,-1)*#REF!</f>
        <v/>
      </c>
      <c r="AA18" s="27">
        <f>MAX(F18-$C18,-1)*#REF!</f>
        <v/>
      </c>
      <c r="AB18" s="27">
        <f>MAX(G18-$C18,-1)*#REF!</f>
        <v/>
      </c>
      <c r="AC18" s="27">
        <f>MAX(H18-$C18,-1)*#REF!</f>
        <v/>
      </c>
      <c r="AD18" s="27">
        <f>MAX(I18-$C18,-1)*#REF!</f>
        <v/>
      </c>
      <c r="AE18" s="27">
        <f>MAX(J18-$C18,-1)*#REF!</f>
        <v/>
      </c>
      <c r="AF18" s="27">
        <f>MAX(K18-$C18,-1)*#REF!</f>
        <v/>
      </c>
      <c r="AG18" s="27">
        <f>MAX(L18-$C18,-1)*#REF!</f>
        <v/>
      </c>
      <c r="AH18" s="27">
        <f>MAX(M18-$C18,-1)*#REF!</f>
        <v/>
      </c>
      <c r="AI18" s="27">
        <f>MAX(N18-$C18,-1)*#REF!</f>
        <v/>
      </c>
      <c r="AJ18" s="27">
        <f>MAX(O18-$C18,-1)*#REF!</f>
        <v/>
      </c>
      <c r="AK18" s="27">
        <f>MAX(P18-$C18,-1)*#REF!</f>
        <v/>
      </c>
      <c r="AL18" s="27">
        <f>MAX(Q18-$C18,-1)*#REF!</f>
        <v/>
      </c>
      <c r="AM18" s="27">
        <f>MAX(R18-$C18,-1)*#REF!</f>
        <v/>
      </c>
      <c r="AN18" s="27">
        <f>MAX(S18-$C18,-1)*#REF!</f>
        <v/>
      </c>
      <c r="AO18" s="27">
        <f>MAX(T18-$C18,-1)*#REF!</f>
        <v/>
      </c>
      <c r="AP18" s="27">
        <f>MAX(U18-$C18,-1)*#REF!</f>
        <v/>
      </c>
      <c r="AQ18" s="27">
        <f>MAX(V18-$C18,-1)*#REF!</f>
        <v/>
      </c>
      <c r="AR18" s="27">
        <f>MAX(W18-$C18,-1)*#REF!</f>
        <v/>
      </c>
      <c r="AS18" s="27">
        <f>MAX(X18-$C18,-1)*#REF!</f>
        <v/>
      </c>
      <c r="AT18" s="29">
        <f>SUM(MAX(Y18:AS18,0))</f>
        <v/>
      </c>
    </row>
    <row r="19">
      <c r="A19" s="2" t="inlineStr">
        <is>
          <t>2008 кв.4</t>
        </is>
      </c>
      <c r="B19" s="16" t="n">
        <v>1</v>
      </c>
      <c r="C19" s="18" t="n">
        <v>2</v>
      </c>
      <c r="D19" s="6">
        <f>('Indicators Data'!C21-#REF!)/#REF!</f>
        <v/>
      </c>
      <c r="E19" s="14">
        <f>('Indicators Data'!D21-#REF!)/#REF!</f>
        <v/>
      </c>
      <c r="F19" s="14">
        <f>('Indicators Data'!E21-#REF!)/#REF!</f>
        <v/>
      </c>
      <c r="G19" s="14">
        <f>('Indicators Data'!F21-#REF!)/#REF!</f>
        <v/>
      </c>
      <c r="H19" s="14">
        <f>('Indicators Data'!G21-#REF!)/#REF!</f>
        <v/>
      </c>
      <c r="I19" s="14">
        <f>('Indicators Data'!P21-#REF!)/#REF!</f>
        <v/>
      </c>
      <c r="J19" s="15">
        <f>('Indicators Data'!T21-#REF!)/#REF!</f>
        <v/>
      </c>
      <c r="K19" s="6">
        <f>('Indicators Data'!U21-#REF!)/#REF!</f>
        <v/>
      </c>
      <c r="L19" s="14">
        <f>('Indicators Data'!Y21-#REF!)/#REF!</f>
        <v/>
      </c>
      <c r="M19" s="14">
        <f>('Indicators Data'!AD21-#REF!)/#REF!</f>
        <v/>
      </c>
      <c r="N19" s="15">
        <f>('Indicators Data'!#REF!-#REF!)/#REF!</f>
        <v/>
      </c>
      <c r="O19" s="6">
        <f>('Indicators Data'!#REF!-#REF!)/#REF!</f>
        <v/>
      </c>
      <c r="P19" s="14">
        <f>('Indicators Data'!#REF!-#REF!)/#REF!</f>
        <v/>
      </c>
      <c r="Q19" s="14">
        <f>-('Indicators Data'!#REF!-#REF!)/#REF!</f>
        <v/>
      </c>
      <c r="R19" s="15">
        <f>-('Indicators Data'!#REF!-#REF!)/#REF!</f>
        <v/>
      </c>
      <c r="S19" s="6">
        <f>('Indicators Data'!#REF!-#REF!)/#REF!</f>
        <v/>
      </c>
      <c r="T19" s="14">
        <f>('Indicators Data'!#REF!-#REF!)/#REF!</f>
        <v/>
      </c>
      <c r="U19" s="15">
        <f>('Indicators Data'!#REF!-#REF!)/#REF!</f>
        <v/>
      </c>
      <c r="V19" s="6">
        <f>-('Indicators Data'!#REF!-#REF!)/#REF!</f>
        <v/>
      </c>
      <c r="W19" s="14">
        <f>('Indicators Data'!#REF!-#REF!)/#REF!</f>
        <v/>
      </c>
      <c r="X19" s="8" t="n"/>
      <c r="Y19" s="27">
        <f>MAX(D19-$C19,-1)*#REF!</f>
        <v/>
      </c>
      <c r="Z19" s="27">
        <f>MAX(E19-$C19,-1)*#REF!</f>
        <v/>
      </c>
      <c r="AA19" s="27">
        <f>MAX(F19-$C19,-1)*#REF!</f>
        <v/>
      </c>
      <c r="AB19" s="27">
        <f>MAX(G19-$C19,-1)*#REF!</f>
        <v/>
      </c>
      <c r="AC19" s="27">
        <f>MAX(H19-$C19,-1)*#REF!</f>
        <v/>
      </c>
      <c r="AD19" s="27">
        <f>MAX(I19-$C19,-1)*#REF!</f>
        <v/>
      </c>
      <c r="AE19" s="27">
        <f>MAX(J19-$C19,-1)*#REF!</f>
        <v/>
      </c>
      <c r="AF19" s="27">
        <f>MAX(K19-$C19,-1)*#REF!</f>
        <v/>
      </c>
      <c r="AG19" s="27">
        <f>MAX(L19-$C19,-1)*#REF!</f>
        <v/>
      </c>
      <c r="AH19" s="27">
        <f>MAX(M19-$C19,-1)*#REF!</f>
        <v/>
      </c>
      <c r="AI19" s="27">
        <f>MAX(N19-$C19,-1)*#REF!</f>
        <v/>
      </c>
      <c r="AJ19" s="27">
        <f>MAX(O19-$C19,-1)*#REF!</f>
        <v/>
      </c>
      <c r="AK19" s="27">
        <f>MAX(P19-$C19,-1)*#REF!</f>
        <v/>
      </c>
      <c r="AL19" s="27">
        <f>MAX(Q19-$C19,-1)*#REF!</f>
        <v/>
      </c>
      <c r="AM19" s="27">
        <f>MAX(R19-$C19,-1)*#REF!</f>
        <v/>
      </c>
      <c r="AN19" s="27">
        <f>MAX(S19-$C19,-1)*#REF!</f>
        <v/>
      </c>
      <c r="AO19" s="27">
        <f>MAX(T19-$C19,-1)*#REF!</f>
        <v/>
      </c>
      <c r="AP19" s="27">
        <f>MAX(U19-$C19,-1)*#REF!</f>
        <v/>
      </c>
      <c r="AQ19" s="27">
        <f>MAX(V19-$C19,-1)*#REF!</f>
        <v/>
      </c>
      <c r="AR19" s="27">
        <f>MAX(W19-$C19,-1)*#REF!</f>
        <v/>
      </c>
      <c r="AS19" s="27">
        <f>MAX(X19-$C19,-1)*#REF!</f>
        <v/>
      </c>
      <c r="AT19" s="29">
        <f>SUM(MAX(Y19:AS19,0))</f>
        <v/>
      </c>
    </row>
    <row r="20">
      <c r="A20" s="2" t="inlineStr">
        <is>
          <t>2009 кв.1</t>
        </is>
      </c>
      <c r="B20" s="16" t="n">
        <v>0</v>
      </c>
      <c r="C20" s="18" t="n">
        <v>2</v>
      </c>
      <c r="D20" s="6">
        <f>('Indicators Data'!C22-#REF!)/#REF!</f>
        <v/>
      </c>
      <c r="E20" s="14">
        <f>('Indicators Data'!D22-#REF!)/#REF!</f>
        <v/>
      </c>
      <c r="F20" s="14">
        <f>('Indicators Data'!E22-#REF!)/#REF!</f>
        <v/>
      </c>
      <c r="G20" s="14">
        <f>('Indicators Data'!F22-#REF!)/#REF!</f>
        <v/>
      </c>
      <c r="H20" s="14">
        <f>('Indicators Data'!G22-#REF!)/#REF!</f>
        <v/>
      </c>
      <c r="I20" s="14">
        <f>('Indicators Data'!P22-#REF!)/#REF!</f>
        <v/>
      </c>
      <c r="J20" s="15">
        <f>('Indicators Data'!T22-#REF!)/#REF!</f>
        <v/>
      </c>
      <c r="K20" s="6">
        <f>('Indicators Data'!U22-#REF!)/#REF!</f>
        <v/>
      </c>
      <c r="L20" s="14">
        <f>('Indicators Data'!Y22-#REF!)/#REF!</f>
        <v/>
      </c>
      <c r="M20" s="14">
        <f>('Indicators Data'!AD22-#REF!)/#REF!</f>
        <v/>
      </c>
      <c r="N20" s="15">
        <f>('Indicators Data'!#REF!-#REF!)/#REF!</f>
        <v/>
      </c>
      <c r="O20" s="6">
        <f>('Indicators Data'!#REF!-#REF!)/#REF!</f>
        <v/>
      </c>
      <c r="P20" s="14">
        <f>('Indicators Data'!#REF!-#REF!)/#REF!</f>
        <v/>
      </c>
      <c r="Q20" s="14">
        <f>-('Indicators Data'!#REF!-#REF!)/#REF!</f>
        <v/>
      </c>
      <c r="R20" s="15">
        <f>-('Indicators Data'!#REF!-#REF!)/#REF!</f>
        <v/>
      </c>
      <c r="S20" s="6">
        <f>('Indicators Data'!#REF!-#REF!)/#REF!</f>
        <v/>
      </c>
      <c r="T20" s="14">
        <f>('Indicators Data'!#REF!-#REF!)/#REF!</f>
        <v/>
      </c>
      <c r="U20" s="15">
        <f>('Indicators Data'!#REF!-#REF!)/#REF!</f>
        <v/>
      </c>
      <c r="V20" s="6">
        <f>-('Indicators Data'!#REF!-#REF!)/#REF!</f>
        <v/>
      </c>
      <c r="W20" s="14">
        <f>('Indicators Data'!#REF!-#REF!)/#REF!</f>
        <v/>
      </c>
      <c r="X20" s="15">
        <f>('Indicators Data'!#REF!-#REF!)/#REF!</f>
        <v/>
      </c>
      <c r="Y20" s="27">
        <f>MAX(D20-$C20,-1)*#REF!</f>
        <v/>
      </c>
      <c r="Z20" s="27">
        <f>MAX(E20-$C20,-1)*#REF!</f>
        <v/>
      </c>
      <c r="AA20" s="27">
        <f>MAX(F20-$C20,-1)*#REF!</f>
        <v/>
      </c>
      <c r="AB20" s="27">
        <f>MAX(G20-$C20,-1)*#REF!</f>
        <v/>
      </c>
      <c r="AC20" s="27">
        <f>MAX(H20-$C20,-1)*#REF!</f>
        <v/>
      </c>
      <c r="AD20" s="27">
        <f>MAX(I20-$C20,-1)*#REF!</f>
        <v/>
      </c>
      <c r="AE20" s="27">
        <f>MAX(J20-$C20,-1)*#REF!</f>
        <v/>
      </c>
      <c r="AF20" s="27">
        <f>MAX(K20-$C20,-1)*#REF!</f>
        <v/>
      </c>
      <c r="AG20" s="27">
        <f>MAX(L20-$C20,-1)*#REF!</f>
        <v/>
      </c>
      <c r="AH20" s="27">
        <f>MAX(M20-$C20,-1)*#REF!</f>
        <v/>
      </c>
      <c r="AI20" s="27">
        <f>MAX(N20-$C20,-1)*#REF!</f>
        <v/>
      </c>
      <c r="AJ20" s="27">
        <f>MAX(O20-$C20,-1)*#REF!</f>
        <v/>
      </c>
      <c r="AK20" s="27">
        <f>MAX(P20-$C20,-1)*#REF!</f>
        <v/>
      </c>
      <c r="AL20" s="27">
        <f>MAX(Q20-$C20,-1)*#REF!</f>
        <v/>
      </c>
      <c r="AM20" s="27">
        <f>MAX(R20-$C20,-1)*#REF!</f>
        <v/>
      </c>
      <c r="AN20" s="27">
        <f>MAX(S20-$C20,-1)*#REF!</f>
        <v/>
      </c>
      <c r="AO20" s="27">
        <f>MAX(T20-$C20,-1)*#REF!</f>
        <v/>
      </c>
      <c r="AP20" s="27">
        <f>MAX(U20-$C20,-1)*#REF!</f>
        <v/>
      </c>
      <c r="AQ20" s="27">
        <f>MAX(V20-$C20,-1)*#REF!</f>
        <v/>
      </c>
      <c r="AR20" s="27">
        <f>MAX(W20-$C20,-1)*#REF!</f>
        <v/>
      </c>
      <c r="AS20" s="27">
        <f>MAX(X20-$C20,-1)*#REF!</f>
        <v/>
      </c>
      <c r="AT20" s="29">
        <f>SUM(MAX(Y20:AS20,0))</f>
        <v/>
      </c>
    </row>
    <row r="21">
      <c r="A21" s="2" t="inlineStr">
        <is>
          <t>2009 кв.2</t>
        </is>
      </c>
      <c r="B21" s="16" t="n">
        <v>0</v>
      </c>
      <c r="C21" s="18" t="n">
        <v>2</v>
      </c>
      <c r="D21" s="6">
        <f>('Indicators Data'!C23-#REF!)/#REF!</f>
        <v/>
      </c>
      <c r="E21" s="14">
        <f>('Indicators Data'!D23-#REF!)/#REF!</f>
        <v/>
      </c>
      <c r="F21" s="14">
        <f>('Indicators Data'!E23-#REF!)/#REF!</f>
        <v/>
      </c>
      <c r="G21" s="14">
        <f>('Indicators Data'!F23-#REF!)/#REF!</f>
        <v/>
      </c>
      <c r="H21" s="14">
        <f>('Indicators Data'!G23-#REF!)/#REF!</f>
        <v/>
      </c>
      <c r="I21" s="14">
        <f>('Indicators Data'!P23-#REF!)/#REF!</f>
        <v/>
      </c>
      <c r="J21" s="15">
        <f>('Indicators Data'!T23-#REF!)/#REF!</f>
        <v/>
      </c>
      <c r="K21" s="6">
        <f>('Indicators Data'!U23-#REF!)/#REF!</f>
        <v/>
      </c>
      <c r="L21" s="14">
        <f>('Indicators Data'!Y23-#REF!)/#REF!</f>
        <v/>
      </c>
      <c r="M21" s="14">
        <f>('Indicators Data'!AD23-#REF!)/#REF!</f>
        <v/>
      </c>
      <c r="N21" s="15">
        <f>('Indicators Data'!#REF!-#REF!)/#REF!</f>
        <v/>
      </c>
      <c r="O21" s="6">
        <f>('Indicators Data'!#REF!-#REF!)/#REF!</f>
        <v/>
      </c>
      <c r="P21" s="14">
        <f>('Indicators Data'!#REF!-#REF!)/#REF!</f>
        <v/>
      </c>
      <c r="Q21" s="14">
        <f>-('Indicators Data'!#REF!-#REF!)/#REF!</f>
        <v/>
      </c>
      <c r="R21" s="15">
        <f>-('Indicators Data'!#REF!-#REF!)/#REF!</f>
        <v/>
      </c>
      <c r="S21" s="6">
        <f>('Indicators Data'!#REF!-#REF!)/#REF!</f>
        <v/>
      </c>
      <c r="T21" s="14">
        <f>('Indicators Data'!#REF!-#REF!)/#REF!</f>
        <v/>
      </c>
      <c r="U21" s="15">
        <f>('Indicators Data'!#REF!-#REF!)/#REF!</f>
        <v/>
      </c>
      <c r="V21" s="6">
        <f>-('Indicators Data'!#REF!-#REF!)/#REF!</f>
        <v/>
      </c>
      <c r="W21" s="14">
        <f>('Indicators Data'!#REF!-#REF!)/#REF!</f>
        <v/>
      </c>
      <c r="X21" s="15">
        <f>('Indicators Data'!#REF!-#REF!)/#REF!</f>
        <v/>
      </c>
      <c r="Y21" s="27">
        <f>MAX(D21-$C21,-1)*#REF!</f>
        <v/>
      </c>
      <c r="Z21" s="27">
        <f>MAX(E21-$C21,-1)*#REF!</f>
        <v/>
      </c>
      <c r="AA21" s="27">
        <f>MAX(F21-$C21,-1)*#REF!</f>
        <v/>
      </c>
      <c r="AB21" s="27">
        <f>MAX(G21-$C21,-1)*#REF!</f>
        <v/>
      </c>
      <c r="AC21" s="27">
        <f>MAX(H21-$C21,-1)*#REF!</f>
        <v/>
      </c>
      <c r="AD21" s="27">
        <f>MAX(I21-$C21,-1)*#REF!</f>
        <v/>
      </c>
      <c r="AE21" s="27">
        <f>MAX(J21-$C21,-1)*#REF!</f>
        <v/>
      </c>
      <c r="AF21" s="27">
        <f>MAX(K21-$C21,-1)*#REF!</f>
        <v/>
      </c>
      <c r="AG21" s="27">
        <f>MAX(L21-$C21,-1)*#REF!</f>
        <v/>
      </c>
      <c r="AH21" s="27">
        <f>MAX(M21-$C21,-1)*#REF!</f>
        <v/>
      </c>
      <c r="AI21" s="27">
        <f>MAX(N21-$C21,-1)*#REF!</f>
        <v/>
      </c>
      <c r="AJ21" s="27">
        <f>MAX(O21-$C21,-1)*#REF!</f>
        <v/>
      </c>
      <c r="AK21" s="27">
        <f>MAX(P21-$C21,-1)*#REF!</f>
        <v/>
      </c>
      <c r="AL21" s="27">
        <f>MAX(Q21-$C21,-1)*#REF!</f>
        <v/>
      </c>
      <c r="AM21" s="27">
        <f>MAX(R21-$C21,-1)*#REF!</f>
        <v/>
      </c>
      <c r="AN21" s="27">
        <f>MAX(S21-$C21,-1)*#REF!</f>
        <v/>
      </c>
      <c r="AO21" s="27">
        <f>MAX(T21-$C21,-1)*#REF!</f>
        <v/>
      </c>
      <c r="AP21" s="27">
        <f>MAX(U21-$C21,-1)*#REF!</f>
        <v/>
      </c>
      <c r="AQ21" s="27">
        <f>MAX(V21-$C21,-1)*#REF!</f>
        <v/>
      </c>
      <c r="AR21" s="27">
        <f>MAX(W21-$C21,-1)*#REF!</f>
        <v/>
      </c>
      <c r="AS21" s="27">
        <f>MAX(X21-$C21,-1)*#REF!</f>
        <v/>
      </c>
      <c r="AT21" s="29">
        <f>SUM(MAX(Y21:AS21,0))</f>
        <v/>
      </c>
    </row>
    <row r="22">
      <c r="A22" s="2" t="inlineStr">
        <is>
          <t>2009 кв.3</t>
        </is>
      </c>
      <c r="B22" s="16" t="n">
        <v>0</v>
      </c>
      <c r="C22" s="18" t="n">
        <v>2</v>
      </c>
      <c r="D22" s="6">
        <f>('Indicators Data'!C24-#REF!)/#REF!</f>
        <v/>
      </c>
      <c r="E22" s="14">
        <f>('Indicators Data'!D24-#REF!)/#REF!</f>
        <v/>
      </c>
      <c r="F22" s="14">
        <f>('Indicators Data'!E24-#REF!)/#REF!</f>
        <v/>
      </c>
      <c r="G22" s="14">
        <f>('Indicators Data'!F24-#REF!)/#REF!</f>
        <v/>
      </c>
      <c r="H22" s="14">
        <f>('Indicators Data'!G24-#REF!)/#REF!</f>
        <v/>
      </c>
      <c r="I22" s="14">
        <f>('Indicators Data'!P24-#REF!)/#REF!</f>
        <v/>
      </c>
      <c r="J22" s="15">
        <f>('Indicators Data'!T24-#REF!)/#REF!</f>
        <v/>
      </c>
      <c r="K22" s="6">
        <f>('Indicators Data'!U24-#REF!)/#REF!</f>
        <v/>
      </c>
      <c r="L22" s="14">
        <f>('Indicators Data'!Y24-#REF!)/#REF!</f>
        <v/>
      </c>
      <c r="M22" s="14">
        <f>('Indicators Data'!AD24-#REF!)/#REF!</f>
        <v/>
      </c>
      <c r="N22" s="15">
        <f>('Indicators Data'!#REF!-#REF!)/#REF!</f>
        <v/>
      </c>
      <c r="O22" s="6">
        <f>('Indicators Data'!#REF!-#REF!)/#REF!</f>
        <v/>
      </c>
      <c r="P22" s="14">
        <f>('Indicators Data'!#REF!-#REF!)/#REF!</f>
        <v/>
      </c>
      <c r="Q22" s="14">
        <f>-('Indicators Data'!#REF!-#REF!)/#REF!</f>
        <v/>
      </c>
      <c r="R22" s="15">
        <f>-('Indicators Data'!#REF!-#REF!)/#REF!</f>
        <v/>
      </c>
      <c r="S22" s="6">
        <f>('Indicators Data'!#REF!-#REF!)/#REF!</f>
        <v/>
      </c>
      <c r="T22" s="14">
        <f>('Indicators Data'!#REF!-#REF!)/#REF!</f>
        <v/>
      </c>
      <c r="U22" s="15">
        <f>('Indicators Data'!#REF!-#REF!)/#REF!</f>
        <v/>
      </c>
      <c r="V22" s="6">
        <f>-('Indicators Data'!#REF!-#REF!)/#REF!</f>
        <v/>
      </c>
      <c r="W22" s="14">
        <f>('Indicators Data'!#REF!-#REF!)/#REF!</f>
        <v/>
      </c>
      <c r="X22" s="15">
        <f>('Indicators Data'!#REF!-#REF!)/#REF!</f>
        <v/>
      </c>
      <c r="Y22" s="27">
        <f>MAX(D22-$C22,-1)*#REF!</f>
        <v/>
      </c>
      <c r="Z22" s="27">
        <f>MAX(E22-$C22,-1)*#REF!</f>
        <v/>
      </c>
      <c r="AA22" s="27">
        <f>MAX(F22-$C22,-1)*#REF!</f>
        <v/>
      </c>
      <c r="AB22" s="27">
        <f>MAX(G22-$C22,-1)*#REF!</f>
        <v/>
      </c>
      <c r="AC22" s="27">
        <f>MAX(H22-$C22,-1)*#REF!</f>
        <v/>
      </c>
      <c r="AD22" s="27">
        <f>MAX(I22-$C22,-1)*#REF!</f>
        <v/>
      </c>
      <c r="AE22" s="27">
        <f>MAX(J22-$C22,-1)*#REF!</f>
        <v/>
      </c>
      <c r="AF22" s="27">
        <f>MAX(K22-$C22,-1)*#REF!</f>
        <v/>
      </c>
      <c r="AG22" s="27">
        <f>MAX(L22-$C22,-1)*#REF!</f>
        <v/>
      </c>
      <c r="AH22" s="27">
        <f>MAX(M22-$C22,-1)*#REF!</f>
        <v/>
      </c>
      <c r="AI22" s="27">
        <f>MAX(N22-$C22,-1)*#REF!</f>
        <v/>
      </c>
      <c r="AJ22" s="27">
        <f>MAX(O22-$C22,-1)*#REF!</f>
        <v/>
      </c>
      <c r="AK22" s="27">
        <f>MAX(P22-$C22,-1)*#REF!</f>
        <v/>
      </c>
      <c r="AL22" s="27">
        <f>MAX(Q22-$C22,-1)*#REF!</f>
        <v/>
      </c>
      <c r="AM22" s="27">
        <f>MAX(R22-$C22,-1)*#REF!</f>
        <v/>
      </c>
      <c r="AN22" s="27">
        <f>MAX(S22-$C22,-1)*#REF!</f>
        <v/>
      </c>
      <c r="AO22" s="27">
        <f>MAX(T22-$C22,-1)*#REF!</f>
        <v/>
      </c>
      <c r="AP22" s="27">
        <f>MAX(U22-$C22,-1)*#REF!</f>
        <v/>
      </c>
      <c r="AQ22" s="27">
        <f>MAX(V22-$C22,-1)*#REF!</f>
        <v/>
      </c>
      <c r="AR22" s="27">
        <f>MAX(W22-$C22,-1)*#REF!</f>
        <v/>
      </c>
      <c r="AS22" s="27">
        <f>MAX(X22-$C22,-1)*#REF!</f>
        <v/>
      </c>
      <c r="AT22" s="29">
        <f>SUM(MAX(Y22:AS22,0))</f>
        <v/>
      </c>
    </row>
    <row r="23">
      <c r="A23" s="2" t="inlineStr">
        <is>
          <t>2009 кв.4</t>
        </is>
      </c>
      <c r="B23" s="16" t="n">
        <v>0</v>
      </c>
      <c r="C23" s="18" t="n">
        <v>2</v>
      </c>
      <c r="D23" s="6">
        <f>('Indicators Data'!C25-#REF!)/#REF!</f>
        <v/>
      </c>
      <c r="E23" s="14">
        <f>('Indicators Data'!D25-#REF!)/#REF!</f>
        <v/>
      </c>
      <c r="F23" s="14">
        <f>('Indicators Data'!E25-#REF!)/#REF!</f>
        <v/>
      </c>
      <c r="G23" s="14">
        <f>('Indicators Data'!F25-#REF!)/#REF!</f>
        <v/>
      </c>
      <c r="H23" s="14">
        <f>('Indicators Data'!G25-#REF!)/#REF!</f>
        <v/>
      </c>
      <c r="I23" s="14">
        <f>('Indicators Data'!P25-#REF!)/#REF!</f>
        <v/>
      </c>
      <c r="J23" s="15">
        <f>('Indicators Data'!T25-#REF!)/#REF!</f>
        <v/>
      </c>
      <c r="K23" s="6">
        <f>('Indicators Data'!U25-#REF!)/#REF!</f>
        <v/>
      </c>
      <c r="L23" s="14">
        <f>('Indicators Data'!Y25-#REF!)/#REF!</f>
        <v/>
      </c>
      <c r="M23" s="14">
        <f>('Indicators Data'!AD25-#REF!)/#REF!</f>
        <v/>
      </c>
      <c r="N23" s="15">
        <f>('Indicators Data'!#REF!-#REF!)/#REF!</f>
        <v/>
      </c>
      <c r="O23" s="6">
        <f>('Indicators Data'!#REF!-#REF!)/#REF!</f>
        <v/>
      </c>
      <c r="P23" s="14">
        <f>('Indicators Data'!#REF!-#REF!)/#REF!</f>
        <v/>
      </c>
      <c r="Q23" s="14">
        <f>-('Indicators Data'!#REF!-#REF!)/#REF!</f>
        <v/>
      </c>
      <c r="R23" s="15">
        <f>-('Indicators Data'!#REF!-#REF!)/#REF!</f>
        <v/>
      </c>
      <c r="S23" s="6">
        <f>('Indicators Data'!#REF!-#REF!)/#REF!</f>
        <v/>
      </c>
      <c r="T23" s="14">
        <f>('Indicators Data'!#REF!-#REF!)/#REF!</f>
        <v/>
      </c>
      <c r="U23" s="15">
        <f>('Indicators Data'!#REF!-#REF!)/#REF!</f>
        <v/>
      </c>
      <c r="V23" s="6">
        <f>-('Indicators Data'!#REF!-#REF!)/#REF!</f>
        <v/>
      </c>
      <c r="W23" s="14">
        <f>('Indicators Data'!#REF!-#REF!)/#REF!</f>
        <v/>
      </c>
      <c r="X23" s="15">
        <f>('Indicators Data'!#REF!-#REF!)/#REF!</f>
        <v/>
      </c>
      <c r="Y23" s="27">
        <f>MAX(D23-$C23,-1)*#REF!</f>
        <v/>
      </c>
      <c r="Z23" s="27">
        <f>MAX(E23-$C23,-1)*#REF!</f>
        <v/>
      </c>
      <c r="AA23" s="27">
        <f>MAX(F23-$C23,-1)*#REF!</f>
        <v/>
      </c>
      <c r="AB23" s="27">
        <f>MAX(G23-$C23,-1)*#REF!</f>
        <v/>
      </c>
      <c r="AC23" s="27">
        <f>MAX(H23-$C23,-1)*#REF!</f>
        <v/>
      </c>
      <c r="AD23" s="27">
        <f>MAX(I23-$C23,-1)*#REF!</f>
        <v/>
      </c>
      <c r="AE23" s="27">
        <f>MAX(J23-$C23,-1)*#REF!</f>
        <v/>
      </c>
      <c r="AF23" s="27">
        <f>MAX(K23-$C23,-1)*#REF!</f>
        <v/>
      </c>
      <c r="AG23" s="27">
        <f>MAX(L23-$C23,-1)*#REF!</f>
        <v/>
      </c>
      <c r="AH23" s="27">
        <f>MAX(M23-$C23,-1)*#REF!</f>
        <v/>
      </c>
      <c r="AI23" s="27">
        <f>MAX(N23-$C23,-1)*#REF!</f>
        <v/>
      </c>
      <c r="AJ23" s="27">
        <f>MAX(O23-$C23,-1)*#REF!</f>
        <v/>
      </c>
      <c r="AK23" s="27">
        <f>MAX(P23-$C23,-1)*#REF!</f>
        <v/>
      </c>
      <c r="AL23" s="27">
        <f>MAX(Q23-$C23,-1)*#REF!</f>
        <v/>
      </c>
      <c r="AM23" s="27">
        <f>MAX(R23-$C23,-1)*#REF!</f>
        <v/>
      </c>
      <c r="AN23" s="27">
        <f>MAX(S23-$C23,-1)*#REF!</f>
        <v/>
      </c>
      <c r="AO23" s="27">
        <f>MAX(T23-$C23,-1)*#REF!</f>
        <v/>
      </c>
      <c r="AP23" s="27">
        <f>MAX(U23-$C23,-1)*#REF!</f>
        <v/>
      </c>
      <c r="AQ23" s="27">
        <f>MAX(V23-$C23,-1)*#REF!</f>
        <v/>
      </c>
      <c r="AR23" s="27">
        <f>MAX(W23-$C23,-1)*#REF!</f>
        <v/>
      </c>
      <c r="AS23" s="27">
        <f>MAX(X23-$C23,-1)*#REF!</f>
        <v/>
      </c>
      <c r="AT23" s="29">
        <f>SUM(MAX(Y23:AS23,0))</f>
        <v/>
      </c>
    </row>
    <row r="24">
      <c r="A24" s="2" t="inlineStr">
        <is>
          <t>2010 кв.1</t>
        </is>
      </c>
      <c r="B24" s="16" t="n">
        <v>0</v>
      </c>
      <c r="C24" s="18" t="n">
        <v>2</v>
      </c>
      <c r="D24" s="6">
        <f>('Indicators Data'!C26-#REF!)/#REF!</f>
        <v/>
      </c>
      <c r="E24" s="14">
        <f>('Indicators Data'!D26-#REF!)/#REF!</f>
        <v/>
      </c>
      <c r="F24" s="14">
        <f>('Indicators Data'!E26-#REF!)/#REF!</f>
        <v/>
      </c>
      <c r="G24" s="14">
        <f>('Indicators Data'!F26-#REF!)/#REF!</f>
        <v/>
      </c>
      <c r="H24" s="14">
        <f>('Indicators Data'!G26-#REF!)/#REF!</f>
        <v/>
      </c>
      <c r="I24" s="14">
        <f>('Indicators Data'!P26-#REF!)/#REF!</f>
        <v/>
      </c>
      <c r="J24" s="15">
        <f>('Indicators Data'!T26-#REF!)/#REF!</f>
        <v/>
      </c>
      <c r="K24" s="6">
        <f>('Indicators Data'!U26-#REF!)/#REF!</f>
        <v/>
      </c>
      <c r="L24" s="14">
        <f>('Indicators Data'!Y26-#REF!)/#REF!</f>
        <v/>
      </c>
      <c r="M24" s="14">
        <f>('Indicators Data'!AD26-#REF!)/#REF!</f>
        <v/>
      </c>
      <c r="N24" s="15">
        <f>('Indicators Data'!#REF!-#REF!)/#REF!</f>
        <v/>
      </c>
      <c r="O24" s="6">
        <f>('Indicators Data'!#REF!-#REF!)/#REF!</f>
        <v/>
      </c>
      <c r="P24" s="14">
        <f>('Indicators Data'!#REF!-#REF!)/#REF!</f>
        <v/>
      </c>
      <c r="Q24" s="14">
        <f>-('Indicators Data'!#REF!-#REF!)/#REF!</f>
        <v/>
      </c>
      <c r="R24" s="15">
        <f>-('Indicators Data'!#REF!-#REF!)/#REF!</f>
        <v/>
      </c>
      <c r="S24" s="6">
        <f>('Indicators Data'!#REF!-#REF!)/#REF!</f>
        <v/>
      </c>
      <c r="T24" s="14">
        <f>('Indicators Data'!#REF!-#REF!)/#REF!</f>
        <v/>
      </c>
      <c r="U24" s="15">
        <f>('Indicators Data'!#REF!-#REF!)/#REF!</f>
        <v/>
      </c>
      <c r="V24" s="6">
        <f>-('Indicators Data'!#REF!-#REF!)/#REF!</f>
        <v/>
      </c>
      <c r="W24" s="14">
        <f>('Indicators Data'!#REF!-#REF!)/#REF!</f>
        <v/>
      </c>
      <c r="X24" s="15">
        <f>('Indicators Data'!#REF!-#REF!)/#REF!</f>
        <v/>
      </c>
      <c r="Y24" s="27">
        <f>MAX(D24-$C24,-1)*#REF!</f>
        <v/>
      </c>
      <c r="Z24" s="27">
        <f>MAX(E24-$C24,-1)*#REF!</f>
        <v/>
      </c>
      <c r="AA24" s="27">
        <f>MAX(F24-$C24,-1)*#REF!</f>
        <v/>
      </c>
      <c r="AB24" s="27">
        <f>MAX(G24-$C24,-1)*#REF!</f>
        <v/>
      </c>
      <c r="AC24" s="27">
        <f>MAX(H24-$C24,-1)*#REF!</f>
        <v/>
      </c>
      <c r="AD24" s="27">
        <f>MAX(I24-$C24,-1)*#REF!</f>
        <v/>
      </c>
      <c r="AE24" s="27">
        <f>MAX(J24-$C24,-1)*#REF!</f>
        <v/>
      </c>
      <c r="AF24" s="27">
        <f>MAX(K24-$C24,-1)*#REF!</f>
        <v/>
      </c>
      <c r="AG24" s="27">
        <f>MAX(L24-$C24,-1)*#REF!</f>
        <v/>
      </c>
      <c r="AH24" s="27">
        <f>MAX(M24-$C24,-1)*#REF!</f>
        <v/>
      </c>
      <c r="AI24" s="27">
        <f>MAX(N24-$C24,-1)*#REF!</f>
        <v/>
      </c>
      <c r="AJ24" s="27">
        <f>MAX(O24-$C24,-1)*#REF!</f>
        <v/>
      </c>
      <c r="AK24" s="27">
        <f>MAX(P24-$C24,-1)*#REF!</f>
        <v/>
      </c>
      <c r="AL24" s="27">
        <f>MAX(Q24-$C24,-1)*#REF!</f>
        <v/>
      </c>
      <c r="AM24" s="27">
        <f>MAX(R24-$C24,-1)*#REF!</f>
        <v/>
      </c>
      <c r="AN24" s="27">
        <f>MAX(S24-$C24,-1)*#REF!</f>
        <v/>
      </c>
      <c r="AO24" s="27">
        <f>MAX(T24-$C24,-1)*#REF!</f>
        <v/>
      </c>
      <c r="AP24" s="27">
        <f>MAX(U24-$C24,-1)*#REF!</f>
        <v/>
      </c>
      <c r="AQ24" s="27">
        <f>MAX(V24-$C24,-1)*#REF!</f>
        <v/>
      </c>
      <c r="AR24" s="27">
        <f>MAX(W24-$C24,-1)*#REF!</f>
        <v/>
      </c>
      <c r="AS24" s="27">
        <f>MAX(X24-$C24,-1)*#REF!</f>
        <v/>
      </c>
      <c r="AT24" s="29">
        <f>SUM(MAX(Y24:AS24,0))</f>
        <v/>
      </c>
    </row>
    <row r="25">
      <c r="A25" s="2" t="inlineStr">
        <is>
          <t>2010 кв.2</t>
        </is>
      </c>
      <c r="B25" s="16" t="n">
        <v>0</v>
      </c>
      <c r="C25" s="18" t="n">
        <v>2</v>
      </c>
      <c r="D25" s="6">
        <f>('Indicators Data'!C27-#REF!)/#REF!</f>
        <v/>
      </c>
      <c r="E25" s="14">
        <f>('Indicators Data'!D27-#REF!)/#REF!</f>
        <v/>
      </c>
      <c r="F25" s="14">
        <f>('Indicators Data'!E27-#REF!)/#REF!</f>
        <v/>
      </c>
      <c r="G25" s="14">
        <f>('Indicators Data'!F27-#REF!)/#REF!</f>
        <v/>
      </c>
      <c r="H25" s="14">
        <f>('Indicators Data'!G27-#REF!)/#REF!</f>
        <v/>
      </c>
      <c r="I25" s="14">
        <f>('Indicators Data'!P27-#REF!)/#REF!</f>
        <v/>
      </c>
      <c r="J25" s="15">
        <f>('Indicators Data'!T27-#REF!)/#REF!</f>
        <v/>
      </c>
      <c r="K25" s="6">
        <f>('Indicators Data'!U27-#REF!)/#REF!</f>
        <v/>
      </c>
      <c r="L25" s="14">
        <f>('Indicators Data'!Y27-#REF!)/#REF!</f>
        <v/>
      </c>
      <c r="M25" s="14">
        <f>('Indicators Data'!AD27-#REF!)/#REF!</f>
        <v/>
      </c>
      <c r="N25" s="15">
        <f>('Indicators Data'!#REF!-#REF!)/#REF!</f>
        <v/>
      </c>
      <c r="O25" s="6">
        <f>('Indicators Data'!#REF!-#REF!)/#REF!</f>
        <v/>
      </c>
      <c r="P25" s="14">
        <f>('Indicators Data'!#REF!-#REF!)/#REF!</f>
        <v/>
      </c>
      <c r="Q25" s="14">
        <f>-('Indicators Data'!#REF!-#REF!)/#REF!</f>
        <v/>
      </c>
      <c r="R25" s="15">
        <f>-('Indicators Data'!#REF!-#REF!)/#REF!</f>
        <v/>
      </c>
      <c r="S25" s="6">
        <f>('Indicators Data'!#REF!-#REF!)/#REF!</f>
        <v/>
      </c>
      <c r="T25" s="14">
        <f>('Indicators Data'!#REF!-#REF!)/#REF!</f>
        <v/>
      </c>
      <c r="U25" s="15">
        <f>('Indicators Data'!#REF!-#REF!)/#REF!</f>
        <v/>
      </c>
      <c r="V25" s="6">
        <f>-('Indicators Data'!#REF!-#REF!)/#REF!</f>
        <v/>
      </c>
      <c r="W25" s="14">
        <f>('Indicators Data'!#REF!-#REF!)/#REF!</f>
        <v/>
      </c>
      <c r="X25" s="15">
        <f>('Indicators Data'!#REF!-#REF!)/#REF!</f>
        <v/>
      </c>
      <c r="Y25" s="27">
        <f>MAX(D25-$C25,-1)*#REF!</f>
        <v/>
      </c>
      <c r="Z25" s="27">
        <f>MAX(E25-$C25,-1)*#REF!</f>
        <v/>
      </c>
      <c r="AA25" s="27">
        <f>MAX(F25-$C25,-1)*#REF!</f>
        <v/>
      </c>
      <c r="AB25" s="27">
        <f>MAX(G25-$C25,-1)*#REF!</f>
        <v/>
      </c>
      <c r="AC25" s="27">
        <f>MAX(H25-$C25,-1)*#REF!</f>
        <v/>
      </c>
      <c r="AD25" s="27">
        <f>MAX(I25-$C25,-1)*#REF!</f>
        <v/>
      </c>
      <c r="AE25" s="27">
        <f>MAX(J25-$C25,-1)*#REF!</f>
        <v/>
      </c>
      <c r="AF25" s="27">
        <f>MAX(K25-$C25,-1)*#REF!</f>
        <v/>
      </c>
      <c r="AG25" s="27">
        <f>MAX(L25-$C25,-1)*#REF!</f>
        <v/>
      </c>
      <c r="AH25" s="27">
        <f>MAX(M25-$C25,-1)*#REF!</f>
        <v/>
      </c>
      <c r="AI25" s="27">
        <f>MAX(N25-$C25,-1)*#REF!</f>
        <v/>
      </c>
      <c r="AJ25" s="27">
        <f>MAX(O25-$C25,-1)*#REF!</f>
        <v/>
      </c>
      <c r="AK25" s="27">
        <f>MAX(P25-$C25,-1)*#REF!</f>
        <v/>
      </c>
      <c r="AL25" s="27">
        <f>MAX(Q25-$C25,-1)*#REF!</f>
        <v/>
      </c>
      <c r="AM25" s="27">
        <f>MAX(R25-$C25,-1)*#REF!</f>
        <v/>
      </c>
      <c r="AN25" s="27">
        <f>MAX(S25-$C25,-1)*#REF!</f>
        <v/>
      </c>
      <c r="AO25" s="27">
        <f>MAX(T25-$C25,-1)*#REF!</f>
        <v/>
      </c>
      <c r="AP25" s="27">
        <f>MAX(U25-$C25,-1)*#REF!</f>
        <v/>
      </c>
      <c r="AQ25" s="27">
        <f>MAX(V25-$C25,-1)*#REF!</f>
        <v/>
      </c>
      <c r="AR25" s="27">
        <f>MAX(W25-$C25,-1)*#REF!</f>
        <v/>
      </c>
      <c r="AS25" s="27">
        <f>MAX(X25-$C25,-1)*#REF!</f>
        <v/>
      </c>
      <c r="AT25" s="29">
        <f>SUM(MAX(Y25:AS25,0))</f>
        <v/>
      </c>
    </row>
    <row r="26">
      <c r="A26" s="2" t="inlineStr">
        <is>
          <t>2010 кв.3</t>
        </is>
      </c>
      <c r="B26" s="16" t="n">
        <v>0</v>
      </c>
      <c r="C26" s="18" t="n">
        <v>2</v>
      </c>
      <c r="D26" s="6">
        <f>('Indicators Data'!C28-#REF!)/#REF!</f>
        <v/>
      </c>
      <c r="E26" s="14">
        <f>('Indicators Data'!D28-#REF!)/#REF!</f>
        <v/>
      </c>
      <c r="F26" s="14">
        <f>('Indicators Data'!E28-#REF!)/#REF!</f>
        <v/>
      </c>
      <c r="G26" s="14">
        <f>('Indicators Data'!F28-#REF!)/#REF!</f>
        <v/>
      </c>
      <c r="H26" s="14">
        <f>('Indicators Data'!G28-#REF!)/#REF!</f>
        <v/>
      </c>
      <c r="I26" s="14">
        <f>('Indicators Data'!P28-#REF!)/#REF!</f>
        <v/>
      </c>
      <c r="J26" s="15">
        <f>('Indicators Data'!T28-#REF!)/#REF!</f>
        <v/>
      </c>
      <c r="K26" s="6">
        <f>('Indicators Data'!U28-#REF!)/#REF!</f>
        <v/>
      </c>
      <c r="L26" s="14">
        <f>('Indicators Data'!Y28-#REF!)/#REF!</f>
        <v/>
      </c>
      <c r="M26" s="14">
        <f>('Indicators Data'!AD28-#REF!)/#REF!</f>
        <v/>
      </c>
      <c r="N26" s="15">
        <f>('Indicators Data'!#REF!-#REF!)/#REF!</f>
        <v/>
      </c>
      <c r="O26" s="6">
        <f>('Indicators Data'!#REF!-#REF!)/#REF!</f>
        <v/>
      </c>
      <c r="P26" s="14">
        <f>('Indicators Data'!#REF!-#REF!)/#REF!</f>
        <v/>
      </c>
      <c r="Q26" s="14">
        <f>-('Indicators Data'!#REF!-#REF!)/#REF!</f>
        <v/>
      </c>
      <c r="R26" s="15">
        <f>-('Indicators Data'!#REF!-#REF!)/#REF!</f>
        <v/>
      </c>
      <c r="S26" s="6">
        <f>('Indicators Data'!#REF!-#REF!)/#REF!</f>
        <v/>
      </c>
      <c r="T26" s="14">
        <f>('Indicators Data'!#REF!-#REF!)/#REF!</f>
        <v/>
      </c>
      <c r="U26" s="15">
        <f>('Indicators Data'!#REF!-#REF!)/#REF!</f>
        <v/>
      </c>
      <c r="V26" s="6">
        <f>-('Indicators Data'!#REF!-#REF!)/#REF!</f>
        <v/>
      </c>
      <c r="W26" s="14">
        <f>('Indicators Data'!#REF!-#REF!)/#REF!</f>
        <v/>
      </c>
      <c r="X26" s="15">
        <f>('Indicators Data'!#REF!-#REF!)/#REF!</f>
        <v/>
      </c>
      <c r="Y26" s="27">
        <f>MAX(D26-$C26,-1)*#REF!</f>
        <v/>
      </c>
      <c r="Z26" s="27">
        <f>MAX(E26-$C26,-1)*#REF!</f>
        <v/>
      </c>
      <c r="AA26" s="27">
        <f>MAX(F26-$C26,-1)*#REF!</f>
        <v/>
      </c>
      <c r="AB26" s="27">
        <f>MAX(G26-$C26,-1)*#REF!</f>
        <v/>
      </c>
      <c r="AC26" s="27">
        <f>MAX(H26-$C26,-1)*#REF!</f>
        <v/>
      </c>
      <c r="AD26" s="27">
        <f>MAX(I26-$C26,-1)*#REF!</f>
        <v/>
      </c>
      <c r="AE26" s="27">
        <f>MAX(J26-$C26,-1)*#REF!</f>
        <v/>
      </c>
      <c r="AF26" s="27">
        <f>MAX(K26-$C26,-1)*#REF!</f>
        <v/>
      </c>
      <c r="AG26" s="27">
        <f>MAX(L26-$C26,-1)*#REF!</f>
        <v/>
      </c>
      <c r="AH26" s="27">
        <f>MAX(M26-$C26,-1)*#REF!</f>
        <v/>
      </c>
      <c r="AI26" s="27">
        <f>MAX(N26-$C26,-1)*#REF!</f>
        <v/>
      </c>
      <c r="AJ26" s="27">
        <f>MAX(O26-$C26,-1)*#REF!</f>
        <v/>
      </c>
      <c r="AK26" s="27">
        <f>MAX(P26-$C26,-1)*#REF!</f>
        <v/>
      </c>
      <c r="AL26" s="27">
        <f>MAX(Q26-$C26,-1)*#REF!</f>
        <v/>
      </c>
      <c r="AM26" s="27">
        <f>MAX(R26-$C26,-1)*#REF!</f>
        <v/>
      </c>
      <c r="AN26" s="27">
        <f>MAX(S26-$C26,-1)*#REF!</f>
        <v/>
      </c>
      <c r="AO26" s="27">
        <f>MAX(T26-$C26,-1)*#REF!</f>
        <v/>
      </c>
      <c r="AP26" s="27">
        <f>MAX(U26-$C26,-1)*#REF!</f>
        <v/>
      </c>
      <c r="AQ26" s="27">
        <f>MAX(V26-$C26,-1)*#REF!</f>
        <v/>
      </c>
      <c r="AR26" s="27">
        <f>MAX(W26-$C26,-1)*#REF!</f>
        <v/>
      </c>
      <c r="AS26" s="27">
        <f>MAX(X26-$C26,-1)*#REF!</f>
        <v/>
      </c>
      <c r="AT26" s="29">
        <f>SUM(MAX(Y26:AS26,0))</f>
        <v/>
      </c>
    </row>
    <row r="27">
      <c r="A27" s="2" t="inlineStr">
        <is>
          <t>2010 кв.4</t>
        </is>
      </c>
      <c r="B27" s="16" t="n">
        <v>0</v>
      </c>
      <c r="C27" s="18" t="n">
        <v>2</v>
      </c>
      <c r="D27" s="6">
        <f>('Indicators Data'!C29-#REF!)/#REF!</f>
        <v/>
      </c>
      <c r="E27" s="14">
        <f>('Indicators Data'!D29-#REF!)/#REF!</f>
        <v/>
      </c>
      <c r="F27" s="14">
        <f>('Indicators Data'!E29-#REF!)/#REF!</f>
        <v/>
      </c>
      <c r="G27" s="14">
        <f>('Indicators Data'!F29-#REF!)/#REF!</f>
        <v/>
      </c>
      <c r="H27" s="14">
        <f>('Indicators Data'!G29-#REF!)/#REF!</f>
        <v/>
      </c>
      <c r="I27" s="14">
        <f>('Indicators Data'!P29-#REF!)/#REF!</f>
        <v/>
      </c>
      <c r="J27" s="15">
        <f>('Indicators Data'!T29-#REF!)/#REF!</f>
        <v/>
      </c>
      <c r="K27" s="6">
        <f>('Indicators Data'!U29-#REF!)/#REF!</f>
        <v/>
      </c>
      <c r="L27" s="14">
        <f>('Indicators Data'!Y29-#REF!)/#REF!</f>
        <v/>
      </c>
      <c r="M27" s="14">
        <f>('Indicators Data'!AD29-#REF!)/#REF!</f>
        <v/>
      </c>
      <c r="N27" s="15">
        <f>('Indicators Data'!#REF!-#REF!)/#REF!</f>
        <v/>
      </c>
      <c r="O27" s="6">
        <f>('Indicators Data'!#REF!-#REF!)/#REF!</f>
        <v/>
      </c>
      <c r="P27" s="14">
        <f>('Indicators Data'!#REF!-#REF!)/#REF!</f>
        <v/>
      </c>
      <c r="Q27" s="14">
        <f>-('Indicators Data'!#REF!-#REF!)/#REF!</f>
        <v/>
      </c>
      <c r="R27" s="15">
        <f>-('Indicators Data'!#REF!-#REF!)/#REF!</f>
        <v/>
      </c>
      <c r="S27" s="6">
        <f>('Indicators Data'!#REF!-#REF!)/#REF!</f>
        <v/>
      </c>
      <c r="T27" s="14">
        <f>('Indicators Data'!#REF!-#REF!)/#REF!</f>
        <v/>
      </c>
      <c r="U27" s="15">
        <f>('Indicators Data'!#REF!-#REF!)/#REF!</f>
        <v/>
      </c>
      <c r="V27" s="6">
        <f>-('Indicators Data'!#REF!-#REF!)/#REF!</f>
        <v/>
      </c>
      <c r="W27" s="14">
        <f>('Indicators Data'!#REF!-#REF!)/#REF!</f>
        <v/>
      </c>
      <c r="X27" s="15">
        <f>('Indicators Data'!#REF!-#REF!)/#REF!</f>
        <v/>
      </c>
      <c r="Y27" s="27">
        <f>MAX(D27-$C27,-1)*#REF!</f>
        <v/>
      </c>
      <c r="Z27" s="27">
        <f>MAX(E27-$C27,-1)*#REF!</f>
        <v/>
      </c>
      <c r="AA27" s="27">
        <f>MAX(F27-$C27,-1)*#REF!</f>
        <v/>
      </c>
      <c r="AB27" s="27">
        <f>MAX(G27-$C27,-1)*#REF!</f>
        <v/>
      </c>
      <c r="AC27" s="27">
        <f>MAX(H27-$C27,-1)*#REF!</f>
        <v/>
      </c>
      <c r="AD27" s="27">
        <f>MAX(I27-$C27,-1)*#REF!</f>
        <v/>
      </c>
      <c r="AE27" s="27">
        <f>MAX(J27-$C27,-1)*#REF!</f>
        <v/>
      </c>
      <c r="AF27" s="27">
        <f>MAX(K27-$C27,-1)*#REF!</f>
        <v/>
      </c>
      <c r="AG27" s="27">
        <f>MAX(L27-$C27,-1)*#REF!</f>
        <v/>
      </c>
      <c r="AH27" s="27">
        <f>MAX(M27-$C27,-1)*#REF!</f>
        <v/>
      </c>
      <c r="AI27" s="27">
        <f>MAX(N27-$C27,-1)*#REF!</f>
        <v/>
      </c>
      <c r="AJ27" s="27">
        <f>MAX(O27-$C27,-1)*#REF!</f>
        <v/>
      </c>
      <c r="AK27" s="27">
        <f>MAX(P27-$C27,-1)*#REF!</f>
        <v/>
      </c>
      <c r="AL27" s="27">
        <f>MAX(Q27-$C27,-1)*#REF!</f>
        <v/>
      </c>
      <c r="AM27" s="27">
        <f>MAX(R27-$C27,-1)*#REF!</f>
        <v/>
      </c>
      <c r="AN27" s="27">
        <f>MAX(S27-$C27,-1)*#REF!</f>
        <v/>
      </c>
      <c r="AO27" s="27">
        <f>MAX(T27-$C27,-1)*#REF!</f>
        <v/>
      </c>
      <c r="AP27" s="27">
        <f>MAX(U27-$C27,-1)*#REF!</f>
        <v/>
      </c>
      <c r="AQ27" s="27">
        <f>MAX(V27-$C27,-1)*#REF!</f>
        <v/>
      </c>
      <c r="AR27" s="27">
        <f>MAX(W27-$C27,-1)*#REF!</f>
        <v/>
      </c>
      <c r="AS27" s="27">
        <f>MAX(X27-$C27,-1)*#REF!</f>
        <v/>
      </c>
      <c r="AT27" s="29">
        <f>SUM(MAX(Y27:AS27,0))</f>
        <v/>
      </c>
    </row>
    <row r="28">
      <c r="A28" s="2" t="inlineStr">
        <is>
          <t>2011 кв.1</t>
        </is>
      </c>
      <c r="B28" s="16" t="n">
        <v>0</v>
      </c>
      <c r="C28" s="18" t="n">
        <v>2</v>
      </c>
      <c r="D28" s="6">
        <f>('Indicators Data'!C30-#REF!)/#REF!</f>
        <v/>
      </c>
      <c r="E28" s="14">
        <f>('Indicators Data'!D30-#REF!)/#REF!</f>
        <v/>
      </c>
      <c r="F28" s="14">
        <f>('Indicators Data'!E30-#REF!)/#REF!</f>
        <v/>
      </c>
      <c r="G28" s="14">
        <f>('Indicators Data'!F30-#REF!)/#REF!</f>
        <v/>
      </c>
      <c r="H28" s="14">
        <f>('Indicators Data'!G30-#REF!)/#REF!</f>
        <v/>
      </c>
      <c r="I28" s="14">
        <f>('Indicators Data'!P30-#REF!)/#REF!</f>
        <v/>
      </c>
      <c r="J28" s="15">
        <f>('Indicators Data'!T30-#REF!)/#REF!</f>
        <v/>
      </c>
      <c r="K28" s="6">
        <f>('Indicators Data'!U30-#REF!)/#REF!</f>
        <v/>
      </c>
      <c r="L28" s="14">
        <f>('Indicators Data'!Y30-#REF!)/#REF!</f>
        <v/>
      </c>
      <c r="M28" s="14">
        <f>('Indicators Data'!AD30-#REF!)/#REF!</f>
        <v/>
      </c>
      <c r="N28" s="15">
        <f>('Indicators Data'!#REF!-#REF!)/#REF!</f>
        <v/>
      </c>
      <c r="O28" s="6">
        <f>('Indicators Data'!#REF!-#REF!)/#REF!</f>
        <v/>
      </c>
      <c r="P28" s="14">
        <f>('Indicators Data'!#REF!-#REF!)/#REF!</f>
        <v/>
      </c>
      <c r="Q28" s="14">
        <f>-('Indicators Data'!#REF!-#REF!)/#REF!</f>
        <v/>
      </c>
      <c r="R28" s="15">
        <f>-('Indicators Data'!#REF!-#REF!)/#REF!</f>
        <v/>
      </c>
      <c r="S28" s="6">
        <f>('Indicators Data'!#REF!-#REF!)/#REF!</f>
        <v/>
      </c>
      <c r="T28" s="14">
        <f>('Indicators Data'!#REF!-#REF!)/#REF!</f>
        <v/>
      </c>
      <c r="U28" s="15">
        <f>('Indicators Data'!#REF!-#REF!)/#REF!</f>
        <v/>
      </c>
      <c r="V28" s="6">
        <f>-('Indicators Data'!#REF!-#REF!)/#REF!</f>
        <v/>
      </c>
      <c r="W28" s="14">
        <f>('Indicators Data'!#REF!-#REF!)/#REF!</f>
        <v/>
      </c>
      <c r="X28" s="15">
        <f>('Indicators Data'!#REF!-#REF!)/#REF!</f>
        <v/>
      </c>
      <c r="Y28" s="27">
        <f>MAX(D28-$C28,-1)*#REF!</f>
        <v/>
      </c>
      <c r="Z28" s="27">
        <f>MAX(E28-$C28,-1)*#REF!</f>
        <v/>
      </c>
      <c r="AA28" s="27">
        <f>MAX(F28-$C28,-1)*#REF!</f>
        <v/>
      </c>
      <c r="AB28" s="27">
        <f>MAX(G28-$C28,-1)*#REF!</f>
        <v/>
      </c>
      <c r="AC28" s="27">
        <f>MAX(H28-$C28,-1)*#REF!</f>
        <v/>
      </c>
      <c r="AD28" s="27">
        <f>MAX(I28-$C28,-1)*#REF!</f>
        <v/>
      </c>
      <c r="AE28" s="27">
        <f>MAX(J28-$C28,-1)*#REF!</f>
        <v/>
      </c>
      <c r="AF28" s="27">
        <f>MAX(K28-$C28,-1)*#REF!</f>
        <v/>
      </c>
      <c r="AG28" s="27">
        <f>MAX(L28-$C28,-1)*#REF!</f>
        <v/>
      </c>
      <c r="AH28" s="27">
        <f>MAX(M28-$C28,-1)*#REF!</f>
        <v/>
      </c>
      <c r="AI28" s="27">
        <f>MAX(N28-$C28,-1)*#REF!</f>
        <v/>
      </c>
      <c r="AJ28" s="27">
        <f>MAX(O28-$C28,-1)*#REF!</f>
        <v/>
      </c>
      <c r="AK28" s="27">
        <f>MAX(P28-$C28,-1)*#REF!</f>
        <v/>
      </c>
      <c r="AL28" s="27">
        <f>MAX(Q28-$C28,-1)*#REF!</f>
        <v/>
      </c>
      <c r="AM28" s="27">
        <f>MAX(R28-$C28,-1)*#REF!</f>
        <v/>
      </c>
      <c r="AN28" s="27">
        <f>MAX(S28-$C28,-1)*#REF!</f>
        <v/>
      </c>
      <c r="AO28" s="27">
        <f>MAX(T28-$C28,-1)*#REF!</f>
        <v/>
      </c>
      <c r="AP28" s="27">
        <f>MAX(U28-$C28,-1)*#REF!</f>
        <v/>
      </c>
      <c r="AQ28" s="27">
        <f>MAX(V28-$C28,-1)*#REF!</f>
        <v/>
      </c>
      <c r="AR28" s="27">
        <f>MAX(W28-$C28,-1)*#REF!</f>
        <v/>
      </c>
      <c r="AS28" s="27">
        <f>MAX(X28-$C28,-1)*#REF!</f>
        <v/>
      </c>
      <c r="AT28" s="29">
        <f>SUM(MAX(Y28:AS28,0))</f>
        <v/>
      </c>
    </row>
    <row r="29">
      <c r="A29" s="2" t="inlineStr">
        <is>
          <t>2011 кв.2</t>
        </is>
      </c>
      <c r="B29" s="16" t="n">
        <v>1</v>
      </c>
      <c r="C29" s="18" t="n">
        <v>2</v>
      </c>
      <c r="D29" s="6">
        <f>('Indicators Data'!C31-#REF!)/#REF!</f>
        <v/>
      </c>
      <c r="E29" s="14">
        <f>('Indicators Data'!D31-#REF!)/#REF!</f>
        <v/>
      </c>
      <c r="F29" s="14">
        <f>('Indicators Data'!E31-#REF!)/#REF!</f>
        <v/>
      </c>
      <c r="G29" s="14">
        <f>('Indicators Data'!F31-#REF!)/#REF!</f>
        <v/>
      </c>
      <c r="H29" s="14">
        <f>('Indicators Data'!G31-#REF!)/#REF!</f>
        <v/>
      </c>
      <c r="I29" s="14">
        <f>('Indicators Data'!P31-#REF!)/#REF!</f>
        <v/>
      </c>
      <c r="J29" s="15">
        <f>('Indicators Data'!T31-#REF!)/#REF!</f>
        <v/>
      </c>
      <c r="K29" s="6">
        <f>('Indicators Data'!U31-#REF!)/#REF!</f>
        <v/>
      </c>
      <c r="L29" s="14">
        <f>('Indicators Data'!Y31-#REF!)/#REF!</f>
        <v/>
      </c>
      <c r="M29" s="14">
        <f>('Indicators Data'!AD31-#REF!)/#REF!</f>
        <v/>
      </c>
      <c r="N29" s="15">
        <f>('Indicators Data'!#REF!-#REF!)/#REF!</f>
        <v/>
      </c>
      <c r="O29" s="6">
        <f>('Indicators Data'!#REF!-#REF!)/#REF!</f>
        <v/>
      </c>
      <c r="P29" s="14">
        <f>('Indicators Data'!#REF!-#REF!)/#REF!</f>
        <v/>
      </c>
      <c r="Q29" s="14">
        <f>-('Indicators Data'!#REF!-#REF!)/#REF!</f>
        <v/>
      </c>
      <c r="R29" s="15">
        <f>-('Indicators Data'!#REF!-#REF!)/#REF!</f>
        <v/>
      </c>
      <c r="S29" s="6">
        <f>('Indicators Data'!#REF!-#REF!)/#REF!</f>
        <v/>
      </c>
      <c r="T29" s="14">
        <f>('Indicators Data'!#REF!-#REF!)/#REF!</f>
        <v/>
      </c>
      <c r="U29" s="15">
        <f>('Indicators Data'!#REF!-#REF!)/#REF!</f>
        <v/>
      </c>
      <c r="V29" s="6">
        <f>-('Indicators Data'!#REF!-#REF!)/#REF!</f>
        <v/>
      </c>
      <c r="W29" s="14">
        <f>('Indicators Data'!#REF!-#REF!)/#REF!</f>
        <v/>
      </c>
      <c r="X29" s="15">
        <f>('Indicators Data'!#REF!-#REF!)/#REF!</f>
        <v/>
      </c>
      <c r="Y29" s="27">
        <f>MAX(D29-$C29,-1)*#REF!</f>
        <v/>
      </c>
      <c r="Z29" s="27">
        <f>MAX(E29-$C29,-1)*#REF!</f>
        <v/>
      </c>
      <c r="AA29" s="27">
        <f>MAX(F29-$C29,-1)*#REF!</f>
        <v/>
      </c>
      <c r="AB29" s="27">
        <f>MAX(G29-$C29,-1)*#REF!</f>
        <v/>
      </c>
      <c r="AC29" s="27">
        <f>MAX(H29-$C29,-1)*#REF!</f>
        <v/>
      </c>
      <c r="AD29" s="27">
        <f>MAX(I29-$C29,-1)*#REF!</f>
        <v/>
      </c>
      <c r="AE29" s="27">
        <f>MAX(J29-$C29,-1)*#REF!</f>
        <v/>
      </c>
      <c r="AF29" s="27">
        <f>MAX(K29-$C29,-1)*#REF!</f>
        <v/>
      </c>
      <c r="AG29" s="27">
        <f>MAX(L29-$C29,-1)*#REF!</f>
        <v/>
      </c>
      <c r="AH29" s="27">
        <f>MAX(M29-$C29,-1)*#REF!</f>
        <v/>
      </c>
      <c r="AI29" s="27">
        <f>MAX(N29-$C29,-1)*#REF!</f>
        <v/>
      </c>
      <c r="AJ29" s="27">
        <f>MAX(O29-$C29,-1)*#REF!</f>
        <v/>
      </c>
      <c r="AK29" s="27">
        <f>MAX(P29-$C29,-1)*#REF!</f>
        <v/>
      </c>
      <c r="AL29" s="27">
        <f>MAX(Q29-$C29,-1)*#REF!</f>
        <v/>
      </c>
      <c r="AM29" s="27">
        <f>MAX(R29-$C29,-1)*#REF!</f>
        <v/>
      </c>
      <c r="AN29" s="27">
        <f>MAX(S29-$C29,-1)*#REF!</f>
        <v/>
      </c>
      <c r="AO29" s="27">
        <f>MAX(T29-$C29,-1)*#REF!</f>
        <v/>
      </c>
      <c r="AP29" s="27">
        <f>MAX(U29-$C29,-1)*#REF!</f>
        <v/>
      </c>
      <c r="AQ29" s="27">
        <f>MAX(V29-$C29,-1)*#REF!</f>
        <v/>
      </c>
      <c r="AR29" s="27">
        <f>MAX(W29-$C29,-1)*#REF!</f>
        <v/>
      </c>
      <c r="AS29" s="27">
        <f>MAX(X29-$C29,-1)*#REF!</f>
        <v/>
      </c>
      <c r="AT29" s="29">
        <f>SUM(MAX(Y29:AS29,0))</f>
        <v/>
      </c>
    </row>
    <row r="30">
      <c r="A30" s="2" t="inlineStr">
        <is>
          <t>2011 кв.3</t>
        </is>
      </c>
      <c r="B30" s="16" t="n">
        <v>0</v>
      </c>
      <c r="C30" s="18" t="n">
        <v>2</v>
      </c>
      <c r="D30" s="6">
        <f>('Indicators Data'!C32-#REF!)/#REF!</f>
        <v/>
      </c>
      <c r="E30" s="14">
        <f>('Indicators Data'!D32-#REF!)/#REF!</f>
        <v/>
      </c>
      <c r="F30" s="14">
        <f>('Indicators Data'!E32-#REF!)/#REF!</f>
        <v/>
      </c>
      <c r="G30" s="14">
        <f>('Indicators Data'!F32-#REF!)/#REF!</f>
        <v/>
      </c>
      <c r="H30" s="14">
        <f>('Indicators Data'!G32-#REF!)/#REF!</f>
        <v/>
      </c>
      <c r="I30" s="14">
        <f>('Indicators Data'!P32-#REF!)/#REF!</f>
        <v/>
      </c>
      <c r="J30" s="15">
        <f>('Indicators Data'!T32-#REF!)/#REF!</f>
        <v/>
      </c>
      <c r="K30" s="6">
        <f>('Indicators Data'!U32-#REF!)/#REF!</f>
        <v/>
      </c>
      <c r="L30" s="14">
        <f>('Indicators Data'!Y32-#REF!)/#REF!</f>
        <v/>
      </c>
      <c r="M30" s="14">
        <f>('Indicators Data'!AD32-#REF!)/#REF!</f>
        <v/>
      </c>
      <c r="N30" s="15">
        <f>('Indicators Data'!#REF!-#REF!)/#REF!</f>
        <v/>
      </c>
      <c r="O30" s="6">
        <f>('Indicators Data'!#REF!-#REF!)/#REF!</f>
        <v/>
      </c>
      <c r="P30" s="14">
        <f>('Indicators Data'!#REF!-#REF!)/#REF!</f>
        <v/>
      </c>
      <c r="Q30" s="14">
        <f>-('Indicators Data'!#REF!-#REF!)/#REF!</f>
        <v/>
      </c>
      <c r="R30" s="15">
        <f>-('Indicators Data'!#REF!-#REF!)/#REF!</f>
        <v/>
      </c>
      <c r="S30" s="6">
        <f>('Indicators Data'!#REF!-#REF!)/#REF!</f>
        <v/>
      </c>
      <c r="T30" s="14">
        <f>('Indicators Data'!#REF!-#REF!)/#REF!</f>
        <v/>
      </c>
      <c r="U30" s="15">
        <f>('Indicators Data'!#REF!-#REF!)/#REF!</f>
        <v/>
      </c>
      <c r="V30" s="6">
        <f>-('Indicators Data'!#REF!-#REF!)/#REF!</f>
        <v/>
      </c>
      <c r="W30" s="14">
        <f>('Indicators Data'!#REF!-#REF!)/#REF!</f>
        <v/>
      </c>
      <c r="X30" s="15">
        <f>('Indicators Data'!#REF!-#REF!)/#REF!</f>
        <v/>
      </c>
      <c r="Y30" s="27">
        <f>MAX(D30-$C30,-1)*#REF!</f>
        <v/>
      </c>
      <c r="Z30" s="27">
        <f>MAX(E30-$C30,-1)*#REF!</f>
        <v/>
      </c>
      <c r="AA30" s="27">
        <f>MAX(F30-$C30,-1)*#REF!</f>
        <v/>
      </c>
      <c r="AB30" s="27">
        <f>MAX(G30-$C30,-1)*#REF!</f>
        <v/>
      </c>
      <c r="AC30" s="27">
        <f>MAX(H30-$C30,-1)*#REF!</f>
        <v/>
      </c>
      <c r="AD30" s="27">
        <f>MAX(I30-$C30,-1)*#REF!</f>
        <v/>
      </c>
      <c r="AE30" s="27">
        <f>MAX(J30-$C30,-1)*#REF!</f>
        <v/>
      </c>
      <c r="AF30" s="27">
        <f>MAX(K30-$C30,-1)*#REF!</f>
        <v/>
      </c>
      <c r="AG30" s="27">
        <f>MAX(L30-$C30,-1)*#REF!</f>
        <v/>
      </c>
      <c r="AH30" s="27">
        <f>MAX(M30-$C30,-1)*#REF!</f>
        <v/>
      </c>
      <c r="AI30" s="27">
        <f>MAX(N30-$C30,-1)*#REF!</f>
        <v/>
      </c>
      <c r="AJ30" s="27">
        <f>MAX(O30-$C30,-1)*#REF!</f>
        <v/>
      </c>
      <c r="AK30" s="27">
        <f>MAX(P30-$C30,-1)*#REF!</f>
        <v/>
      </c>
      <c r="AL30" s="27">
        <f>MAX(Q30-$C30,-1)*#REF!</f>
        <v/>
      </c>
      <c r="AM30" s="27">
        <f>MAX(R30-$C30,-1)*#REF!</f>
        <v/>
      </c>
      <c r="AN30" s="27">
        <f>MAX(S30-$C30,-1)*#REF!</f>
        <v/>
      </c>
      <c r="AO30" s="27">
        <f>MAX(T30-$C30,-1)*#REF!</f>
        <v/>
      </c>
      <c r="AP30" s="27">
        <f>MAX(U30-$C30,-1)*#REF!</f>
        <v/>
      </c>
      <c r="AQ30" s="27">
        <f>MAX(V30-$C30,-1)*#REF!</f>
        <v/>
      </c>
      <c r="AR30" s="27">
        <f>MAX(W30-$C30,-1)*#REF!</f>
        <v/>
      </c>
      <c r="AS30" s="27">
        <f>MAX(X30-$C30,-1)*#REF!</f>
        <v/>
      </c>
      <c r="AT30" s="29">
        <f>SUM(MAX(Y30:AS30,0))</f>
        <v/>
      </c>
    </row>
    <row r="31">
      <c r="A31" s="2" t="inlineStr">
        <is>
          <t>2011 кв.4</t>
        </is>
      </c>
      <c r="B31" s="16" t="n">
        <v>0</v>
      </c>
      <c r="C31" s="18" t="n">
        <v>2</v>
      </c>
      <c r="D31" s="6">
        <f>('Indicators Data'!C33-#REF!)/#REF!</f>
        <v/>
      </c>
      <c r="E31" s="14">
        <f>('Indicators Data'!D33-#REF!)/#REF!</f>
        <v/>
      </c>
      <c r="F31" s="14">
        <f>('Indicators Data'!E33-#REF!)/#REF!</f>
        <v/>
      </c>
      <c r="G31" s="14">
        <f>('Indicators Data'!F33-#REF!)/#REF!</f>
        <v/>
      </c>
      <c r="H31" s="14">
        <f>('Indicators Data'!G33-#REF!)/#REF!</f>
        <v/>
      </c>
      <c r="I31" s="14">
        <f>('Indicators Data'!P33-#REF!)/#REF!</f>
        <v/>
      </c>
      <c r="J31" s="15">
        <f>('Indicators Data'!T33-#REF!)/#REF!</f>
        <v/>
      </c>
      <c r="K31" s="6">
        <f>('Indicators Data'!U33-#REF!)/#REF!</f>
        <v/>
      </c>
      <c r="L31" s="14">
        <f>('Indicators Data'!Y33-#REF!)/#REF!</f>
        <v/>
      </c>
      <c r="M31" s="14">
        <f>('Indicators Data'!AD33-#REF!)/#REF!</f>
        <v/>
      </c>
      <c r="N31" s="15">
        <f>('Indicators Data'!#REF!-#REF!)/#REF!</f>
        <v/>
      </c>
      <c r="O31" s="6">
        <f>('Indicators Data'!#REF!-#REF!)/#REF!</f>
        <v/>
      </c>
      <c r="P31" s="14">
        <f>('Indicators Data'!#REF!-#REF!)/#REF!</f>
        <v/>
      </c>
      <c r="Q31" s="14">
        <f>-('Indicators Data'!#REF!-#REF!)/#REF!</f>
        <v/>
      </c>
      <c r="R31" s="15">
        <f>-('Indicators Data'!#REF!-#REF!)/#REF!</f>
        <v/>
      </c>
      <c r="S31" s="6">
        <f>('Indicators Data'!#REF!-#REF!)/#REF!</f>
        <v/>
      </c>
      <c r="T31" s="14">
        <f>('Indicators Data'!#REF!-#REF!)/#REF!</f>
        <v/>
      </c>
      <c r="U31" s="15">
        <f>('Indicators Data'!#REF!-#REF!)/#REF!</f>
        <v/>
      </c>
      <c r="V31" s="6">
        <f>-('Indicators Data'!#REF!-#REF!)/#REF!</f>
        <v/>
      </c>
      <c r="W31" s="14">
        <f>('Indicators Data'!#REF!-#REF!)/#REF!</f>
        <v/>
      </c>
      <c r="X31" s="15">
        <f>('Indicators Data'!#REF!-#REF!)/#REF!</f>
        <v/>
      </c>
      <c r="Y31" s="27">
        <f>MAX(D31-$C31,-1)*#REF!</f>
        <v/>
      </c>
      <c r="Z31" s="27">
        <f>MAX(E31-$C31,-1)*#REF!</f>
        <v/>
      </c>
      <c r="AA31" s="27">
        <f>MAX(F31-$C31,-1)*#REF!</f>
        <v/>
      </c>
      <c r="AB31" s="27">
        <f>MAX(G31-$C31,-1)*#REF!</f>
        <v/>
      </c>
      <c r="AC31" s="27">
        <f>MAX(H31-$C31,-1)*#REF!</f>
        <v/>
      </c>
      <c r="AD31" s="27">
        <f>MAX(I31-$C31,-1)*#REF!</f>
        <v/>
      </c>
      <c r="AE31" s="27">
        <f>MAX(J31-$C31,-1)*#REF!</f>
        <v/>
      </c>
      <c r="AF31" s="27">
        <f>MAX(K31-$C31,-1)*#REF!</f>
        <v/>
      </c>
      <c r="AG31" s="27">
        <f>MAX(L31-$C31,-1)*#REF!</f>
        <v/>
      </c>
      <c r="AH31" s="27">
        <f>MAX(M31-$C31,-1)*#REF!</f>
        <v/>
      </c>
      <c r="AI31" s="27">
        <f>MAX(N31-$C31,-1)*#REF!</f>
        <v/>
      </c>
      <c r="AJ31" s="27">
        <f>MAX(O31-$C31,-1)*#REF!</f>
        <v/>
      </c>
      <c r="AK31" s="27">
        <f>MAX(P31-$C31,-1)*#REF!</f>
        <v/>
      </c>
      <c r="AL31" s="27">
        <f>MAX(Q31-$C31,-1)*#REF!</f>
        <v/>
      </c>
      <c r="AM31" s="27">
        <f>MAX(R31-$C31,-1)*#REF!</f>
        <v/>
      </c>
      <c r="AN31" s="27">
        <f>MAX(S31-$C31,-1)*#REF!</f>
        <v/>
      </c>
      <c r="AO31" s="27">
        <f>MAX(T31-$C31,-1)*#REF!</f>
        <v/>
      </c>
      <c r="AP31" s="27">
        <f>MAX(U31-$C31,-1)*#REF!</f>
        <v/>
      </c>
      <c r="AQ31" s="27">
        <f>MAX(V31-$C31,-1)*#REF!</f>
        <v/>
      </c>
      <c r="AR31" s="27">
        <f>MAX(W31-$C31,-1)*#REF!</f>
        <v/>
      </c>
      <c r="AS31" s="27">
        <f>MAX(X31-$C31,-1)*#REF!</f>
        <v/>
      </c>
      <c r="AT31" s="29">
        <f>SUM(MAX(Y31:AS31,0))</f>
        <v/>
      </c>
    </row>
    <row r="32">
      <c r="A32" s="2" t="inlineStr">
        <is>
          <t>2012 кв.1</t>
        </is>
      </c>
      <c r="B32" s="16" t="n">
        <v>0</v>
      </c>
      <c r="C32" s="18" t="n">
        <v>2</v>
      </c>
      <c r="D32" s="6">
        <f>('Indicators Data'!C34-#REF!)/#REF!</f>
        <v/>
      </c>
      <c r="E32" s="14">
        <f>('Indicators Data'!D34-#REF!)/#REF!</f>
        <v/>
      </c>
      <c r="F32" s="14">
        <f>('Indicators Data'!E34-#REF!)/#REF!</f>
        <v/>
      </c>
      <c r="G32" s="14">
        <f>('Indicators Data'!F34-#REF!)/#REF!</f>
        <v/>
      </c>
      <c r="H32" s="14">
        <f>('Indicators Data'!G34-#REF!)/#REF!</f>
        <v/>
      </c>
      <c r="I32" s="14">
        <f>('Indicators Data'!P34-#REF!)/#REF!</f>
        <v/>
      </c>
      <c r="J32" s="15">
        <f>('Indicators Data'!T34-#REF!)/#REF!</f>
        <v/>
      </c>
      <c r="K32" s="6">
        <f>('Indicators Data'!U34-#REF!)/#REF!</f>
        <v/>
      </c>
      <c r="L32" s="14">
        <f>('Indicators Data'!Y34-#REF!)/#REF!</f>
        <v/>
      </c>
      <c r="M32" s="14">
        <f>('Indicators Data'!AD34-#REF!)/#REF!</f>
        <v/>
      </c>
      <c r="N32" s="15">
        <f>('Indicators Data'!#REF!-#REF!)/#REF!</f>
        <v/>
      </c>
      <c r="O32" s="6">
        <f>('Indicators Data'!#REF!-#REF!)/#REF!</f>
        <v/>
      </c>
      <c r="P32" s="14">
        <f>('Indicators Data'!#REF!-#REF!)/#REF!</f>
        <v/>
      </c>
      <c r="Q32" s="14">
        <f>-('Indicators Data'!#REF!-#REF!)/#REF!</f>
        <v/>
      </c>
      <c r="R32" s="15">
        <f>-('Indicators Data'!#REF!-#REF!)/#REF!</f>
        <v/>
      </c>
      <c r="S32" s="6">
        <f>('Indicators Data'!#REF!-#REF!)/#REF!</f>
        <v/>
      </c>
      <c r="T32" s="14">
        <f>('Indicators Data'!#REF!-#REF!)/#REF!</f>
        <v/>
      </c>
      <c r="U32" s="15">
        <f>('Indicators Data'!#REF!-#REF!)/#REF!</f>
        <v/>
      </c>
      <c r="V32" s="6">
        <f>-('Indicators Data'!#REF!-#REF!)/#REF!</f>
        <v/>
      </c>
      <c r="W32" s="14">
        <f>('Indicators Data'!#REF!-#REF!)/#REF!</f>
        <v/>
      </c>
      <c r="X32" s="15">
        <f>('Indicators Data'!#REF!-#REF!)/#REF!</f>
        <v/>
      </c>
      <c r="Y32" s="27">
        <f>MAX(D32-$C32,-1)*#REF!</f>
        <v/>
      </c>
      <c r="Z32" s="27">
        <f>MAX(E32-$C32,-1)*#REF!</f>
        <v/>
      </c>
      <c r="AA32" s="27">
        <f>MAX(F32-$C32,-1)*#REF!</f>
        <v/>
      </c>
      <c r="AB32" s="27">
        <f>MAX(G32-$C32,-1)*#REF!</f>
        <v/>
      </c>
      <c r="AC32" s="27">
        <f>MAX(H32-$C32,-1)*#REF!</f>
        <v/>
      </c>
      <c r="AD32" s="27">
        <f>MAX(I32-$C32,-1)*#REF!</f>
        <v/>
      </c>
      <c r="AE32" s="27">
        <f>MAX(J32-$C32,-1)*#REF!</f>
        <v/>
      </c>
      <c r="AF32" s="27">
        <f>MAX(K32-$C32,-1)*#REF!</f>
        <v/>
      </c>
      <c r="AG32" s="27">
        <f>MAX(L32-$C32,-1)*#REF!</f>
        <v/>
      </c>
      <c r="AH32" s="27">
        <f>MAX(M32-$C32,-1)*#REF!</f>
        <v/>
      </c>
      <c r="AI32" s="27">
        <f>MAX(N32-$C32,-1)*#REF!</f>
        <v/>
      </c>
      <c r="AJ32" s="27">
        <f>MAX(O32-$C32,-1)*#REF!</f>
        <v/>
      </c>
      <c r="AK32" s="27">
        <f>MAX(P32-$C32,-1)*#REF!</f>
        <v/>
      </c>
      <c r="AL32" s="27">
        <f>MAX(Q32-$C32,-1)*#REF!</f>
        <v/>
      </c>
      <c r="AM32" s="27">
        <f>MAX(R32-$C32,-1)*#REF!</f>
        <v/>
      </c>
      <c r="AN32" s="27">
        <f>MAX(S32-$C32,-1)*#REF!</f>
        <v/>
      </c>
      <c r="AO32" s="27">
        <f>MAX(T32-$C32,-1)*#REF!</f>
        <v/>
      </c>
      <c r="AP32" s="27">
        <f>MAX(U32-$C32,-1)*#REF!</f>
        <v/>
      </c>
      <c r="AQ32" s="27">
        <f>MAX(V32-$C32,-1)*#REF!</f>
        <v/>
      </c>
      <c r="AR32" s="27">
        <f>MAX(W32-$C32,-1)*#REF!</f>
        <v/>
      </c>
      <c r="AS32" s="27">
        <f>MAX(X32-$C32,-1)*#REF!</f>
        <v/>
      </c>
      <c r="AT32" s="29">
        <f>SUM(MAX(Y32:AS32,0))</f>
        <v/>
      </c>
    </row>
    <row r="33">
      <c r="A33" s="2" t="inlineStr">
        <is>
          <t>2012 кв.2</t>
        </is>
      </c>
      <c r="B33" s="16" t="n">
        <v>0</v>
      </c>
      <c r="C33" s="18" t="n">
        <v>2</v>
      </c>
      <c r="D33" s="6">
        <f>('Indicators Data'!C35-#REF!)/#REF!</f>
        <v/>
      </c>
      <c r="E33" s="14">
        <f>('Indicators Data'!D35-#REF!)/#REF!</f>
        <v/>
      </c>
      <c r="F33" s="14">
        <f>('Indicators Data'!E35-#REF!)/#REF!</f>
        <v/>
      </c>
      <c r="G33" s="14">
        <f>('Indicators Data'!F35-#REF!)/#REF!</f>
        <v/>
      </c>
      <c r="H33" s="14">
        <f>('Indicators Data'!G35-#REF!)/#REF!</f>
        <v/>
      </c>
      <c r="I33" s="14">
        <f>('Indicators Data'!P35-#REF!)/#REF!</f>
        <v/>
      </c>
      <c r="J33" s="15">
        <f>('Indicators Data'!T35-#REF!)/#REF!</f>
        <v/>
      </c>
      <c r="K33" s="6">
        <f>('Indicators Data'!U35-#REF!)/#REF!</f>
        <v/>
      </c>
      <c r="L33" s="14">
        <f>('Indicators Data'!Y35-#REF!)/#REF!</f>
        <v/>
      </c>
      <c r="M33" s="14">
        <f>('Indicators Data'!AD35-#REF!)/#REF!</f>
        <v/>
      </c>
      <c r="N33" s="15">
        <f>('Indicators Data'!#REF!-#REF!)/#REF!</f>
        <v/>
      </c>
      <c r="O33" s="6">
        <f>('Indicators Data'!#REF!-#REF!)/#REF!</f>
        <v/>
      </c>
      <c r="P33" s="14">
        <f>('Indicators Data'!#REF!-#REF!)/#REF!</f>
        <v/>
      </c>
      <c r="Q33" s="14">
        <f>-('Indicators Data'!#REF!-#REF!)/#REF!</f>
        <v/>
      </c>
      <c r="R33" s="15">
        <f>-('Indicators Data'!#REF!-#REF!)/#REF!</f>
        <v/>
      </c>
      <c r="S33" s="6">
        <f>('Indicators Data'!#REF!-#REF!)/#REF!</f>
        <v/>
      </c>
      <c r="T33" s="14">
        <f>('Indicators Data'!#REF!-#REF!)/#REF!</f>
        <v/>
      </c>
      <c r="U33" s="15">
        <f>('Indicators Data'!#REF!-#REF!)/#REF!</f>
        <v/>
      </c>
      <c r="V33" s="6">
        <f>-('Indicators Data'!#REF!-#REF!)/#REF!</f>
        <v/>
      </c>
      <c r="W33" s="14">
        <f>('Indicators Data'!#REF!-#REF!)/#REF!</f>
        <v/>
      </c>
      <c r="X33" s="15">
        <f>('Indicators Data'!#REF!-#REF!)/#REF!</f>
        <v/>
      </c>
      <c r="Y33" s="27">
        <f>MAX(D33-$C33,-1)*#REF!</f>
        <v/>
      </c>
      <c r="Z33" s="27">
        <f>MAX(E33-$C33,-1)*#REF!</f>
        <v/>
      </c>
      <c r="AA33" s="27">
        <f>MAX(F33-$C33,-1)*#REF!</f>
        <v/>
      </c>
      <c r="AB33" s="27">
        <f>MAX(G33-$C33,-1)*#REF!</f>
        <v/>
      </c>
      <c r="AC33" s="27">
        <f>MAX(H33-$C33,-1)*#REF!</f>
        <v/>
      </c>
      <c r="AD33" s="27">
        <f>MAX(I33-$C33,-1)*#REF!</f>
        <v/>
      </c>
      <c r="AE33" s="27">
        <f>MAX(J33-$C33,-1)*#REF!</f>
        <v/>
      </c>
      <c r="AF33" s="27">
        <f>MAX(K33-$C33,-1)*#REF!</f>
        <v/>
      </c>
      <c r="AG33" s="27">
        <f>MAX(L33-$C33,-1)*#REF!</f>
        <v/>
      </c>
      <c r="AH33" s="27">
        <f>MAX(M33-$C33,-1)*#REF!</f>
        <v/>
      </c>
      <c r="AI33" s="27">
        <f>MAX(N33-$C33,-1)*#REF!</f>
        <v/>
      </c>
      <c r="AJ33" s="27">
        <f>MAX(O33-$C33,-1)*#REF!</f>
        <v/>
      </c>
      <c r="AK33" s="27">
        <f>MAX(P33-$C33,-1)*#REF!</f>
        <v/>
      </c>
      <c r="AL33" s="27">
        <f>MAX(Q33-$C33,-1)*#REF!</f>
        <v/>
      </c>
      <c r="AM33" s="27">
        <f>MAX(R33-$C33,-1)*#REF!</f>
        <v/>
      </c>
      <c r="AN33" s="27">
        <f>MAX(S33-$C33,-1)*#REF!</f>
        <v/>
      </c>
      <c r="AO33" s="27">
        <f>MAX(T33-$C33,-1)*#REF!</f>
        <v/>
      </c>
      <c r="AP33" s="27">
        <f>MAX(U33-$C33,-1)*#REF!</f>
        <v/>
      </c>
      <c r="AQ33" s="27">
        <f>MAX(V33-$C33,-1)*#REF!</f>
        <v/>
      </c>
      <c r="AR33" s="27">
        <f>MAX(W33-$C33,-1)*#REF!</f>
        <v/>
      </c>
      <c r="AS33" s="27">
        <f>MAX(X33-$C33,-1)*#REF!</f>
        <v/>
      </c>
      <c r="AT33" s="29">
        <f>SUM(MAX(Y33:AS33,0))</f>
        <v/>
      </c>
    </row>
    <row r="34">
      <c r="A34" s="2" t="inlineStr">
        <is>
          <t>2012 кв.3</t>
        </is>
      </c>
      <c r="B34" s="16" t="n">
        <v>0</v>
      </c>
      <c r="C34" s="18" t="n">
        <v>2</v>
      </c>
      <c r="D34" s="6">
        <f>('Indicators Data'!C36-#REF!)/#REF!</f>
        <v/>
      </c>
      <c r="E34" s="14">
        <f>('Indicators Data'!D36-#REF!)/#REF!</f>
        <v/>
      </c>
      <c r="F34" s="14">
        <f>('Indicators Data'!E36-#REF!)/#REF!</f>
        <v/>
      </c>
      <c r="G34" s="14">
        <f>('Indicators Data'!F36-#REF!)/#REF!</f>
        <v/>
      </c>
      <c r="H34" s="14">
        <f>('Indicators Data'!G36-#REF!)/#REF!</f>
        <v/>
      </c>
      <c r="I34" s="14">
        <f>('Indicators Data'!P36-#REF!)/#REF!</f>
        <v/>
      </c>
      <c r="J34" s="15">
        <f>('Indicators Data'!T36-#REF!)/#REF!</f>
        <v/>
      </c>
      <c r="K34" s="6">
        <f>('Indicators Data'!U36-#REF!)/#REF!</f>
        <v/>
      </c>
      <c r="L34" s="14">
        <f>('Indicators Data'!Y36-#REF!)/#REF!</f>
        <v/>
      </c>
      <c r="M34" s="14">
        <f>('Indicators Data'!AD36-#REF!)/#REF!</f>
        <v/>
      </c>
      <c r="N34" s="15">
        <f>('Indicators Data'!#REF!-#REF!)/#REF!</f>
        <v/>
      </c>
      <c r="O34" s="6">
        <f>('Indicators Data'!#REF!-#REF!)/#REF!</f>
        <v/>
      </c>
      <c r="P34" s="14">
        <f>('Indicators Data'!#REF!-#REF!)/#REF!</f>
        <v/>
      </c>
      <c r="Q34" s="14">
        <f>-('Indicators Data'!#REF!-#REF!)/#REF!</f>
        <v/>
      </c>
      <c r="R34" s="15">
        <f>-('Indicators Data'!#REF!-#REF!)/#REF!</f>
        <v/>
      </c>
      <c r="S34" s="6">
        <f>('Indicators Data'!#REF!-#REF!)/#REF!</f>
        <v/>
      </c>
      <c r="T34" s="14">
        <f>('Indicators Data'!#REF!-#REF!)/#REF!</f>
        <v/>
      </c>
      <c r="U34" s="15">
        <f>('Indicators Data'!#REF!-#REF!)/#REF!</f>
        <v/>
      </c>
      <c r="V34" s="6">
        <f>-('Indicators Data'!#REF!-#REF!)/#REF!</f>
        <v/>
      </c>
      <c r="W34" s="14">
        <f>('Indicators Data'!#REF!-#REF!)/#REF!</f>
        <v/>
      </c>
      <c r="X34" s="15">
        <f>('Indicators Data'!#REF!-#REF!)/#REF!</f>
        <v/>
      </c>
      <c r="Y34" s="27">
        <f>MAX(D34-$C34,-1)*#REF!</f>
        <v/>
      </c>
      <c r="Z34" s="27">
        <f>MAX(E34-$C34,-1)*#REF!</f>
        <v/>
      </c>
      <c r="AA34" s="27">
        <f>MAX(F34-$C34,-1)*#REF!</f>
        <v/>
      </c>
      <c r="AB34" s="27">
        <f>MAX(G34-$C34,-1)*#REF!</f>
        <v/>
      </c>
      <c r="AC34" s="27">
        <f>MAX(H34-$C34,-1)*#REF!</f>
        <v/>
      </c>
      <c r="AD34" s="27">
        <f>MAX(I34-$C34,-1)*#REF!</f>
        <v/>
      </c>
      <c r="AE34" s="27">
        <f>MAX(J34-$C34,-1)*#REF!</f>
        <v/>
      </c>
      <c r="AF34" s="27">
        <f>MAX(K34-$C34,-1)*#REF!</f>
        <v/>
      </c>
      <c r="AG34" s="27">
        <f>MAX(L34-$C34,-1)*#REF!</f>
        <v/>
      </c>
      <c r="AH34" s="27">
        <f>MAX(M34-$C34,-1)*#REF!</f>
        <v/>
      </c>
      <c r="AI34" s="27">
        <f>MAX(N34-$C34,-1)*#REF!</f>
        <v/>
      </c>
      <c r="AJ34" s="27">
        <f>MAX(O34-$C34,-1)*#REF!</f>
        <v/>
      </c>
      <c r="AK34" s="27">
        <f>MAX(P34-$C34,-1)*#REF!</f>
        <v/>
      </c>
      <c r="AL34" s="27">
        <f>MAX(Q34-$C34,-1)*#REF!</f>
        <v/>
      </c>
      <c r="AM34" s="27">
        <f>MAX(R34-$C34,-1)*#REF!</f>
        <v/>
      </c>
      <c r="AN34" s="27">
        <f>MAX(S34-$C34,-1)*#REF!</f>
        <v/>
      </c>
      <c r="AO34" s="27">
        <f>MAX(T34-$C34,-1)*#REF!</f>
        <v/>
      </c>
      <c r="AP34" s="27">
        <f>MAX(U34-$C34,-1)*#REF!</f>
        <v/>
      </c>
      <c r="AQ34" s="27">
        <f>MAX(V34-$C34,-1)*#REF!</f>
        <v/>
      </c>
      <c r="AR34" s="27">
        <f>MAX(W34-$C34,-1)*#REF!</f>
        <v/>
      </c>
      <c r="AS34" s="27">
        <f>MAX(X34-$C34,-1)*#REF!</f>
        <v/>
      </c>
      <c r="AT34" s="29">
        <f>SUM(MAX(Y34:AS34,0))</f>
        <v/>
      </c>
    </row>
    <row r="35">
      <c r="A35" s="2" t="inlineStr">
        <is>
          <t>2012 кв.4</t>
        </is>
      </c>
      <c r="B35" s="16" t="n">
        <v>0</v>
      </c>
      <c r="C35" s="18" t="n">
        <v>2</v>
      </c>
      <c r="D35" s="6">
        <f>('Indicators Data'!C37-#REF!)/#REF!</f>
        <v/>
      </c>
      <c r="E35" s="14">
        <f>('Indicators Data'!D37-#REF!)/#REF!</f>
        <v/>
      </c>
      <c r="F35" s="14">
        <f>('Indicators Data'!E37-#REF!)/#REF!</f>
        <v/>
      </c>
      <c r="G35" s="14">
        <f>('Indicators Data'!F37-#REF!)/#REF!</f>
        <v/>
      </c>
      <c r="H35" s="14">
        <f>('Indicators Data'!G37-#REF!)/#REF!</f>
        <v/>
      </c>
      <c r="I35" s="14">
        <f>('Indicators Data'!P37-#REF!)/#REF!</f>
        <v/>
      </c>
      <c r="J35" s="15">
        <f>('Indicators Data'!T37-#REF!)/#REF!</f>
        <v/>
      </c>
      <c r="K35" s="6">
        <f>('Indicators Data'!U37-#REF!)/#REF!</f>
        <v/>
      </c>
      <c r="L35" s="14">
        <f>('Indicators Data'!Y37-#REF!)/#REF!</f>
        <v/>
      </c>
      <c r="M35" s="14">
        <f>('Indicators Data'!AD37-#REF!)/#REF!</f>
        <v/>
      </c>
      <c r="N35" s="15">
        <f>('Indicators Data'!#REF!-#REF!)/#REF!</f>
        <v/>
      </c>
      <c r="O35" s="6">
        <f>('Indicators Data'!#REF!-#REF!)/#REF!</f>
        <v/>
      </c>
      <c r="P35" s="14">
        <f>('Indicators Data'!#REF!-#REF!)/#REF!</f>
        <v/>
      </c>
      <c r="Q35" s="14">
        <f>-('Indicators Data'!#REF!-#REF!)/#REF!</f>
        <v/>
      </c>
      <c r="R35" s="15">
        <f>-('Indicators Data'!#REF!-#REF!)/#REF!</f>
        <v/>
      </c>
      <c r="S35" s="6">
        <f>('Indicators Data'!#REF!-#REF!)/#REF!</f>
        <v/>
      </c>
      <c r="T35" s="14">
        <f>('Indicators Data'!#REF!-#REF!)/#REF!</f>
        <v/>
      </c>
      <c r="U35" s="15">
        <f>('Indicators Data'!#REF!-#REF!)/#REF!</f>
        <v/>
      </c>
      <c r="V35" s="6">
        <f>-('Indicators Data'!#REF!-#REF!)/#REF!</f>
        <v/>
      </c>
      <c r="W35" s="14">
        <f>('Indicators Data'!#REF!-#REF!)/#REF!</f>
        <v/>
      </c>
      <c r="X35" s="15">
        <f>('Indicators Data'!#REF!-#REF!)/#REF!</f>
        <v/>
      </c>
      <c r="Y35" s="27">
        <f>MAX(D35-$C35,-1)*#REF!</f>
        <v/>
      </c>
      <c r="Z35" s="27">
        <f>MAX(E35-$C35,-1)*#REF!</f>
        <v/>
      </c>
      <c r="AA35" s="27">
        <f>MAX(F35-$C35,-1)*#REF!</f>
        <v/>
      </c>
      <c r="AB35" s="27">
        <f>MAX(G35-$C35,-1)*#REF!</f>
        <v/>
      </c>
      <c r="AC35" s="27">
        <f>MAX(H35-$C35,-1)*#REF!</f>
        <v/>
      </c>
      <c r="AD35" s="27">
        <f>MAX(I35-$C35,-1)*#REF!</f>
        <v/>
      </c>
      <c r="AE35" s="27">
        <f>MAX(J35-$C35,-1)*#REF!</f>
        <v/>
      </c>
      <c r="AF35" s="27">
        <f>MAX(K35-$C35,-1)*#REF!</f>
        <v/>
      </c>
      <c r="AG35" s="27">
        <f>MAX(L35-$C35,-1)*#REF!</f>
        <v/>
      </c>
      <c r="AH35" s="27">
        <f>MAX(M35-$C35,-1)*#REF!</f>
        <v/>
      </c>
      <c r="AI35" s="27">
        <f>MAX(N35-$C35,-1)*#REF!</f>
        <v/>
      </c>
      <c r="AJ35" s="27">
        <f>MAX(O35-$C35,-1)*#REF!</f>
        <v/>
      </c>
      <c r="AK35" s="27">
        <f>MAX(P35-$C35,-1)*#REF!</f>
        <v/>
      </c>
      <c r="AL35" s="27">
        <f>MAX(Q35-$C35,-1)*#REF!</f>
        <v/>
      </c>
      <c r="AM35" s="27">
        <f>MAX(R35-$C35,-1)*#REF!</f>
        <v/>
      </c>
      <c r="AN35" s="27">
        <f>MAX(S35-$C35,-1)*#REF!</f>
        <v/>
      </c>
      <c r="AO35" s="27">
        <f>MAX(T35-$C35,-1)*#REF!</f>
        <v/>
      </c>
      <c r="AP35" s="27">
        <f>MAX(U35-$C35,-1)*#REF!</f>
        <v/>
      </c>
      <c r="AQ35" s="27">
        <f>MAX(V35-$C35,-1)*#REF!</f>
        <v/>
      </c>
      <c r="AR35" s="27">
        <f>MAX(W35-$C35,-1)*#REF!</f>
        <v/>
      </c>
      <c r="AS35" s="27">
        <f>MAX(X35-$C35,-1)*#REF!</f>
        <v/>
      </c>
      <c r="AT35" s="29">
        <f>SUM(MAX(Y35:AS35,0))</f>
        <v/>
      </c>
    </row>
    <row r="36">
      <c r="A36" s="2" t="inlineStr">
        <is>
          <t>2013 кв.1</t>
        </is>
      </c>
      <c r="B36" s="16" t="n">
        <v>0</v>
      </c>
      <c r="C36" s="18" t="n">
        <v>2</v>
      </c>
      <c r="D36" s="6">
        <f>('Indicators Data'!C38-#REF!)/#REF!</f>
        <v/>
      </c>
      <c r="E36" s="14">
        <f>('Indicators Data'!D38-#REF!)/#REF!</f>
        <v/>
      </c>
      <c r="F36" s="14">
        <f>('Indicators Data'!E38-#REF!)/#REF!</f>
        <v/>
      </c>
      <c r="G36" s="14">
        <f>('Indicators Data'!F38-#REF!)/#REF!</f>
        <v/>
      </c>
      <c r="H36" s="14">
        <f>('Indicators Data'!G38-#REF!)/#REF!</f>
        <v/>
      </c>
      <c r="I36" s="14">
        <f>('Indicators Data'!P38-#REF!)/#REF!</f>
        <v/>
      </c>
      <c r="J36" s="15">
        <f>('Indicators Data'!T38-#REF!)/#REF!</f>
        <v/>
      </c>
      <c r="K36" s="6">
        <f>('Indicators Data'!U38-#REF!)/#REF!</f>
        <v/>
      </c>
      <c r="L36" s="14">
        <f>('Indicators Data'!Y38-#REF!)/#REF!</f>
        <v/>
      </c>
      <c r="M36" s="14">
        <f>('Indicators Data'!AD38-#REF!)/#REF!</f>
        <v/>
      </c>
      <c r="N36" s="15">
        <f>('Indicators Data'!#REF!-#REF!)/#REF!</f>
        <v/>
      </c>
      <c r="O36" s="6">
        <f>('Indicators Data'!#REF!-#REF!)/#REF!</f>
        <v/>
      </c>
      <c r="P36" s="14">
        <f>('Indicators Data'!#REF!-#REF!)/#REF!</f>
        <v/>
      </c>
      <c r="Q36" s="14">
        <f>-('Indicators Data'!#REF!-#REF!)/#REF!</f>
        <v/>
      </c>
      <c r="R36" s="15">
        <f>-('Indicators Data'!#REF!-#REF!)/#REF!</f>
        <v/>
      </c>
      <c r="S36" s="6">
        <f>('Indicators Data'!#REF!-#REF!)/#REF!</f>
        <v/>
      </c>
      <c r="T36" s="14">
        <f>('Indicators Data'!#REF!-#REF!)/#REF!</f>
        <v/>
      </c>
      <c r="U36" s="15">
        <f>('Indicators Data'!#REF!-#REF!)/#REF!</f>
        <v/>
      </c>
      <c r="V36" s="6">
        <f>-('Indicators Data'!#REF!-#REF!)/#REF!</f>
        <v/>
      </c>
      <c r="W36" s="14">
        <f>('Indicators Data'!#REF!-#REF!)/#REF!</f>
        <v/>
      </c>
      <c r="X36" s="15">
        <f>('Indicators Data'!#REF!-#REF!)/#REF!</f>
        <v/>
      </c>
      <c r="Y36" s="27">
        <f>MAX(D36-$C36,-1)*#REF!</f>
        <v/>
      </c>
      <c r="Z36" s="27">
        <f>MAX(E36-$C36,-1)*#REF!</f>
        <v/>
      </c>
      <c r="AA36" s="27">
        <f>MAX(F36-$C36,-1)*#REF!</f>
        <v/>
      </c>
      <c r="AB36" s="27">
        <f>MAX(G36-$C36,-1)*#REF!</f>
        <v/>
      </c>
      <c r="AC36" s="27">
        <f>MAX(H36-$C36,-1)*#REF!</f>
        <v/>
      </c>
      <c r="AD36" s="27">
        <f>MAX(I36-$C36,-1)*#REF!</f>
        <v/>
      </c>
      <c r="AE36" s="27">
        <f>MAX(J36-$C36,-1)*#REF!</f>
        <v/>
      </c>
      <c r="AF36" s="27">
        <f>MAX(K36-$C36,-1)*#REF!</f>
        <v/>
      </c>
      <c r="AG36" s="27">
        <f>MAX(L36-$C36,-1)*#REF!</f>
        <v/>
      </c>
      <c r="AH36" s="27">
        <f>MAX(M36-$C36,-1)*#REF!</f>
        <v/>
      </c>
      <c r="AI36" s="27">
        <f>MAX(N36-$C36,-1)*#REF!</f>
        <v/>
      </c>
      <c r="AJ36" s="27">
        <f>MAX(O36-$C36,-1)*#REF!</f>
        <v/>
      </c>
      <c r="AK36" s="27">
        <f>MAX(P36-$C36,-1)*#REF!</f>
        <v/>
      </c>
      <c r="AL36" s="27">
        <f>MAX(Q36-$C36,-1)*#REF!</f>
        <v/>
      </c>
      <c r="AM36" s="27">
        <f>MAX(R36-$C36,-1)*#REF!</f>
        <v/>
      </c>
      <c r="AN36" s="27">
        <f>MAX(S36-$C36,-1)*#REF!</f>
        <v/>
      </c>
      <c r="AO36" s="27">
        <f>MAX(T36-$C36,-1)*#REF!</f>
        <v/>
      </c>
      <c r="AP36" s="27">
        <f>MAX(U36-$C36,-1)*#REF!</f>
        <v/>
      </c>
      <c r="AQ36" s="27">
        <f>MAX(V36-$C36,-1)*#REF!</f>
        <v/>
      </c>
      <c r="AR36" s="27">
        <f>MAX(W36-$C36,-1)*#REF!</f>
        <v/>
      </c>
      <c r="AS36" s="27">
        <f>MAX(X36-$C36,-1)*#REF!</f>
        <v/>
      </c>
      <c r="AT36" s="29">
        <f>SUM(MAX(Y36:AS36,0))</f>
        <v/>
      </c>
    </row>
    <row r="37">
      <c r="A37" s="2" t="inlineStr">
        <is>
          <t>2013 кв.2</t>
        </is>
      </c>
      <c r="B37" s="16" t="n">
        <v>0</v>
      </c>
      <c r="C37" s="18" t="n">
        <v>2</v>
      </c>
      <c r="D37" s="6">
        <f>('Indicators Data'!C39-#REF!)/#REF!</f>
        <v/>
      </c>
      <c r="E37" s="14">
        <f>('Indicators Data'!D39-#REF!)/#REF!</f>
        <v/>
      </c>
      <c r="F37" s="14">
        <f>('Indicators Data'!E39-#REF!)/#REF!</f>
        <v/>
      </c>
      <c r="G37" s="14">
        <f>('Indicators Data'!F39-#REF!)/#REF!</f>
        <v/>
      </c>
      <c r="H37" s="14">
        <f>('Indicators Data'!G39-#REF!)/#REF!</f>
        <v/>
      </c>
      <c r="I37" s="14">
        <f>('Indicators Data'!P39-#REF!)/#REF!</f>
        <v/>
      </c>
      <c r="J37" s="15">
        <f>('Indicators Data'!T39-#REF!)/#REF!</f>
        <v/>
      </c>
      <c r="K37" s="6">
        <f>('Indicators Data'!U39-#REF!)/#REF!</f>
        <v/>
      </c>
      <c r="L37" s="14">
        <f>('Indicators Data'!Y39-#REF!)/#REF!</f>
        <v/>
      </c>
      <c r="M37" s="14">
        <f>('Indicators Data'!AD39-#REF!)/#REF!</f>
        <v/>
      </c>
      <c r="N37" s="15">
        <f>('Indicators Data'!#REF!-#REF!)/#REF!</f>
        <v/>
      </c>
      <c r="O37" s="6">
        <f>('Indicators Data'!#REF!-#REF!)/#REF!</f>
        <v/>
      </c>
      <c r="P37" s="14">
        <f>('Indicators Data'!#REF!-#REF!)/#REF!</f>
        <v/>
      </c>
      <c r="Q37" s="14">
        <f>-('Indicators Data'!#REF!-#REF!)/#REF!</f>
        <v/>
      </c>
      <c r="R37" s="15">
        <f>-('Indicators Data'!#REF!-#REF!)/#REF!</f>
        <v/>
      </c>
      <c r="S37" s="6">
        <f>('Indicators Data'!#REF!-#REF!)/#REF!</f>
        <v/>
      </c>
      <c r="T37" s="14">
        <f>('Indicators Data'!#REF!-#REF!)/#REF!</f>
        <v/>
      </c>
      <c r="U37" s="15">
        <f>('Indicators Data'!#REF!-#REF!)/#REF!</f>
        <v/>
      </c>
      <c r="V37" s="6">
        <f>-('Indicators Data'!#REF!-#REF!)/#REF!</f>
        <v/>
      </c>
      <c r="W37" s="14">
        <f>('Indicators Data'!#REF!-#REF!)/#REF!</f>
        <v/>
      </c>
      <c r="X37" s="15">
        <f>('Indicators Data'!#REF!-#REF!)/#REF!</f>
        <v/>
      </c>
      <c r="Y37" s="27">
        <f>MAX(D37-$C37,-1)*#REF!</f>
        <v/>
      </c>
      <c r="Z37" s="27">
        <f>MAX(E37-$C37,-1)*#REF!</f>
        <v/>
      </c>
      <c r="AA37" s="27">
        <f>MAX(F37-$C37,-1)*#REF!</f>
        <v/>
      </c>
      <c r="AB37" s="27">
        <f>MAX(G37-$C37,-1)*#REF!</f>
        <v/>
      </c>
      <c r="AC37" s="27">
        <f>MAX(H37-$C37,-1)*#REF!</f>
        <v/>
      </c>
      <c r="AD37" s="27">
        <f>MAX(I37-$C37,-1)*#REF!</f>
        <v/>
      </c>
      <c r="AE37" s="27">
        <f>MAX(J37-$C37,-1)*#REF!</f>
        <v/>
      </c>
      <c r="AF37" s="27">
        <f>MAX(K37-$C37,-1)*#REF!</f>
        <v/>
      </c>
      <c r="AG37" s="27">
        <f>MAX(L37-$C37,-1)*#REF!</f>
        <v/>
      </c>
      <c r="AH37" s="27">
        <f>MAX(M37-$C37,-1)*#REF!</f>
        <v/>
      </c>
      <c r="AI37" s="27">
        <f>MAX(N37-$C37,-1)*#REF!</f>
        <v/>
      </c>
      <c r="AJ37" s="27">
        <f>MAX(O37-$C37,-1)*#REF!</f>
        <v/>
      </c>
      <c r="AK37" s="27">
        <f>MAX(P37-$C37,-1)*#REF!</f>
        <v/>
      </c>
      <c r="AL37" s="27">
        <f>MAX(Q37-$C37,-1)*#REF!</f>
        <v/>
      </c>
      <c r="AM37" s="27">
        <f>MAX(R37-$C37,-1)*#REF!</f>
        <v/>
      </c>
      <c r="AN37" s="27">
        <f>MAX(S37-$C37,-1)*#REF!</f>
        <v/>
      </c>
      <c r="AO37" s="27">
        <f>MAX(T37-$C37,-1)*#REF!</f>
        <v/>
      </c>
      <c r="AP37" s="27">
        <f>MAX(U37-$C37,-1)*#REF!</f>
        <v/>
      </c>
      <c r="AQ37" s="27">
        <f>MAX(V37-$C37,-1)*#REF!</f>
        <v/>
      </c>
      <c r="AR37" s="27">
        <f>MAX(W37-$C37,-1)*#REF!</f>
        <v/>
      </c>
      <c r="AS37" s="27">
        <f>MAX(X37-$C37,-1)*#REF!</f>
        <v/>
      </c>
      <c r="AT37" s="29">
        <f>SUM(MAX(Y37:AS37,0))</f>
        <v/>
      </c>
    </row>
    <row r="38">
      <c r="A38" s="2" t="inlineStr">
        <is>
          <t>2013 кв.3</t>
        </is>
      </c>
      <c r="B38" s="16" t="n">
        <v>0</v>
      </c>
      <c r="C38" s="18" t="n">
        <v>2</v>
      </c>
      <c r="D38" s="6">
        <f>('Indicators Data'!C40-#REF!)/#REF!</f>
        <v/>
      </c>
      <c r="E38" s="14">
        <f>('Indicators Data'!D40-#REF!)/#REF!</f>
        <v/>
      </c>
      <c r="F38" s="14">
        <f>('Indicators Data'!E40-#REF!)/#REF!</f>
        <v/>
      </c>
      <c r="G38" s="14">
        <f>('Indicators Data'!F40-#REF!)/#REF!</f>
        <v/>
      </c>
      <c r="H38" s="14">
        <f>('Indicators Data'!G40-#REF!)/#REF!</f>
        <v/>
      </c>
      <c r="I38" s="14">
        <f>('Indicators Data'!P40-#REF!)/#REF!</f>
        <v/>
      </c>
      <c r="J38" s="15">
        <f>('Indicators Data'!T40-#REF!)/#REF!</f>
        <v/>
      </c>
      <c r="K38" s="6">
        <f>('Indicators Data'!U40-#REF!)/#REF!</f>
        <v/>
      </c>
      <c r="L38" s="14">
        <f>('Indicators Data'!Y40-#REF!)/#REF!</f>
        <v/>
      </c>
      <c r="M38" s="14">
        <f>('Indicators Data'!AD40-#REF!)/#REF!</f>
        <v/>
      </c>
      <c r="N38" s="15">
        <f>('Indicators Data'!#REF!-#REF!)/#REF!</f>
        <v/>
      </c>
      <c r="O38" s="6">
        <f>('Indicators Data'!#REF!-#REF!)/#REF!</f>
        <v/>
      </c>
      <c r="P38" s="14">
        <f>('Indicators Data'!#REF!-#REF!)/#REF!</f>
        <v/>
      </c>
      <c r="Q38" s="14">
        <f>-('Indicators Data'!#REF!-#REF!)/#REF!</f>
        <v/>
      </c>
      <c r="R38" s="15">
        <f>-('Indicators Data'!#REF!-#REF!)/#REF!</f>
        <v/>
      </c>
      <c r="S38" s="6">
        <f>('Indicators Data'!#REF!-#REF!)/#REF!</f>
        <v/>
      </c>
      <c r="T38" s="14">
        <f>('Indicators Data'!#REF!-#REF!)/#REF!</f>
        <v/>
      </c>
      <c r="U38" s="15">
        <f>('Indicators Data'!#REF!-#REF!)/#REF!</f>
        <v/>
      </c>
      <c r="V38" s="6">
        <f>-('Indicators Data'!#REF!-#REF!)/#REF!</f>
        <v/>
      </c>
      <c r="W38" s="14">
        <f>('Indicators Data'!#REF!-#REF!)/#REF!</f>
        <v/>
      </c>
      <c r="X38" s="15">
        <f>('Indicators Data'!#REF!-#REF!)/#REF!</f>
        <v/>
      </c>
      <c r="Y38" s="27">
        <f>MAX(D38-$C38,-1)*#REF!</f>
        <v/>
      </c>
      <c r="Z38" s="27">
        <f>MAX(E38-$C38,-1)*#REF!</f>
        <v/>
      </c>
      <c r="AA38" s="27">
        <f>MAX(F38-$C38,-1)*#REF!</f>
        <v/>
      </c>
      <c r="AB38" s="27">
        <f>MAX(G38-$C38,-1)*#REF!</f>
        <v/>
      </c>
      <c r="AC38" s="27">
        <f>MAX(H38-$C38,-1)*#REF!</f>
        <v/>
      </c>
      <c r="AD38" s="27">
        <f>MAX(I38-$C38,-1)*#REF!</f>
        <v/>
      </c>
      <c r="AE38" s="27">
        <f>MAX(J38-$C38,-1)*#REF!</f>
        <v/>
      </c>
      <c r="AF38" s="27">
        <f>MAX(K38-$C38,-1)*#REF!</f>
        <v/>
      </c>
      <c r="AG38" s="27">
        <f>MAX(L38-$C38,-1)*#REF!</f>
        <v/>
      </c>
      <c r="AH38" s="27">
        <f>MAX(M38-$C38,-1)*#REF!</f>
        <v/>
      </c>
      <c r="AI38" s="27">
        <f>MAX(N38-$C38,-1)*#REF!</f>
        <v/>
      </c>
      <c r="AJ38" s="27">
        <f>MAX(O38-$C38,-1)*#REF!</f>
        <v/>
      </c>
      <c r="AK38" s="27">
        <f>MAX(P38-$C38,-1)*#REF!</f>
        <v/>
      </c>
      <c r="AL38" s="27">
        <f>MAX(Q38-$C38,-1)*#REF!</f>
        <v/>
      </c>
      <c r="AM38" s="27">
        <f>MAX(R38-$C38,-1)*#REF!</f>
        <v/>
      </c>
      <c r="AN38" s="27">
        <f>MAX(S38-$C38,-1)*#REF!</f>
        <v/>
      </c>
      <c r="AO38" s="27">
        <f>MAX(T38-$C38,-1)*#REF!</f>
        <v/>
      </c>
      <c r="AP38" s="27">
        <f>MAX(U38-$C38,-1)*#REF!</f>
        <v/>
      </c>
      <c r="AQ38" s="27">
        <f>MAX(V38-$C38,-1)*#REF!</f>
        <v/>
      </c>
      <c r="AR38" s="27">
        <f>MAX(W38-$C38,-1)*#REF!</f>
        <v/>
      </c>
      <c r="AS38" s="27">
        <f>MAX(X38-$C38,-1)*#REF!</f>
        <v/>
      </c>
      <c r="AT38" s="29">
        <f>SUM(MAX(Y38:AS38,0))</f>
        <v/>
      </c>
    </row>
    <row r="39">
      <c r="A39" s="2" t="inlineStr">
        <is>
          <t>2013 кв.4</t>
        </is>
      </c>
      <c r="B39" s="16" t="n">
        <v>0</v>
      </c>
      <c r="C39" s="18" t="n">
        <v>2</v>
      </c>
      <c r="D39" s="6">
        <f>('Indicators Data'!C41-#REF!)/#REF!</f>
        <v/>
      </c>
      <c r="E39" s="14">
        <f>('Indicators Data'!D41-#REF!)/#REF!</f>
        <v/>
      </c>
      <c r="F39" s="14">
        <f>('Indicators Data'!E41-#REF!)/#REF!</f>
        <v/>
      </c>
      <c r="G39" s="14">
        <f>('Indicators Data'!F41-#REF!)/#REF!</f>
        <v/>
      </c>
      <c r="H39" s="14">
        <f>('Indicators Data'!G41-#REF!)/#REF!</f>
        <v/>
      </c>
      <c r="I39" s="14">
        <f>('Indicators Data'!P41-#REF!)/#REF!</f>
        <v/>
      </c>
      <c r="J39" s="15">
        <f>('Indicators Data'!T41-#REF!)/#REF!</f>
        <v/>
      </c>
      <c r="K39" s="6">
        <f>('Indicators Data'!U41-#REF!)/#REF!</f>
        <v/>
      </c>
      <c r="L39" s="14">
        <f>('Indicators Data'!Y41-#REF!)/#REF!</f>
        <v/>
      </c>
      <c r="M39" s="14">
        <f>('Indicators Data'!AD41-#REF!)/#REF!</f>
        <v/>
      </c>
      <c r="N39" s="15">
        <f>('Indicators Data'!#REF!-#REF!)/#REF!</f>
        <v/>
      </c>
      <c r="O39" s="6">
        <f>('Indicators Data'!#REF!-#REF!)/#REF!</f>
        <v/>
      </c>
      <c r="P39" s="14">
        <f>('Indicators Data'!#REF!-#REF!)/#REF!</f>
        <v/>
      </c>
      <c r="Q39" s="14">
        <f>-('Indicators Data'!#REF!-#REF!)/#REF!</f>
        <v/>
      </c>
      <c r="R39" s="15">
        <f>-('Indicators Data'!#REF!-#REF!)/#REF!</f>
        <v/>
      </c>
      <c r="S39" s="6">
        <f>('Indicators Data'!#REF!-#REF!)/#REF!</f>
        <v/>
      </c>
      <c r="T39" s="14">
        <f>('Indicators Data'!#REF!-#REF!)/#REF!</f>
        <v/>
      </c>
      <c r="U39" s="15">
        <f>('Indicators Data'!#REF!-#REF!)/#REF!</f>
        <v/>
      </c>
      <c r="V39" s="6">
        <f>-('Indicators Data'!#REF!-#REF!)/#REF!</f>
        <v/>
      </c>
      <c r="W39" s="14">
        <f>('Indicators Data'!#REF!-#REF!)/#REF!</f>
        <v/>
      </c>
      <c r="X39" s="15">
        <f>('Indicators Data'!#REF!-#REF!)/#REF!</f>
        <v/>
      </c>
      <c r="Y39" s="27">
        <f>MAX(D39-$C39,-1)*#REF!</f>
        <v/>
      </c>
      <c r="Z39" s="27">
        <f>MAX(E39-$C39,-1)*#REF!</f>
        <v/>
      </c>
      <c r="AA39" s="27">
        <f>MAX(F39-$C39,-1)*#REF!</f>
        <v/>
      </c>
      <c r="AB39" s="27">
        <f>MAX(G39-$C39,-1)*#REF!</f>
        <v/>
      </c>
      <c r="AC39" s="27">
        <f>MAX(H39-$C39,-1)*#REF!</f>
        <v/>
      </c>
      <c r="AD39" s="27">
        <f>MAX(I39-$C39,-1)*#REF!</f>
        <v/>
      </c>
      <c r="AE39" s="27">
        <f>MAX(J39-$C39,-1)*#REF!</f>
        <v/>
      </c>
      <c r="AF39" s="27">
        <f>MAX(K39-$C39,-1)*#REF!</f>
        <v/>
      </c>
      <c r="AG39" s="27">
        <f>MAX(L39-$C39,-1)*#REF!</f>
        <v/>
      </c>
      <c r="AH39" s="27">
        <f>MAX(M39-$C39,-1)*#REF!</f>
        <v/>
      </c>
      <c r="AI39" s="27">
        <f>MAX(N39-$C39,-1)*#REF!</f>
        <v/>
      </c>
      <c r="AJ39" s="27">
        <f>MAX(O39-$C39,-1)*#REF!</f>
        <v/>
      </c>
      <c r="AK39" s="27">
        <f>MAX(P39-$C39,-1)*#REF!</f>
        <v/>
      </c>
      <c r="AL39" s="27">
        <f>MAX(Q39-$C39,-1)*#REF!</f>
        <v/>
      </c>
      <c r="AM39" s="27">
        <f>MAX(R39-$C39,-1)*#REF!</f>
        <v/>
      </c>
      <c r="AN39" s="27">
        <f>MAX(S39-$C39,-1)*#REF!</f>
        <v/>
      </c>
      <c r="AO39" s="27">
        <f>MAX(T39-$C39,-1)*#REF!</f>
        <v/>
      </c>
      <c r="AP39" s="27">
        <f>MAX(U39-$C39,-1)*#REF!</f>
        <v/>
      </c>
      <c r="AQ39" s="27">
        <f>MAX(V39-$C39,-1)*#REF!</f>
        <v/>
      </c>
      <c r="AR39" s="27">
        <f>MAX(W39-$C39,-1)*#REF!</f>
        <v/>
      </c>
      <c r="AS39" s="27">
        <f>MAX(X39-$C39,-1)*#REF!</f>
        <v/>
      </c>
      <c r="AT39" s="29">
        <f>SUM(MAX(Y39:AS39,0))</f>
        <v/>
      </c>
    </row>
    <row r="40">
      <c r="A40" s="2" t="inlineStr">
        <is>
          <t>2014 кв.1</t>
        </is>
      </c>
      <c r="B40" s="16" t="n">
        <v>0</v>
      </c>
      <c r="C40" s="18" t="n">
        <v>2</v>
      </c>
      <c r="D40" s="6">
        <f>('Indicators Data'!C42-#REF!)/#REF!</f>
        <v/>
      </c>
      <c r="E40" s="14">
        <f>('Indicators Data'!D42-#REF!)/#REF!</f>
        <v/>
      </c>
      <c r="F40" s="14">
        <f>('Indicators Data'!E42-#REF!)/#REF!</f>
        <v/>
      </c>
      <c r="G40" s="14">
        <f>('Indicators Data'!F42-#REF!)/#REF!</f>
        <v/>
      </c>
      <c r="H40" s="14">
        <f>('Indicators Data'!G42-#REF!)/#REF!</f>
        <v/>
      </c>
      <c r="I40" s="14">
        <f>('Indicators Data'!P42-#REF!)/#REF!</f>
        <v/>
      </c>
      <c r="J40" s="15">
        <f>('Indicators Data'!T42-#REF!)/#REF!</f>
        <v/>
      </c>
      <c r="K40" s="6">
        <f>('Indicators Data'!U42-#REF!)/#REF!</f>
        <v/>
      </c>
      <c r="L40" s="14">
        <f>('Indicators Data'!Y42-#REF!)/#REF!</f>
        <v/>
      </c>
      <c r="M40" s="14">
        <f>('Indicators Data'!AD42-#REF!)/#REF!</f>
        <v/>
      </c>
      <c r="N40" s="15">
        <f>('Indicators Data'!#REF!-#REF!)/#REF!</f>
        <v/>
      </c>
      <c r="O40" s="6">
        <f>('Indicators Data'!#REF!-#REF!)/#REF!</f>
        <v/>
      </c>
      <c r="P40" s="14">
        <f>('Indicators Data'!#REF!-#REF!)/#REF!</f>
        <v/>
      </c>
      <c r="Q40" s="14">
        <f>-('Indicators Data'!#REF!-#REF!)/#REF!</f>
        <v/>
      </c>
      <c r="R40" s="15">
        <f>-('Indicators Data'!#REF!-#REF!)/#REF!</f>
        <v/>
      </c>
      <c r="S40" s="6">
        <f>('Indicators Data'!#REF!-#REF!)/#REF!</f>
        <v/>
      </c>
      <c r="T40" s="14">
        <f>('Indicators Data'!#REF!-#REF!)/#REF!</f>
        <v/>
      </c>
      <c r="U40" s="15">
        <f>('Indicators Data'!#REF!-#REF!)/#REF!</f>
        <v/>
      </c>
      <c r="V40" s="6">
        <f>-('Indicators Data'!#REF!-#REF!)/#REF!</f>
        <v/>
      </c>
      <c r="W40" s="14">
        <f>('Indicators Data'!#REF!-#REF!)/#REF!</f>
        <v/>
      </c>
      <c r="X40" s="15">
        <f>('Indicators Data'!#REF!-#REF!)/#REF!</f>
        <v/>
      </c>
      <c r="Y40" s="27">
        <f>MAX(D40-$C40,-1)*#REF!</f>
        <v/>
      </c>
      <c r="Z40" s="27">
        <f>MAX(E40-$C40,-1)*#REF!</f>
        <v/>
      </c>
      <c r="AA40" s="27">
        <f>MAX(F40-$C40,-1)*#REF!</f>
        <v/>
      </c>
      <c r="AB40" s="27">
        <f>MAX(G40-$C40,-1)*#REF!</f>
        <v/>
      </c>
      <c r="AC40" s="27">
        <f>MAX(H40-$C40,-1)*#REF!</f>
        <v/>
      </c>
      <c r="AD40" s="27">
        <f>MAX(I40-$C40,-1)*#REF!</f>
        <v/>
      </c>
      <c r="AE40" s="27">
        <f>MAX(J40-$C40,-1)*#REF!</f>
        <v/>
      </c>
      <c r="AF40" s="27">
        <f>MAX(K40-$C40,-1)*#REF!</f>
        <v/>
      </c>
      <c r="AG40" s="27">
        <f>MAX(L40-$C40,-1)*#REF!</f>
        <v/>
      </c>
      <c r="AH40" s="27">
        <f>MAX(M40-$C40,-1)*#REF!</f>
        <v/>
      </c>
      <c r="AI40" s="27">
        <f>MAX(N40-$C40,-1)*#REF!</f>
        <v/>
      </c>
      <c r="AJ40" s="27">
        <f>MAX(O40-$C40,-1)*#REF!</f>
        <v/>
      </c>
      <c r="AK40" s="27">
        <f>MAX(P40-$C40,-1)*#REF!</f>
        <v/>
      </c>
      <c r="AL40" s="27">
        <f>MAX(Q40-$C40,-1)*#REF!</f>
        <v/>
      </c>
      <c r="AM40" s="27">
        <f>MAX(R40-$C40,-1)*#REF!</f>
        <v/>
      </c>
      <c r="AN40" s="27">
        <f>MAX(S40-$C40,-1)*#REF!</f>
        <v/>
      </c>
      <c r="AO40" s="27">
        <f>MAX(T40-$C40,-1)*#REF!</f>
        <v/>
      </c>
      <c r="AP40" s="27">
        <f>MAX(U40-$C40,-1)*#REF!</f>
        <v/>
      </c>
      <c r="AQ40" s="27">
        <f>MAX(V40-$C40,-1)*#REF!</f>
        <v/>
      </c>
      <c r="AR40" s="27">
        <f>MAX(W40-$C40,-1)*#REF!</f>
        <v/>
      </c>
      <c r="AS40" s="27">
        <f>MAX(X40-$C40,-1)*#REF!</f>
        <v/>
      </c>
      <c r="AT40" s="29">
        <f>SUM(MAX(Y40:AS40,0))</f>
        <v/>
      </c>
    </row>
    <row r="41">
      <c r="A41" s="2" t="inlineStr">
        <is>
          <t>2014 кв.2</t>
        </is>
      </c>
      <c r="B41" s="16" t="n">
        <v>0</v>
      </c>
      <c r="C41" s="18" t="n">
        <v>2</v>
      </c>
      <c r="D41" s="6">
        <f>('Indicators Data'!C43-#REF!)/#REF!</f>
        <v/>
      </c>
      <c r="E41" s="14">
        <f>('Indicators Data'!D43-#REF!)/#REF!</f>
        <v/>
      </c>
      <c r="F41" s="14">
        <f>('Indicators Data'!E43-#REF!)/#REF!</f>
        <v/>
      </c>
      <c r="G41" s="14">
        <f>('Indicators Data'!F43-#REF!)/#REF!</f>
        <v/>
      </c>
      <c r="H41" s="14">
        <f>('Indicators Data'!G43-#REF!)/#REF!</f>
        <v/>
      </c>
      <c r="I41" s="14">
        <f>('Indicators Data'!P43-#REF!)/#REF!</f>
        <v/>
      </c>
      <c r="J41" s="15">
        <f>('Indicators Data'!T43-#REF!)/#REF!</f>
        <v/>
      </c>
      <c r="K41" s="6">
        <f>('Indicators Data'!U43-#REF!)/#REF!</f>
        <v/>
      </c>
      <c r="L41" s="14">
        <f>('Indicators Data'!Y43-#REF!)/#REF!</f>
        <v/>
      </c>
      <c r="M41" s="14">
        <f>('Indicators Data'!AD43-#REF!)/#REF!</f>
        <v/>
      </c>
      <c r="N41" s="15">
        <f>('Indicators Data'!#REF!-#REF!)/#REF!</f>
        <v/>
      </c>
      <c r="O41" s="6">
        <f>('Indicators Data'!#REF!-#REF!)/#REF!</f>
        <v/>
      </c>
      <c r="P41" s="14">
        <f>('Indicators Data'!#REF!-#REF!)/#REF!</f>
        <v/>
      </c>
      <c r="Q41" s="14">
        <f>-('Indicators Data'!#REF!-#REF!)/#REF!</f>
        <v/>
      </c>
      <c r="R41" s="15">
        <f>-('Indicators Data'!#REF!-#REF!)/#REF!</f>
        <v/>
      </c>
      <c r="S41" s="6">
        <f>('Indicators Data'!#REF!-#REF!)/#REF!</f>
        <v/>
      </c>
      <c r="T41" s="14">
        <f>('Indicators Data'!#REF!-#REF!)/#REF!</f>
        <v/>
      </c>
      <c r="U41" s="15">
        <f>('Indicators Data'!#REF!-#REF!)/#REF!</f>
        <v/>
      </c>
      <c r="V41" s="6">
        <f>-('Indicators Data'!#REF!-#REF!)/#REF!</f>
        <v/>
      </c>
      <c r="W41" s="14">
        <f>('Indicators Data'!#REF!-#REF!)/#REF!</f>
        <v/>
      </c>
      <c r="X41" s="15">
        <f>('Indicators Data'!#REF!-#REF!)/#REF!</f>
        <v/>
      </c>
      <c r="Y41" s="27">
        <f>MAX(D41-$C41,-1)*#REF!</f>
        <v/>
      </c>
      <c r="Z41" s="27">
        <f>MAX(E41-$C41,-1)*#REF!</f>
        <v/>
      </c>
      <c r="AA41" s="27">
        <f>MAX(F41-$C41,-1)*#REF!</f>
        <v/>
      </c>
      <c r="AB41" s="27">
        <f>MAX(G41-$C41,-1)*#REF!</f>
        <v/>
      </c>
      <c r="AC41" s="27">
        <f>MAX(H41-$C41,-1)*#REF!</f>
        <v/>
      </c>
      <c r="AD41" s="27">
        <f>MAX(I41-$C41,-1)*#REF!</f>
        <v/>
      </c>
      <c r="AE41" s="27">
        <f>MAX(J41-$C41,-1)*#REF!</f>
        <v/>
      </c>
      <c r="AF41" s="27">
        <f>MAX(K41-$C41,-1)*#REF!</f>
        <v/>
      </c>
      <c r="AG41" s="27">
        <f>MAX(L41-$C41,-1)*#REF!</f>
        <v/>
      </c>
      <c r="AH41" s="27">
        <f>MAX(M41-$C41,-1)*#REF!</f>
        <v/>
      </c>
      <c r="AI41" s="27">
        <f>MAX(N41-$C41,-1)*#REF!</f>
        <v/>
      </c>
      <c r="AJ41" s="27">
        <f>MAX(O41-$C41,-1)*#REF!</f>
        <v/>
      </c>
      <c r="AK41" s="27">
        <f>MAX(P41-$C41,-1)*#REF!</f>
        <v/>
      </c>
      <c r="AL41" s="27">
        <f>MAX(Q41-$C41,-1)*#REF!</f>
        <v/>
      </c>
      <c r="AM41" s="27">
        <f>MAX(R41-$C41,-1)*#REF!</f>
        <v/>
      </c>
      <c r="AN41" s="27">
        <f>MAX(S41-$C41,-1)*#REF!</f>
        <v/>
      </c>
      <c r="AO41" s="27">
        <f>MAX(T41-$C41,-1)*#REF!</f>
        <v/>
      </c>
      <c r="AP41" s="27">
        <f>MAX(U41-$C41,-1)*#REF!</f>
        <v/>
      </c>
      <c r="AQ41" s="27">
        <f>MAX(V41-$C41,-1)*#REF!</f>
        <v/>
      </c>
      <c r="AR41" s="27">
        <f>MAX(W41-$C41,-1)*#REF!</f>
        <v/>
      </c>
      <c r="AS41" s="27">
        <f>MAX(X41-$C41,-1)*#REF!</f>
        <v/>
      </c>
      <c r="AT41" s="29">
        <f>SUM(MAX(Y41:AS41,0))</f>
        <v/>
      </c>
    </row>
    <row r="42">
      <c r="A42" s="2" t="inlineStr">
        <is>
          <t>2014 кв.3</t>
        </is>
      </c>
      <c r="B42" s="16" t="n">
        <v>0</v>
      </c>
      <c r="C42" s="18" t="n">
        <v>2</v>
      </c>
      <c r="D42" s="6">
        <f>('Indicators Data'!C44-#REF!)/#REF!</f>
        <v/>
      </c>
      <c r="E42" s="14">
        <f>('Indicators Data'!D44-#REF!)/#REF!</f>
        <v/>
      </c>
      <c r="F42" s="14">
        <f>('Indicators Data'!E44-#REF!)/#REF!</f>
        <v/>
      </c>
      <c r="G42" s="14">
        <f>('Indicators Data'!F44-#REF!)/#REF!</f>
        <v/>
      </c>
      <c r="H42" s="14">
        <f>('Indicators Data'!G44-#REF!)/#REF!</f>
        <v/>
      </c>
      <c r="I42" s="14">
        <f>('Indicators Data'!P44-#REF!)/#REF!</f>
        <v/>
      </c>
      <c r="J42" s="15">
        <f>('Indicators Data'!T44-#REF!)/#REF!</f>
        <v/>
      </c>
      <c r="K42" s="6">
        <f>('Indicators Data'!U44-#REF!)/#REF!</f>
        <v/>
      </c>
      <c r="L42" s="14">
        <f>('Indicators Data'!Y44-#REF!)/#REF!</f>
        <v/>
      </c>
      <c r="M42" s="14">
        <f>('Indicators Data'!AD44-#REF!)/#REF!</f>
        <v/>
      </c>
      <c r="N42" s="15">
        <f>('Indicators Data'!#REF!-#REF!)/#REF!</f>
        <v/>
      </c>
      <c r="O42" s="6">
        <f>('Indicators Data'!#REF!-#REF!)/#REF!</f>
        <v/>
      </c>
      <c r="P42" s="14">
        <f>('Indicators Data'!#REF!-#REF!)/#REF!</f>
        <v/>
      </c>
      <c r="Q42" s="14">
        <f>-('Indicators Data'!#REF!-#REF!)/#REF!</f>
        <v/>
      </c>
      <c r="R42" s="15">
        <f>-('Indicators Data'!#REF!-#REF!)/#REF!</f>
        <v/>
      </c>
      <c r="S42" s="6">
        <f>('Indicators Data'!#REF!-#REF!)/#REF!</f>
        <v/>
      </c>
      <c r="T42" s="14">
        <f>('Indicators Data'!#REF!-#REF!)/#REF!</f>
        <v/>
      </c>
      <c r="U42" s="15">
        <f>('Indicators Data'!#REF!-#REF!)/#REF!</f>
        <v/>
      </c>
      <c r="V42" s="6">
        <f>-('Indicators Data'!#REF!-#REF!)/#REF!</f>
        <v/>
      </c>
      <c r="W42" s="14">
        <f>('Indicators Data'!#REF!-#REF!)/#REF!</f>
        <v/>
      </c>
      <c r="X42" s="15">
        <f>('Indicators Data'!#REF!-#REF!)/#REF!</f>
        <v/>
      </c>
      <c r="Y42" s="27">
        <f>MAX(D42-$C42,-1)*#REF!</f>
        <v/>
      </c>
      <c r="Z42" s="27">
        <f>MAX(E42-$C42,-1)*#REF!</f>
        <v/>
      </c>
      <c r="AA42" s="27">
        <f>MAX(F42-$C42,-1)*#REF!</f>
        <v/>
      </c>
      <c r="AB42" s="27">
        <f>MAX(G42-$C42,-1)*#REF!</f>
        <v/>
      </c>
      <c r="AC42" s="27">
        <f>MAX(H42-$C42,-1)*#REF!</f>
        <v/>
      </c>
      <c r="AD42" s="27">
        <f>MAX(I42-$C42,-1)*#REF!</f>
        <v/>
      </c>
      <c r="AE42" s="27">
        <f>MAX(J42-$C42,-1)*#REF!</f>
        <v/>
      </c>
      <c r="AF42" s="27">
        <f>MAX(K42-$C42,-1)*#REF!</f>
        <v/>
      </c>
      <c r="AG42" s="27">
        <f>MAX(L42-$C42,-1)*#REF!</f>
        <v/>
      </c>
      <c r="AH42" s="27">
        <f>MAX(M42-$C42,-1)*#REF!</f>
        <v/>
      </c>
      <c r="AI42" s="27">
        <f>MAX(N42-$C42,-1)*#REF!</f>
        <v/>
      </c>
      <c r="AJ42" s="27">
        <f>MAX(O42-$C42,-1)*#REF!</f>
        <v/>
      </c>
      <c r="AK42" s="27">
        <f>MAX(P42-$C42,-1)*#REF!</f>
        <v/>
      </c>
      <c r="AL42" s="27">
        <f>MAX(Q42-$C42,-1)*#REF!</f>
        <v/>
      </c>
      <c r="AM42" s="27">
        <f>MAX(R42-$C42,-1)*#REF!</f>
        <v/>
      </c>
      <c r="AN42" s="27">
        <f>MAX(S42-$C42,-1)*#REF!</f>
        <v/>
      </c>
      <c r="AO42" s="27">
        <f>MAX(T42-$C42,-1)*#REF!</f>
        <v/>
      </c>
      <c r="AP42" s="27">
        <f>MAX(U42-$C42,-1)*#REF!</f>
        <v/>
      </c>
      <c r="AQ42" s="27">
        <f>MAX(V42-$C42,-1)*#REF!</f>
        <v/>
      </c>
      <c r="AR42" s="27">
        <f>MAX(W42-$C42,-1)*#REF!</f>
        <v/>
      </c>
      <c r="AS42" s="27">
        <f>MAX(X42-$C42,-1)*#REF!</f>
        <v/>
      </c>
      <c r="AT42" s="29">
        <f>SUM(MAX(Y42:AS42,0))</f>
        <v/>
      </c>
    </row>
    <row r="43">
      <c r="A43" s="2" t="inlineStr">
        <is>
          <t>2014 кв.4</t>
        </is>
      </c>
      <c r="B43" s="16" t="n">
        <v>1</v>
      </c>
      <c r="C43" s="18" t="n">
        <v>2</v>
      </c>
      <c r="D43" s="6">
        <f>('Indicators Data'!C45-#REF!)/#REF!</f>
        <v/>
      </c>
      <c r="E43" s="14">
        <f>('Indicators Data'!D45-#REF!)/#REF!</f>
        <v/>
      </c>
      <c r="F43" s="14">
        <f>('Indicators Data'!E45-#REF!)/#REF!</f>
        <v/>
      </c>
      <c r="G43" s="14">
        <f>('Indicators Data'!F45-#REF!)/#REF!</f>
        <v/>
      </c>
      <c r="H43" s="14">
        <f>('Indicators Data'!G45-#REF!)/#REF!</f>
        <v/>
      </c>
      <c r="I43" s="14">
        <f>('Indicators Data'!P45-#REF!)/#REF!</f>
        <v/>
      </c>
      <c r="J43" s="15">
        <f>('Indicators Data'!T45-#REF!)/#REF!</f>
        <v/>
      </c>
      <c r="K43" s="6">
        <f>('Indicators Data'!U45-#REF!)/#REF!</f>
        <v/>
      </c>
      <c r="L43" s="14">
        <f>('Indicators Data'!Y45-#REF!)/#REF!</f>
        <v/>
      </c>
      <c r="M43" s="14">
        <f>('Indicators Data'!AD45-#REF!)/#REF!</f>
        <v/>
      </c>
      <c r="N43" s="15">
        <f>('Indicators Data'!#REF!-#REF!)/#REF!</f>
        <v/>
      </c>
      <c r="O43" s="6">
        <f>('Indicators Data'!#REF!-#REF!)/#REF!</f>
        <v/>
      </c>
      <c r="P43" s="14">
        <f>('Indicators Data'!#REF!-#REF!)/#REF!</f>
        <v/>
      </c>
      <c r="Q43" s="14">
        <f>-('Indicators Data'!#REF!-#REF!)/#REF!</f>
        <v/>
      </c>
      <c r="R43" s="15">
        <f>-('Indicators Data'!#REF!-#REF!)/#REF!</f>
        <v/>
      </c>
      <c r="S43" s="6">
        <f>('Indicators Data'!#REF!-#REF!)/#REF!</f>
        <v/>
      </c>
      <c r="T43" s="14">
        <f>('Indicators Data'!#REF!-#REF!)/#REF!</f>
        <v/>
      </c>
      <c r="U43" s="15">
        <f>('Indicators Data'!#REF!-#REF!)/#REF!</f>
        <v/>
      </c>
      <c r="V43" s="6">
        <f>-('Indicators Data'!#REF!-#REF!)/#REF!</f>
        <v/>
      </c>
      <c r="W43" s="14">
        <f>('Indicators Data'!#REF!-#REF!)/#REF!</f>
        <v/>
      </c>
      <c r="X43" s="15">
        <f>('Indicators Data'!#REF!-#REF!)/#REF!</f>
        <v/>
      </c>
      <c r="Y43" s="27">
        <f>MAX(D43-$C43,-1)*#REF!</f>
        <v/>
      </c>
      <c r="Z43" s="27">
        <f>MAX(E43-$C43,-1)*#REF!</f>
        <v/>
      </c>
      <c r="AA43" s="27">
        <f>MAX(F43-$C43,-1)*#REF!</f>
        <v/>
      </c>
      <c r="AB43" s="27">
        <f>MAX(G43-$C43,-1)*#REF!</f>
        <v/>
      </c>
      <c r="AC43" s="27">
        <f>MAX(H43-$C43,-1)*#REF!</f>
        <v/>
      </c>
      <c r="AD43" s="27">
        <f>MAX(I43-$C43,-1)*#REF!</f>
        <v/>
      </c>
      <c r="AE43" s="27">
        <f>MAX(J43-$C43,-1)*#REF!</f>
        <v/>
      </c>
      <c r="AF43" s="27">
        <f>MAX(K43-$C43,-1)*#REF!</f>
        <v/>
      </c>
      <c r="AG43" s="27">
        <f>MAX(L43-$C43,-1)*#REF!</f>
        <v/>
      </c>
      <c r="AH43" s="27">
        <f>MAX(M43-$C43,-1)*#REF!</f>
        <v/>
      </c>
      <c r="AI43" s="27">
        <f>MAX(N43-$C43,-1)*#REF!</f>
        <v/>
      </c>
      <c r="AJ43" s="27">
        <f>MAX(O43-$C43,-1)*#REF!</f>
        <v/>
      </c>
      <c r="AK43" s="27">
        <f>MAX(P43-$C43,-1)*#REF!</f>
        <v/>
      </c>
      <c r="AL43" s="27">
        <f>MAX(Q43-$C43,-1)*#REF!</f>
        <v/>
      </c>
      <c r="AM43" s="27">
        <f>MAX(R43-$C43,-1)*#REF!</f>
        <v/>
      </c>
      <c r="AN43" s="27">
        <f>MAX(S43-$C43,-1)*#REF!</f>
        <v/>
      </c>
      <c r="AO43" s="27">
        <f>MAX(T43-$C43,-1)*#REF!</f>
        <v/>
      </c>
      <c r="AP43" s="27">
        <f>MAX(U43-$C43,-1)*#REF!</f>
        <v/>
      </c>
      <c r="AQ43" s="27">
        <f>MAX(V43-$C43,-1)*#REF!</f>
        <v/>
      </c>
      <c r="AR43" s="27">
        <f>MAX(W43-$C43,-1)*#REF!</f>
        <v/>
      </c>
      <c r="AS43" s="27">
        <f>MAX(X43-$C43,-1)*#REF!</f>
        <v/>
      </c>
      <c r="AT43" s="29">
        <f>SUM(MAX(Y43:AS43,0))</f>
        <v/>
      </c>
    </row>
    <row r="44">
      <c r="A44" s="2" t="inlineStr">
        <is>
          <t>2015 кв.1</t>
        </is>
      </c>
      <c r="B44" s="16" t="n">
        <v>0</v>
      </c>
      <c r="C44" s="18" t="n">
        <v>2</v>
      </c>
      <c r="D44" s="6">
        <f>('Indicators Data'!C46-#REF!)/#REF!</f>
        <v/>
      </c>
      <c r="E44" s="14">
        <f>('Indicators Data'!D46-#REF!)/#REF!</f>
        <v/>
      </c>
      <c r="F44" s="14">
        <f>('Indicators Data'!E46-#REF!)/#REF!</f>
        <v/>
      </c>
      <c r="G44" s="14">
        <f>('Indicators Data'!F46-#REF!)/#REF!</f>
        <v/>
      </c>
      <c r="H44" s="14">
        <f>('Indicators Data'!G46-#REF!)/#REF!</f>
        <v/>
      </c>
      <c r="I44" s="14">
        <f>('Indicators Data'!P46-#REF!)/#REF!</f>
        <v/>
      </c>
      <c r="J44" s="15">
        <f>('Indicators Data'!T46-#REF!)/#REF!</f>
        <v/>
      </c>
      <c r="K44" s="6">
        <f>('Indicators Data'!U46-#REF!)/#REF!</f>
        <v/>
      </c>
      <c r="L44" s="14">
        <f>('Indicators Data'!Y46-#REF!)/#REF!</f>
        <v/>
      </c>
      <c r="M44" s="14">
        <f>('Indicators Data'!AD46-#REF!)/#REF!</f>
        <v/>
      </c>
      <c r="N44" s="15">
        <f>('Indicators Data'!#REF!-#REF!)/#REF!</f>
        <v/>
      </c>
      <c r="O44" s="6">
        <f>('Indicators Data'!#REF!-#REF!)/#REF!</f>
        <v/>
      </c>
      <c r="P44" s="14">
        <f>('Indicators Data'!#REF!-#REF!)/#REF!</f>
        <v/>
      </c>
      <c r="Q44" s="14">
        <f>-('Indicators Data'!#REF!-#REF!)/#REF!</f>
        <v/>
      </c>
      <c r="R44" s="15">
        <f>-('Indicators Data'!#REF!-#REF!)/#REF!</f>
        <v/>
      </c>
      <c r="S44" s="6">
        <f>('Indicators Data'!#REF!-#REF!)/#REF!</f>
        <v/>
      </c>
      <c r="T44" s="14">
        <f>('Indicators Data'!#REF!-#REF!)/#REF!</f>
        <v/>
      </c>
      <c r="U44" s="15">
        <f>('Indicators Data'!#REF!-#REF!)/#REF!</f>
        <v/>
      </c>
      <c r="V44" s="6">
        <f>-('Indicators Data'!#REF!-#REF!)/#REF!</f>
        <v/>
      </c>
      <c r="W44" s="14">
        <f>('Indicators Data'!#REF!-#REF!)/#REF!</f>
        <v/>
      </c>
      <c r="X44" s="15">
        <f>('Indicators Data'!#REF!-#REF!)/#REF!</f>
        <v/>
      </c>
      <c r="Y44" s="27">
        <f>MAX(D44-$C44,-1)*#REF!</f>
        <v/>
      </c>
      <c r="Z44" s="27">
        <f>MAX(E44-$C44,-1)*#REF!</f>
        <v/>
      </c>
      <c r="AA44" s="27">
        <f>MAX(F44-$C44,-1)*#REF!</f>
        <v/>
      </c>
      <c r="AB44" s="27">
        <f>MAX(G44-$C44,-1)*#REF!</f>
        <v/>
      </c>
      <c r="AC44" s="27">
        <f>MAX(H44-$C44,-1)*#REF!</f>
        <v/>
      </c>
      <c r="AD44" s="27">
        <f>MAX(I44-$C44,-1)*#REF!</f>
        <v/>
      </c>
      <c r="AE44" s="27">
        <f>MAX(J44-$C44,-1)*#REF!</f>
        <v/>
      </c>
      <c r="AF44" s="27">
        <f>MAX(K44-$C44,-1)*#REF!</f>
        <v/>
      </c>
      <c r="AG44" s="27">
        <f>MAX(L44-$C44,-1)*#REF!</f>
        <v/>
      </c>
      <c r="AH44" s="27">
        <f>MAX(M44-$C44,-1)*#REF!</f>
        <v/>
      </c>
      <c r="AI44" s="27">
        <f>MAX(N44-$C44,-1)*#REF!</f>
        <v/>
      </c>
      <c r="AJ44" s="27">
        <f>MAX(O44-$C44,-1)*#REF!</f>
        <v/>
      </c>
      <c r="AK44" s="27">
        <f>MAX(P44-$C44,-1)*#REF!</f>
        <v/>
      </c>
      <c r="AL44" s="27">
        <f>MAX(Q44-$C44,-1)*#REF!</f>
        <v/>
      </c>
      <c r="AM44" s="27">
        <f>MAX(R44-$C44,-1)*#REF!</f>
        <v/>
      </c>
      <c r="AN44" s="27">
        <f>MAX(S44-$C44,-1)*#REF!</f>
        <v/>
      </c>
      <c r="AO44" s="27">
        <f>MAX(T44-$C44,-1)*#REF!</f>
        <v/>
      </c>
      <c r="AP44" s="27">
        <f>MAX(U44-$C44,-1)*#REF!</f>
        <v/>
      </c>
      <c r="AQ44" s="27">
        <f>MAX(V44-$C44,-1)*#REF!</f>
        <v/>
      </c>
      <c r="AR44" s="27">
        <f>MAX(W44-$C44,-1)*#REF!</f>
        <v/>
      </c>
      <c r="AS44" s="27">
        <f>MAX(X44-$C44,-1)*#REF!</f>
        <v/>
      </c>
      <c r="AT44" s="29">
        <f>SUM(MAX(Y44:AS44,0))</f>
        <v/>
      </c>
    </row>
    <row r="45">
      <c r="A45" s="2" t="inlineStr">
        <is>
          <t>2015 кв.2</t>
        </is>
      </c>
      <c r="B45" s="16" t="n">
        <v>0</v>
      </c>
      <c r="C45" s="18" t="n">
        <v>2</v>
      </c>
      <c r="D45" s="6">
        <f>('Indicators Data'!C47-#REF!)/#REF!</f>
        <v/>
      </c>
      <c r="E45" s="14">
        <f>('Indicators Data'!D47-#REF!)/#REF!</f>
        <v/>
      </c>
      <c r="F45" s="14">
        <f>('Indicators Data'!E47-#REF!)/#REF!</f>
        <v/>
      </c>
      <c r="G45" s="14">
        <f>('Indicators Data'!F47-#REF!)/#REF!</f>
        <v/>
      </c>
      <c r="H45" s="14">
        <f>('Indicators Data'!G47-#REF!)/#REF!</f>
        <v/>
      </c>
      <c r="I45" s="14">
        <f>('Indicators Data'!P47-#REF!)/#REF!</f>
        <v/>
      </c>
      <c r="J45" s="15">
        <f>('Indicators Data'!T47-#REF!)/#REF!</f>
        <v/>
      </c>
      <c r="K45" s="6">
        <f>('Indicators Data'!U47-#REF!)/#REF!</f>
        <v/>
      </c>
      <c r="L45" s="14">
        <f>('Indicators Data'!Y47-#REF!)/#REF!</f>
        <v/>
      </c>
      <c r="M45" s="14">
        <f>('Indicators Data'!AD47-#REF!)/#REF!</f>
        <v/>
      </c>
      <c r="N45" s="15">
        <f>('Indicators Data'!#REF!-#REF!)/#REF!</f>
        <v/>
      </c>
      <c r="O45" s="6">
        <f>('Indicators Data'!#REF!-#REF!)/#REF!</f>
        <v/>
      </c>
      <c r="P45" s="14">
        <f>('Indicators Data'!#REF!-#REF!)/#REF!</f>
        <v/>
      </c>
      <c r="Q45" s="14">
        <f>-('Indicators Data'!#REF!-#REF!)/#REF!</f>
        <v/>
      </c>
      <c r="R45" s="15">
        <f>-('Indicators Data'!#REF!-#REF!)/#REF!</f>
        <v/>
      </c>
      <c r="S45" s="6">
        <f>('Indicators Data'!#REF!-#REF!)/#REF!</f>
        <v/>
      </c>
      <c r="T45" s="14">
        <f>('Indicators Data'!#REF!-#REF!)/#REF!</f>
        <v/>
      </c>
      <c r="U45" s="15">
        <f>('Indicators Data'!#REF!-#REF!)/#REF!</f>
        <v/>
      </c>
      <c r="V45" s="6">
        <f>-('Indicators Data'!#REF!-#REF!)/#REF!</f>
        <v/>
      </c>
      <c r="W45" s="14">
        <f>('Indicators Data'!#REF!-#REF!)/#REF!</f>
        <v/>
      </c>
      <c r="X45" s="15">
        <f>('Indicators Data'!#REF!-#REF!)/#REF!</f>
        <v/>
      </c>
      <c r="Y45" s="27">
        <f>MAX(D45-$C45,-1)*#REF!</f>
        <v/>
      </c>
      <c r="Z45" s="27">
        <f>MAX(E45-$C45,-1)*#REF!</f>
        <v/>
      </c>
      <c r="AA45" s="27">
        <f>MAX(F45-$C45,-1)*#REF!</f>
        <v/>
      </c>
      <c r="AB45" s="27">
        <f>MAX(G45-$C45,-1)*#REF!</f>
        <v/>
      </c>
      <c r="AC45" s="27">
        <f>MAX(H45-$C45,-1)*#REF!</f>
        <v/>
      </c>
      <c r="AD45" s="27">
        <f>MAX(I45-$C45,-1)*#REF!</f>
        <v/>
      </c>
      <c r="AE45" s="27">
        <f>MAX(J45-$C45,-1)*#REF!</f>
        <v/>
      </c>
      <c r="AF45" s="27">
        <f>MAX(K45-$C45,-1)*#REF!</f>
        <v/>
      </c>
      <c r="AG45" s="27">
        <f>MAX(L45-$C45,-1)*#REF!</f>
        <v/>
      </c>
      <c r="AH45" s="27">
        <f>MAX(M45-$C45,-1)*#REF!</f>
        <v/>
      </c>
      <c r="AI45" s="27">
        <f>MAX(N45-$C45,-1)*#REF!</f>
        <v/>
      </c>
      <c r="AJ45" s="27">
        <f>MAX(O45-$C45,-1)*#REF!</f>
        <v/>
      </c>
      <c r="AK45" s="27">
        <f>MAX(P45-$C45,-1)*#REF!</f>
        <v/>
      </c>
      <c r="AL45" s="27">
        <f>MAX(Q45-$C45,-1)*#REF!</f>
        <v/>
      </c>
      <c r="AM45" s="27">
        <f>MAX(R45-$C45,-1)*#REF!</f>
        <v/>
      </c>
      <c r="AN45" s="27">
        <f>MAX(S45-$C45,-1)*#REF!</f>
        <v/>
      </c>
      <c r="AO45" s="27">
        <f>MAX(T45-$C45,-1)*#REF!</f>
        <v/>
      </c>
      <c r="AP45" s="27">
        <f>MAX(U45-$C45,-1)*#REF!</f>
        <v/>
      </c>
      <c r="AQ45" s="27">
        <f>MAX(V45-$C45,-1)*#REF!</f>
        <v/>
      </c>
      <c r="AR45" s="27">
        <f>MAX(W45-$C45,-1)*#REF!</f>
        <v/>
      </c>
      <c r="AS45" s="27">
        <f>MAX(X45-$C45,-1)*#REF!</f>
        <v/>
      </c>
      <c r="AT45" s="29">
        <f>SUM(MAX(Y45:AS45,0))</f>
        <v/>
      </c>
    </row>
    <row r="46">
      <c r="A46" s="2" t="inlineStr">
        <is>
          <t>2015 кв.3</t>
        </is>
      </c>
      <c r="B46" s="16" t="n">
        <v>0</v>
      </c>
      <c r="C46" s="18" t="n">
        <v>2</v>
      </c>
      <c r="D46" s="6">
        <f>('Indicators Data'!C48-#REF!)/#REF!</f>
        <v/>
      </c>
      <c r="E46" s="14">
        <f>('Indicators Data'!D48-#REF!)/#REF!</f>
        <v/>
      </c>
      <c r="F46" s="14">
        <f>('Indicators Data'!E48-#REF!)/#REF!</f>
        <v/>
      </c>
      <c r="G46" s="14">
        <f>('Indicators Data'!F48-#REF!)/#REF!</f>
        <v/>
      </c>
      <c r="H46" s="14">
        <f>('Indicators Data'!G48-#REF!)/#REF!</f>
        <v/>
      </c>
      <c r="I46" s="14">
        <f>('Indicators Data'!P48-#REF!)/#REF!</f>
        <v/>
      </c>
      <c r="J46" s="15">
        <f>('Indicators Data'!T48-#REF!)/#REF!</f>
        <v/>
      </c>
      <c r="K46" s="6">
        <f>('Indicators Data'!U48-#REF!)/#REF!</f>
        <v/>
      </c>
      <c r="L46" s="14">
        <f>('Indicators Data'!Y48-#REF!)/#REF!</f>
        <v/>
      </c>
      <c r="M46" s="14">
        <f>('Indicators Data'!AD48-#REF!)/#REF!</f>
        <v/>
      </c>
      <c r="N46" s="15">
        <f>('Indicators Data'!#REF!-#REF!)/#REF!</f>
        <v/>
      </c>
      <c r="O46" s="6">
        <f>('Indicators Data'!#REF!-#REF!)/#REF!</f>
        <v/>
      </c>
      <c r="P46" s="14">
        <f>('Indicators Data'!#REF!-#REF!)/#REF!</f>
        <v/>
      </c>
      <c r="Q46" s="14">
        <f>-('Indicators Data'!#REF!-#REF!)/#REF!</f>
        <v/>
      </c>
      <c r="R46" s="15">
        <f>-('Indicators Data'!#REF!-#REF!)/#REF!</f>
        <v/>
      </c>
      <c r="S46" s="6">
        <f>('Indicators Data'!#REF!-#REF!)/#REF!</f>
        <v/>
      </c>
      <c r="T46" s="14">
        <f>('Indicators Data'!#REF!-#REF!)/#REF!</f>
        <v/>
      </c>
      <c r="U46" s="15">
        <f>('Indicators Data'!#REF!-#REF!)/#REF!</f>
        <v/>
      </c>
      <c r="V46" s="6">
        <f>-('Indicators Data'!#REF!-#REF!)/#REF!</f>
        <v/>
      </c>
      <c r="W46" s="14">
        <f>('Indicators Data'!#REF!-#REF!)/#REF!</f>
        <v/>
      </c>
      <c r="X46" s="15">
        <f>('Indicators Data'!#REF!-#REF!)/#REF!</f>
        <v/>
      </c>
      <c r="Y46" s="27">
        <f>MAX(D46-$C46,-1)*#REF!</f>
        <v/>
      </c>
      <c r="Z46" s="27">
        <f>MAX(E46-$C46,-1)*#REF!</f>
        <v/>
      </c>
      <c r="AA46" s="27">
        <f>MAX(F46-$C46,-1)*#REF!</f>
        <v/>
      </c>
      <c r="AB46" s="27">
        <f>MAX(G46-$C46,-1)*#REF!</f>
        <v/>
      </c>
      <c r="AC46" s="27">
        <f>MAX(H46-$C46,-1)*#REF!</f>
        <v/>
      </c>
      <c r="AD46" s="27">
        <f>MAX(I46-$C46,-1)*#REF!</f>
        <v/>
      </c>
      <c r="AE46" s="27">
        <f>MAX(J46-$C46,-1)*#REF!</f>
        <v/>
      </c>
      <c r="AF46" s="27">
        <f>MAX(K46-$C46,-1)*#REF!</f>
        <v/>
      </c>
      <c r="AG46" s="27">
        <f>MAX(L46-$C46,-1)*#REF!</f>
        <v/>
      </c>
      <c r="AH46" s="27">
        <f>MAX(M46-$C46,-1)*#REF!</f>
        <v/>
      </c>
      <c r="AI46" s="27">
        <f>MAX(N46-$C46,-1)*#REF!</f>
        <v/>
      </c>
      <c r="AJ46" s="27">
        <f>MAX(O46-$C46,-1)*#REF!</f>
        <v/>
      </c>
      <c r="AK46" s="27">
        <f>MAX(P46-$C46,-1)*#REF!</f>
        <v/>
      </c>
      <c r="AL46" s="27">
        <f>MAX(Q46-$C46,-1)*#REF!</f>
        <v/>
      </c>
      <c r="AM46" s="27">
        <f>MAX(R46-$C46,-1)*#REF!</f>
        <v/>
      </c>
      <c r="AN46" s="27">
        <f>MAX(S46-$C46,-1)*#REF!</f>
        <v/>
      </c>
      <c r="AO46" s="27">
        <f>MAX(T46-$C46,-1)*#REF!</f>
        <v/>
      </c>
      <c r="AP46" s="27">
        <f>MAX(U46-$C46,-1)*#REF!</f>
        <v/>
      </c>
      <c r="AQ46" s="27">
        <f>MAX(V46-$C46,-1)*#REF!</f>
        <v/>
      </c>
      <c r="AR46" s="27">
        <f>MAX(W46-$C46,-1)*#REF!</f>
        <v/>
      </c>
      <c r="AS46" s="27">
        <f>MAX(X46-$C46,-1)*#REF!</f>
        <v/>
      </c>
      <c r="AT46" s="29">
        <f>SUM(MAX(Y46:AS46,0))</f>
        <v/>
      </c>
    </row>
    <row r="47">
      <c r="A47" s="2" t="inlineStr">
        <is>
          <t>2015 кв.4</t>
        </is>
      </c>
      <c r="B47" s="16" t="n">
        <v>0</v>
      </c>
      <c r="C47" s="18" t="n">
        <v>2</v>
      </c>
      <c r="D47" s="6">
        <f>('Indicators Data'!C49-#REF!)/#REF!</f>
        <v/>
      </c>
      <c r="E47" s="14">
        <f>('Indicators Data'!D49-#REF!)/#REF!</f>
        <v/>
      </c>
      <c r="F47" s="14">
        <f>('Indicators Data'!E49-#REF!)/#REF!</f>
        <v/>
      </c>
      <c r="G47" s="14">
        <f>('Indicators Data'!F49-#REF!)/#REF!</f>
        <v/>
      </c>
      <c r="H47" s="14">
        <f>('Indicators Data'!G49-#REF!)/#REF!</f>
        <v/>
      </c>
      <c r="I47" s="14">
        <f>('Indicators Data'!P49-#REF!)/#REF!</f>
        <v/>
      </c>
      <c r="J47" s="15">
        <f>('Indicators Data'!T49-#REF!)/#REF!</f>
        <v/>
      </c>
      <c r="K47" s="6">
        <f>('Indicators Data'!U49-#REF!)/#REF!</f>
        <v/>
      </c>
      <c r="L47" s="14">
        <f>('Indicators Data'!Y49-#REF!)/#REF!</f>
        <v/>
      </c>
      <c r="M47" s="14">
        <f>('Indicators Data'!AD49-#REF!)/#REF!</f>
        <v/>
      </c>
      <c r="N47" s="15">
        <f>('Indicators Data'!#REF!-#REF!)/#REF!</f>
        <v/>
      </c>
      <c r="O47" s="6">
        <f>('Indicators Data'!#REF!-#REF!)/#REF!</f>
        <v/>
      </c>
      <c r="P47" s="14">
        <f>('Indicators Data'!#REF!-#REF!)/#REF!</f>
        <v/>
      </c>
      <c r="Q47" s="14">
        <f>-('Indicators Data'!#REF!-#REF!)/#REF!</f>
        <v/>
      </c>
      <c r="R47" s="15">
        <f>-('Indicators Data'!#REF!-#REF!)/#REF!</f>
        <v/>
      </c>
      <c r="S47" s="6">
        <f>('Indicators Data'!#REF!-#REF!)/#REF!</f>
        <v/>
      </c>
      <c r="T47" s="14">
        <f>('Indicators Data'!#REF!-#REF!)/#REF!</f>
        <v/>
      </c>
      <c r="U47" s="15">
        <f>('Indicators Data'!#REF!-#REF!)/#REF!</f>
        <v/>
      </c>
      <c r="V47" s="6">
        <f>-('Indicators Data'!#REF!-#REF!)/#REF!</f>
        <v/>
      </c>
      <c r="W47" s="14">
        <f>('Indicators Data'!#REF!-#REF!)/#REF!</f>
        <v/>
      </c>
      <c r="X47" s="15">
        <f>('Indicators Data'!#REF!-#REF!)/#REF!</f>
        <v/>
      </c>
      <c r="Y47" s="27">
        <f>MAX(D47-$C47,-1)*#REF!</f>
        <v/>
      </c>
      <c r="Z47" s="27">
        <f>MAX(E47-$C47,-1)*#REF!</f>
        <v/>
      </c>
      <c r="AA47" s="27">
        <f>MAX(F47-$C47,-1)*#REF!</f>
        <v/>
      </c>
      <c r="AB47" s="27">
        <f>MAX(G47-$C47,-1)*#REF!</f>
        <v/>
      </c>
      <c r="AC47" s="27">
        <f>MAX(H47-$C47,-1)*#REF!</f>
        <v/>
      </c>
      <c r="AD47" s="27">
        <f>MAX(I47-$C47,-1)*#REF!</f>
        <v/>
      </c>
      <c r="AE47" s="27">
        <f>MAX(J47-$C47,-1)*#REF!</f>
        <v/>
      </c>
      <c r="AF47" s="27">
        <f>MAX(K47-$C47,-1)*#REF!</f>
        <v/>
      </c>
      <c r="AG47" s="27">
        <f>MAX(L47-$C47,-1)*#REF!</f>
        <v/>
      </c>
      <c r="AH47" s="27">
        <f>MAX(M47-$C47,-1)*#REF!</f>
        <v/>
      </c>
      <c r="AI47" s="27">
        <f>MAX(N47-$C47,-1)*#REF!</f>
        <v/>
      </c>
      <c r="AJ47" s="27">
        <f>MAX(O47-$C47,-1)*#REF!</f>
        <v/>
      </c>
      <c r="AK47" s="27">
        <f>MAX(P47-$C47,-1)*#REF!</f>
        <v/>
      </c>
      <c r="AL47" s="27">
        <f>MAX(Q47-$C47,-1)*#REF!</f>
        <v/>
      </c>
      <c r="AM47" s="27">
        <f>MAX(R47-$C47,-1)*#REF!</f>
        <v/>
      </c>
      <c r="AN47" s="27">
        <f>MAX(S47-$C47,-1)*#REF!</f>
        <v/>
      </c>
      <c r="AO47" s="27">
        <f>MAX(T47-$C47,-1)*#REF!</f>
        <v/>
      </c>
      <c r="AP47" s="27">
        <f>MAX(U47-$C47,-1)*#REF!</f>
        <v/>
      </c>
      <c r="AQ47" s="27">
        <f>MAX(V47-$C47,-1)*#REF!</f>
        <v/>
      </c>
      <c r="AR47" s="27">
        <f>MAX(W47-$C47,-1)*#REF!</f>
        <v/>
      </c>
      <c r="AS47" s="27">
        <f>MAX(X47-$C47,-1)*#REF!</f>
        <v/>
      </c>
      <c r="AT47" s="29">
        <f>SUM(MAX(Y47:AS47,0))</f>
        <v/>
      </c>
    </row>
    <row r="48">
      <c r="A48" s="2" t="inlineStr">
        <is>
          <t>2016 кв.1</t>
        </is>
      </c>
      <c r="B48" s="16" t="n">
        <v>0</v>
      </c>
      <c r="C48" s="18" t="n">
        <v>2</v>
      </c>
      <c r="D48" s="6">
        <f>('Indicators Data'!C50-#REF!)/#REF!</f>
        <v/>
      </c>
      <c r="E48" s="14">
        <f>('Indicators Data'!D50-#REF!)/#REF!</f>
        <v/>
      </c>
      <c r="F48" s="14">
        <f>('Indicators Data'!E50-#REF!)/#REF!</f>
        <v/>
      </c>
      <c r="G48" s="14">
        <f>('Indicators Data'!F50-#REF!)/#REF!</f>
        <v/>
      </c>
      <c r="H48" s="14">
        <f>('Indicators Data'!G50-#REF!)/#REF!</f>
        <v/>
      </c>
      <c r="I48" s="14">
        <f>('Indicators Data'!P50-#REF!)/#REF!</f>
        <v/>
      </c>
      <c r="J48" s="15">
        <f>('Indicators Data'!T50-#REF!)/#REF!</f>
        <v/>
      </c>
      <c r="K48" s="6">
        <f>('Indicators Data'!U50-#REF!)/#REF!</f>
        <v/>
      </c>
      <c r="L48" s="14">
        <f>('Indicators Data'!Y50-#REF!)/#REF!</f>
        <v/>
      </c>
      <c r="M48" s="14">
        <f>('Indicators Data'!AD50-#REF!)/#REF!</f>
        <v/>
      </c>
      <c r="N48" s="15">
        <f>('Indicators Data'!#REF!-#REF!)/#REF!</f>
        <v/>
      </c>
      <c r="O48" s="6">
        <f>('Indicators Data'!#REF!-#REF!)/#REF!</f>
        <v/>
      </c>
      <c r="P48" s="14">
        <f>('Indicators Data'!#REF!-#REF!)/#REF!</f>
        <v/>
      </c>
      <c r="Q48" s="14">
        <f>-('Indicators Data'!#REF!-#REF!)/#REF!</f>
        <v/>
      </c>
      <c r="R48" s="15">
        <f>-('Indicators Data'!#REF!-#REF!)/#REF!</f>
        <v/>
      </c>
      <c r="S48" s="6">
        <f>('Indicators Data'!#REF!-#REF!)/#REF!</f>
        <v/>
      </c>
      <c r="T48" s="14">
        <f>('Indicators Data'!#REF!-#REF!)/#REF!</f>
        <v/>
      </c>
      <c r="U48" s="15">
        <f>('Indicators Data'!#REF!-#REF!)/#REF!</f>
        <v/>
      </c>
      <c r="V48" s="6">
        <f>-('Indicators Data'!#REF!-#REF!)/#REF!</f>
        <v/>
      </c>
      <c r="W48" s="14">
        <f>('Indicators Data'!#REF!-#REF!)/#REF!</f>
        <v/>
      </c>
      <c r="X48" s="15">
        <f>('Indicators Data'!#REF!-#REF!)/#REF!</f>
        <v/>
      </c>
      <c r="Y48" s="27">
        <f>MAX(D48-$C48,-1)*#REF!</f>
        <v/>
      </c>
      <c r="Z48" s="27">
        <f>MAX(E48-$C48,-1)*#REF!</f>
        <v/>
      </c>
      <c r="AA48" s="27">
        <f>MAX(F48-$C48,-1)*#REF!</f>
        <v/>
      </c>
      <c r="AB48" s="27">
        <f>MAX(G48-$C48,-1)*#REF!</f>
        <v/>
      </c>
      <c r="AC48" s="27">
        <f>MAX(H48-$C48,-1)*#REF!</f>
        <v/>
      </c>
      <c r="AD48" s="27">
        <f>MAX(I48-$C48,-1)*#REF!</f>
        <v/>
      </c>
      <c r="AE48" s="27">
        <f>MAX(J48-$C48,-1)*#REF!</f>
        <v/>
      </c>
      <c r="AF48" s="27">
        <f>MAX(K48-$C48,-1)*#REF!</f>
        <v/>
      </c>
      <c r="AG48" s="27">
        <f>MAX(L48-$C48,-1)*#REF!</f>
        <v/>
      </c>
      <c r="AH48" s="27">
        <f>MAX(M48-$C48,-1)*#REF!</f>
        <v/>
      </c>
      <c r="AI48" s="27">
        <f>MAX(N48-$C48,-1)*#REF!</f>
        <v/>
      </c>
      <c r="AJ48" s="27">
        <f>MAX(O48-$C48,-1)*#REF!</f>
        <v/>
      </c>
      <c r="AK48" s="27">
        <f>MAX(P48-$C48,-1)*#REF!</f>
        <v/>
      </c>
      <c r="AL48" s="27">
        <f>MAX(Q48-$C48,-1)*#REF!</f>
        <v/>
      </c>
      <c r="AM48" s="27">
        <f>MAX(R48-$C48,-1)*#REF!</f>
        <v/>
      </c>
      <c r="AN48" s="27">
        <f>MAX(S48-$C48,-1)*#REF!</f>
        <v/>
      </c>
      <c r="AO48" s="27">
        <f>MAX(T48-$C48,-1)*#REF!</f>
        <v/>
      </c>
      <c r="AP48" s="27">
        <f>MAX(U48-$C48,-1)*#REF!</f>
        <v/>
      </c>
      <c r="AQ48" s="27">
        <f>MAX(V48-$C48,-1)*#REF!</f>
        <v/>
      </c>
      <c r="AR48" s="27">
        <f>MAX(W48-$C48,-1)*#REF!</f>
        <v/>
      </c>
      <c r="AS48" s="27">
        <f>MAX(X48-$C48,-1)*#REF!</f>
        <v/>
      </c>
      <c r="AT48" s="29">
        <f>SUM(MAX(Y48:AS48,0))</f>
        <v/>
      </c>
    </row>
    <row r="49">
      <c r="A49" s="2" t="inlineStr">
        <is>
          <t>2016 кв.2</t>
        </is>
      </c>
      <c r="B49" s="16" t="n">
        <v>0</v>
      </c>
      <c r="C49" s="18" t="n">
        <v>2</v>
      </c>
      <c r="D49" s="6">
        <f>('Indicators Data'!C51-#REF!)/#REF!</f>
        <v/>
      </c>
      <c r="E49" s="14">
        <f>('Indicators Data'!D51-#REF!)/#REF!</f>
        <v/>
      </c>
      <c r="F49" s="14">
        <f>('Indicators Data'!E51-#REF!)/#REF!</f>
        <v/>
      </c>
      <c r="G49" s="14">
        <f>('Indicators Data'!F51-#REF!)/#REF!</f>
        <v/>
      </c>
      <c r="H49" s="14">
        <f>('Indicators Data'!G51-#REF!)/#REF!</f>
        <v/>
      </c>
      <c r="I49" s="14">
        <f>('Indicators Data'!P51-#REF!)/#REF!</f>
        <v/>
      </c>
      <c r="J49" s="15">
        <f>('Indicators Data'!T51-#REF!)/#REF!</f>
        <v/>
      </c>
      <c r="K49" s="6">
        <f>('Indicators Data'!U51-#REF!)/#REF!</f>
        <v/>
      </c>
      <c r="L49" s="14">
        <f>('Indicators Data'!Y51-#REF!)/#REF!</f>
        <v/>
      </c>
      <c r="M49" s="14">
        <f>('Indicators Data'!AD51-#REF!)/#REF!</f>
        <v/>
      </c>
      <c r="N49" s="15">
        <f>('Indicators Data'!#REF!-#REF!)/#REF!</f>
        <v/>
      </c>
      <c r="O49" s="6">
        <f>('Indicators Data'!#REF!-#REF!)/#REF!</f>
        <v/>
      </c>
      <c r="P49" s="14">
        <f>('Indicators Data'!#REF!-#REF!)/#REF!</f>
        <v/>
      </c>
      <c r="Q49" s="14">
        <f>-('Indicators Data'!#REF!-#REF!)/#REF!</f>
        <v/>
      </c>
      <c r="R49" s="15">
        <f>-('Indicators Data'!#REF!-#REF!)/#REF!</f>
        <v/>
      </c>
      <c r="S49" s="6">
        <f>('Indicators Data'!#REF!-#REF!)/#REF!</f>
        <v/>
      </c>
      <c r="T49" s="14">
        <f>('Indicators Data'!#REF!-#REF!)/#REF!</f>
        <v/>
      </c>
      <c r="U49" s="15">
        <f>('Indicators Data'!#REF!-#REF!)/#REF!</f>
        <v/>
      </c>
      <c r="V49" s="6">
        <f>-('Indicators Data'!#REF!-#REF!)/#REF!</f>
        <v/>
      </c>
      <c r="W49" s="14">
        <f>('Indicators Data'!#REF!-#REF!)/#REF!</f>
        <v/>
      </c>
      <c r="X49" s="15">
        <f>('Indicators Data'!#REF!-#REF!)/#REF!</f>
        <v/>
      </c>
      <c r="Y49" s="27">
        <f>MAX(D49-$C49,-1)*#REF!</f>
        <v/>
      </c>
      <c r="Z49" s="27">
        <f>MAX(E49-$C49,-1)*#REF!</f>
        <v/>
      </c>
      <c r="AA49" s="27">
        <f>MAX(F49-$C49,-1)*#REF!</f>
        <v/>
      </c>
      <c r="AB49" s="27">
        <f>MAX(G49-$C49,-1)*#REF!</f>
        <v/>
      </c>
      <c r="AC49" s="27">
        <f>MAX(H49-$C49,-1)*#REF!</f>
        <v/>
      </c>
      <c r="AD49" s="27">
        <f>MAX(I49-$C49,-1)*#REF!</f>
        <v/>
      </c>
      <c r="AE49" s="27">
        <f>MAX(J49-$C49,-1)*#REF!</f>
        <v/>
      </c>
      <c r="AF49" s="27">
        <f>MAX(K49-$C49,-1)*#REF!</f>
        <v/>
      </c>
      <c r="AG49" s="27">
        <f>MAX(L49-$C49,-1)*#REF!</f>
        <v/>
      </c>
      <c r="AH49" s="27">
        <f>MAX(M49-$C49,-1)*#REF!</f>
        <v/>
      </c>
      <c r="AI49" s="27">
        <f>MAX(N49-$C49,-1)*#REF!</f>
        <v/>
      </c>
      <c r="AJ49" s="27">
        <f>MAX(O49-$C49,-1)*#REF!</f>
        <v/>
      </c>
      <c r="AK49" s="27">
        <f>MAX(P49-$C49,-1)*#REF!</f>
        <v/>
      </c>
      <c r="AL49" s="27">
        <f>MAX(Q49-$C49,-1)*#REF!</f>
        <v/>
      </c>
      <c r="AM49" s="27">
        <f>MAX(R49-$C49,-1)*#REF!</f>
        <v/>
      </c>
      <c r="AN49" s="27">
        <f>MAX(S49-$C49,-1)*#REF!</f>
        <v/>
      </c>
      <c r="AO49" s="27">
        <f>MAX(T49-$C49,-1)*#REF!</f>
        <v/>
      </c>
      <c r="AP49" s="27">
        <f>MAX(U49-$C49,-1)*#REF!</f>
        <v/>
      </c>
      <c r="AQ49" s="27">
        <f>MAX(V49-$C49,-1)*#REF!</f>
        <v/>
      </c>
      <c r="AR49" s="27">
        <f>MAX(W49-$C49,-1)*#REF!</f>
        <v/>
      </c>
      <c r="AS49" s="27">
        <f>MAX(X49-$C49,-1)*#REF!</f>
        <v/>
      </c>
      <c r="AT49" s="29">
        <f>SUM(MAX(Y49:AS49,0))</f>
        <v/>
      </c>
    </row>
    <row r="50">
      <c r="A50" s="2" t="inlineStr">
        <is>
          <t>2016 кв.3</t>
        </is>
      </c>
      <c r="B50" s="16" t="n">
        <v>0</v>
      </c>
      <c r="C50" s="18" t="n">
        <v>2</v>
      </c>
      <c r="D50" s="6">
        <f>('Indicators Data'!C52-#REF!)/#REF!</f>
        <v/>
      </c>
      <c r="E50" s="14">
        <f>('Indicators Data'!D52-#REF!)/#REF!</f>
        <v/>
      </c>
      <c r="F50" s="14">
        <f>('Indicators Data'!E52-#REF!)/#REF!</f>
        <v/>
      </c>
      <c r="G50" s="14">
        <f>('Indicators Data'!F52-#REF!)/#REF!</f>
        <v/>
      </c>
      <c r="H50" s="14">
        <f>('Indicators Data'!G52-#REF!)/#REF!</f>
        <v/>
      </c>
      <c r="I50" s="14">
        <f>('Indicators Data'!P52-#REF!)/#REF!</f>
        <v/>
      </c>
      <c r="J50" s="15">
        <f>('Indicators Data'!T52-#REF!)/#REF!</f>
        <v/>
      </c>
      <c r="K50" s="6">
        <f>('Indicators Data'!U52-#REF!)/#REF!</f>
        <v/>
      </c>
      <c r="L50" s="14">
        <f>('Indicators Data'!Y52-#REF!)/#REF!</f>
        <v/>
      </c>
      <c r="M50" s="14">
        <f>('Indicators Data'!AD52-#REF!)/#REF!</f>
        <v/>
      </c>
      <c r="N50" s="15">
        <f>('Indicators Data'!#REF!-#REF!)/#REF!</f>
        <v/>
      </c>
      <c r="O50" s="6">
        <f>('Indicators Data'!#REF!-#REF!)/#REF!</f>
        <v/>
      </c>
      <c r="P50" s="14">
        <f>('Indicators Data'!#REF!-#REF!)/#REF!</f>
        <v/>
      </c>
      <c r="Q50" s="14">
        <f>-('Indicators Data'!#REF!-#REF!)/#REF!</f>
        <v/>
      </c>
      <c r="R50" s="15">
        <f>-('Indicators Data'!#REF!-#REF!)/#REF!</f>
        <v/>
      </c>
      <c r="S50" s="6">
        <f>('Indicators Data'!#REF!-#REF!)/#REF!</f>
        <v/>
      </c>
      <c r="T50" s="14">
        <f>('Indicators Data'!#REF!-#REF!)/#REF!</f>
        <v/>
      </c>
      <c r="U50" s="15">
        <f>('Indicators Data'!#REF!-#REF!)/#REF!</f>
        <v/>
      </c>
      <c r="V50" s="6">
        <f>-('Indicators Data'!#REF!-#REF!)/#REF!</f>
        <v/>
      </c>
      <c r="W50" s="14">
        <f>('Indicators Data'!#REF!-#REF!)/#REF!</f>
        <v/>
      </c>
      <c r="X50" s="15">
        <f>('Indicators Data'!#REF!-#REF!)/#REF!</f>
        <v/>
      </c>
      <c r="Y50" s="27">
        <f>MAX(D50-$C50,-1)*#REF!</f>
        <v/>
      </c>
      <c r="Z50" s="27">
        <f>MAX(E50-$C50,-1)*#REF!</f>
        <v/>
      </c>
      <c r="AA50" s="27">
        <f>MAX(F50-$C50,-1)*#REF!</f>
        <v/>
      </c>
      <c r="AB50" s="27">
        <f>MAX(G50-$C50,-1)*#REF!</f>
        <v/>
      </c>
      <c r="AC50" s="27">
        <f>MAX(H50-$C50,-1)*#REF!</f>
        <v/>
      </c>
      <c r="AD50" s="27">
        <f>MAX(I50-$C50,-1)*#REF!</f>
        <v/>
      </c>
      <c r="AE50" s="27">
        <f>MAX(J50-$C50,-1)*#REF!</f>
        <v/>
      </c>
      <c r="AF50" s="27">
        <f>MAX(K50-$C50,-1)*#REF!</f>
        <v/>
      </c>
      <c r="AG50" s="27">
        <f>MAX(L50-$C50,-1)*#REF!</f>
        <v/>
      </c>
      <c r="AH50" s="27">
        <f>MAX(M50-$C50,-1)*#REF!</f>
        <v/>
      </c>
      <c r="AI50" s="27">
        <f>MAX(N50-$C50,-1)*#REF!</f>
        <v/>
      </c>
      <c r="AJ50" s="27">
        <f>MAX(O50-$C50,-1)*#REF!</f>
        <v/>
      </c>
      <c r="AK50" s="27">
        <f>MAX(P50-$C50,-1)*#REF!</f>
        <v/>
      </c>
      <c r="AL50" s="27">
        <f>MAX(Q50-$C50,-1)*#REF!</f>
        <v/>
      </c>
      <c r="AM50" s="27">
        <f>MAX(R50-$C50,-1)*#REF!</f>
        <v/>
      </c>
      <c r="AN50" s="27">
        <f>MAX(S50-$C50,-1)*#REF!</f>
        <v/>
      </c>
      <c r="AO50" s="27">
        <f>MAX(T50-$C50,-1)*#REF!</f>
        <v/>
      </c>
      <c r="AP50" s="27">
        <f>MAX(U50-$C50,-1)*#REF!</f>
        <v/>
      </c>
      <c r="AQ50" s="27">
        <f>MAX(V50-$C50,-1)*#REF!</f>
        <v/>
      </c>
      <c r="AR50" s="27">
        <f>MAX(W50-$C50,-1)*#REF!</f>
        <v/>
      </c>
      <c r="AS50" s="27">
        <f>MAX(X50-$C50,-1)*#REF!</f>
        <v/>
      </c>
      <c r="AT50" s="29">
        <f>SUM(MAX(Y50:AS50,0))</f>
        <v/>
      </c>
    </row>
    <row r="51">
      <c r="A51" s="2" t="inlineStr">
        <is>
          <t>2016 кв.4</t>
        </is>
      </c>
      <c r="B51" s="16" t="n">
        <v>0</v>
      </c>
      <c r="C51" s="18" t="n">
        <v>2</v>
      </c>
      <c r="D51" s="6">
        <f>('Indicators Data'!C53-#REF!)/#REF!</f>
        <v/>
      </c>
      <c r="E51" s="14">
        <f>('Indicators Data'!D53-#REF!)/#REF!</f>
        <v/>
      </c>
      <c r="F51" s="14">
        <f>('Indicators Data'!E53-#REF!)/#REF!</f>
        <v/>
      </c>
      <c r="G51" s="14">
        <f>('Indicators Data'!F53-#REF!)/#REF!</f>
        <v/>
      </c>
      <c r="H51" s="14">
        <f>('Indicators Data'!G53-#REF!)/#REF!</f>
        <v/>
      </c>
      <c r="I51" s="14">
        <f>('Indicators Data'!P53-#REF!)/#REF!</f>
        <v/>
      </c>
      <c r="J51" s="15">
        <f>('Indicators Data'!T53-#REF!)/#REF!</f>
        <v/>
      </c>
      <c r="K51" s="6">
        <f>('Indicators Data'!U53-#REF!)/#REF!</f>
        <v/>
      </c>
      <c r="L51" s="14">
        <f>('Indicators Data'!Y53-#REF!)/#REF!</f>
        <v/>
      </c>
      <c r="M51" s="14">
        <f>('Indicators Data'!AD53-#REF!)/#REF!</f>
        <v/>
      </c>
      <c r="N51" s="15">
        <f>('Indicators Data'!#REF!-#REF!)/#REF!</f>
        <v/>
      </c>
      <c r="O51" s="6">
        <f>('Indicators Data'!#REF!-#REF!)/#REF!</f>
        <v/>
      </c>
      <c r="P51" s="14">
        <f>('Indicators Data'!#REF!-#REF!)/#REF!</f>
        <v/>
      </c>
      <c r="Q51" s="14">
        <f>-('Indicators Data'!#REF!-#REF!)/#REF!</f>
        <v/>
      </c>
      <c r="R51" s="15">
        <f>-('Indicators Data'!#REF!-#REF!)/#REF!</f>
        <v/>
      </c>
      <c r="S51" s="6">
        <f>('Indicators Data'!#REF!-#REF!)/#REF!</f>
        <v/>
      </c>
      <c r="T51" s="14">
        <f>('Indicators Data'!#REF!-#REF!)/#REF!</f>
        <v/>
      </c>
      <c r="U51" s="15">
        <f>('Indicators Data'!#REF!-#REF!)/#REF!</f>
        <v/>
      </c>
      <c r="V51" s="6">
        <f>-('Indicators Data'!#REF!-#REF!)/#REF!</f>
        <v/>
      </c>
      <c r="W51" s="14">
        <f>('Indicators Data'!#REF!-#REF!)/#REF!</f>
        <v/>
      </c>
      <c r="X51" s="15">
        <f>('Indicators Data'!#REF!-#REF!)/#REF!</f>
        <v/>
      </c>
      <c r="Y51" s="27">
        <f>MAX(D51-$C51,-1)*#REF!</f>
        <v/>
      </c>
      <c r="Z51" s="27">
        <f>MAX(E51-$C51,-1)*#REF!</f>
        <v/>
      </c>
      <c r="AA51" s="27">
        <f>MAX(F51-$C51,-1)*#REF!</f>
        <v/>
      </c>
      <c r="AB51" s="27">
        <f>MAX(G51-$C51,-1)*#REF!</f>
        <v/>
      </c>
      <c r="AC51" s="27">
        <f>MAX(H51-$C51,-1)*#REF!</f>
        <v/>
      </c>
      <c r="AD51" s="27">
        <f>MAX(I51-$C51,-1)*#REF!</f>
        <v/>
      </c>
      <c r="AE51" s="27">
        <f>MAX(J51-$C51,-1)*#REF!</f>
        <v/>
      </c>
      <c r="AF51" s="27">
        <f>MAX(K51-$C51,-1)*#REF!</f>
        <v/>
      </c>
      <c r="AG51" s="27">
        <f>MAX(L51-$C51,-1)*#REF!</f>
        <v/>
      </c>
      <c r="AH51" s="27">
        <f>MAX(M51-$C51,-1)*#REF!</f>
        <v/>
      </c>
      <c r="AI51" s="27">
        <f>MAX(N51-$C51,-1)*#REF!</f>
        <v/>
      </c>
      <c r="AJ51" s="27">
        <f>MAX(O51-$C51,-1)*#REF!</f>
        <v/>
      </c>
      <c r="AK51" s="27">
        <f>MAX(P51-$C51,-1)*#REF!</f>
        <v/>
      </c>
      <c r="AL51" s="27">
        <f>MAX(Q51-$C51,-1)*#REF!</f>
        <v/>
      </c>
      <c r="AM51" s="27">
        <f>MAX(R51-$C51,-1)*#REF!</f>
        <v/>
      </c>
      <c r="AN51" s="27">
        <f>MAX(S51-$C51,-1)*#REF!</f>
        <v/>
      </c>
      <c r="AO51" s="27">
        <f>MAX(T51-$C51,-1)*#REF!</f>
        <v/>
      </c>
      <c r="AP51" s="27">
        <f>MAX(U51-$C51,-1)*#REF!</f>
        <v/>
      </c>
      <c r="AQ51" s="27">
        <f>MAX(V51-$C51,-1)*#REF!</f>
        <v/>
      </c>
      <c r="AR51" s="27">
        <f>MAX(W51-$C51,-1)*#REF!</f>
        <v/>
      </c>
      <c r="AS51" s="27">
        <f>MAX(X51-$C51,-1)*#REF!</f>
        <v/>
      </c>
      <c r="AT51" s="29">
        <f>SUM(MAX(Y51:AS51,0))</f>
        <v/>
      </c>
    </row>
    <row r="52">
      <c r="A52" s="2" t="inlineStr">
        <is>
          <t>2017 кв.1</t>
        </is>
      </c>
      <c r="B52" s="16" t="n">
        <v>0</v>
      </c>
      <c r="C52" s="18" t="n">
        <v>2</v>
      </c>
      <c r="D52" s="6">
        <f>('Indicators Data'!C54-#REF!)/#REF!</f>
        <v/>
      </c>
      <c r="E52" s="14">
        <f>('Indicators Data'!D54-#REF!)/#REF!</f>
        <v/>
      </c>
      <c r="F52" s="14">
        <f>('Indicators Data'!E54-#REF!)/#REF!</f>
        <v/>
      </c>
      <c r="G52" s="14">
        <f>('Indicators Data'!F54-#REF!)/#REF!</f>
        <v/>
      </c>
      <c r="H52" s="14">
        <f>('Indicators Data'!G54-#REF!)/#REF!</f>
        <v/>
      </c>
      <c r="I52" s="14">
        <f>('Indicators Data'!P54-#REF!)/#REF!</f>
        <v/>
      </c>
      <c r="J52" s="15">
        <f>('Indicators Data'!T54-#REF!)/#REF!</f>
        <v/>
      </c>
      <c r="K52" s="6">
        <f>('Indicators Data'!U54-#REF!)/#REF!</f>
        <v/>
      </c>
      <c r="L52" s="14">
        <f>('Indicators Data'!Y54-#REF!)/#REF!</f>
        <v/>
      </c>
      <c r="M52" s="14">
        <f>('Indicators Data'!AD54-#REF!)/#REF!</f>
        <v/>
      </c>
      <c r="N52" s="15">
        <f>('Indicators Data'!#REF!-#REF!)/#REF!</f>
        <v/>
      </c>
      <c r="O52" s="6">
        <f>('Indicators Data'!#REF!-#REF!)/#REF!</f>
        <v/>
      </c>
      <c r="P52" s="14">
        <f>('Indicators Data'!#REF!-#REF!)/#REF!</f>
        <v/>
      </c>
      <c r="Q52" s="14">
        <f>-('Indicators Data'!#REF!-#REF!)/#REF!</f>
        <v/>
      </c>
      <c r="R52" s="15">
        <f>-('Indicators Data'!#REF!-#REF!)/#REF!</f>
        <v/>
      </c>
      <c r="S52" s="6">
        <f>('Indicators Data'!#REF!-#REF!)/#REF!</f>
        <v/>
      </c>
      <c r="T52" s="14">
        <f>('Indicators Data'!#REF!-#REF!)/#REF!</f>
        <v/>
      </c>
      <c r="U52" s="15">
        <f>('Indicators Data'!#REF!-#REF!)/#REF!</f>
        <v/>
      </c>
      <c r="V52" s="6">
        <f>-('Indicators Data'!#REF!-#REF!)/#REF!</f>
        <v/>
      </c>
      <c r="W52" s="14">
        <f>('Indicators Data'!#REF!-#REF!)/#REF!</f>
        <v/>
      </c>
      <c r="X52" s="15">
        <f>('Indicators Data'!#REF!-#REF!)/#REF!</f>
        <v/>
      </c>
      <c r="Y52" s="27">
        <f>MAX(D52-$C52,-1)*#REF!</f>
        <v/>
      </c>
      <c r="Z52" s="27">
        <f>MAX(E52-$C52,-1)*#REF!</f>
        <v/>
      </c>
      <c r="AA52" s="27">
        <f>MAX(F52-$C52,-1)*#REF!</f>
        <v/>
      </c>
      <c r="AB52" s="27">
        <f>MAX(G52-$C52,-1)*#REF!</f>
        <v/>
      </c>
      <c r="AC52" s="27">
        <f>MAX(H52-$C52,-1)*#REF!</f>
        <v/>
      </c>
      <c r="AD52" s="27">
        <f>MAX(I52-$C52,-1)*#REF!</f>
        <v/>
      </c>
      <c r="AE52" s="27">
        <f>MAX(J52-$C52,-1)*#REF!</f>
        <v/>
      </c>
      <c r="AF52" s="27">
        <f>MAX(K52-$C52,-1)*#REF!</f>
        <v/>
      </c>
      <c r="AG52" s="27">
        <f>MAX(L52-$C52,-1)*#REF!</f>
        <v/>
      </c>
      <c r="AH52" s="27">
        <f>MAX(M52-$C52,-1)*#REF!</f>
        <v/>
      </c>
      <c r="AI52" s="27">
        <f>MAX(N52-$C52,-1)*#REF!</f>
        <v/>
      </c>
      <c r="AJ52" s="27">
        <f>MAX(O52-$C52,-1)*#REF!</f>
        <v/>
      </c>
      <c r="AK52" s="27">
        <f>MAX(P52-$C52,-1)*#REF!</f>
        <v/>
      </c>
      <c r="AL52" s="27">
        <f>MAX(Q52-$C52,-1)*#REF!</f>
        <v/>
      </c>
      <c r="AM52" s="27">
        <f>MAX(R52-$C52,-1)*#REF!</f>
        <v/>
      </c>
      <c r="AN52" s="27">
        <f>MAX(S52-$C52,-1)*#REF!</f>
        <v/>
      </c>
      <c r="AO52" s="27">
        <f>MAX(T52-$C52,-1)*#REF!</f>
        <v/>
      </c>
      <c r="AP52" s="27">
        <f>MAX(U52-$C52,-1)*#REF!</f>
        <v/>
      </c>
      <c r="AQ52" s="27">
        <f>MAX(V52-$C52,-1)*#REF!</f>
        <v/>
      </c>
      <c r="AR52" s="27">
        <f>MAX(W52-$C52,-1)*#REF!</f>
        <v/>
      </c>
      <c r="AS52" s="27">
        <f>MAX(X52-$C52,-1)*#REF!</f>
        <v/>
      </c>
      <c r="AT52" s="29">
        <f>SUM(MAX(Y52:AS52,0))</f>
        <v/>
      </c>
    </row>
    <row r="53">
      <c r="A53" s="2" t="inlineStr">
        <is>
          <t>2017 кв.2</t>
        </is>
      </c>
      <c r="B53" s="16" t="n">
        <v>0</v>
      </c>
      <c r="C53" s="18" t="n">
        <v>2</v>
      </c>
      <c r="D53" s="6">
        <f>('Indicators Data'!C55-#REF!)/#REF!</f>
        <v/>
      </c>
      <c r="E53" s="14">
        <f>('Indicators Data'!D55-#REF!)/#REF!</f>
        <v/>
      </c>
      <c r="F53" s="14">
        <f>('Indicators Data'!E55-#REF!)/#REF!</f>
        <v/>
      </c>
      <c r="G53" s="14">
        <f>('Indicators Data'!F55-#REF!)/#REF!</f>
        <v/>
      </c>
      <c r="H53" s="14">
        <f>('Indicators Data'!G55-#REF!)/#REF!</f>
        <v/>
      </c>
      <c r="I53" s="14">
        <f>('Indicators Data'!P55-#REF!)/#REF!</f>
        <v/>
      </c>
      <c r="J53" s="15">
        <f>('Indicators Data'!T55-#REF!)/#REF!</f>
        <v/>
      </c>
      <c r="K53" s="6">
        <f>('Indicators Data'!U55-#REF!)/#REF!</f>
        <v/>
      </c>
      <c r="L53" s="14">
        <f>('Indicators Data'!Y55-#REF!)/#REF!</f>
        <v/>
      </c>
      <c r="M53" s="14">
        <f>('Indicators Data'!AD55-#REF!)/#REF!</f>
        <v/>
      </c>
      <c r="N53" s="15">
        <f>('Indicators Data'!#REF!-#REF!)/#REF!</f>
        <v/>
      </c>
      <c r="O53" s="6">
        <f>('Indicators Data'!#REF!-#REF!)/#REF!</f>
        <v/>
      </c>
      <c r="P53" s="14">
        <f>('Indicators Data'!#REF!-#REF!)/#REF!</f>
        <v/>
      </c>
      <c r="Q53" s="14">
        <f>-('Indicators Data'!#REF!-#REF!)/#REF!</f>
        <v/>
      </c>
      <c r="R53" s="15">
        <f>-('Indicators Data'!#REF!-#REF!)/#REF!</f>
        <v/>
      </c>
      <c r="S53" s="6">
        <f>('Indicators Data'!#REF!-#REF!)/#REF!</f>
        <v/>
      </c>
      <c r="T53" s="14">
        <f>('Indicators Data'!#REF!-#REF!)/#REF!</f>
        <v/>
      </c>
      <c r="U53" s="15">
        <f>('Indicators Data'!#REF!-#REF!)/#REF!</f>
        <v/>
      </c>
      <c r="V53" s="6">
        <f>-('Indicators Data'!#REF!-#REF!)/#REF!</f>
        <v/>
      </c>
      <c r="W53" s="14">
        <f>('Indicators Data'!#REF!-#REF!)/#REF!</f>
        <v/>
      </c>
      <c r="X53" s="15">
        <f>('Indicators Data'!#REF!-#REF!)/#REF!</f>
        <v/>
      </c>
      <c r="Y53" s="27">
        <f>MAX(D53-$C53,-1)*#REF!</f>
        <v/>
      </c>
      <c r="Z53" s="27">
        <f>MAX(E53-$C53,-1)*#REF!</f>
        <v/>
      </c>
      <c r="AA53" s="27">
        <f>MAX(F53-$C53,-1)*#REF!</f>
        <v/>
      </c>
      <c r="AB53" s="27">
        <f>MAX(G53-$C53,-1)*#REF!</f>
        <v/>
      </c>
      <c r="AC53" s="27">
        <f>MAX(H53-$C53,-1)*#REF!</f>
        <v/>
      </c>
      <c r="AD53" s="27">
        <f>MAX(I53-$C53,-1)*#REF!</f>
        <v/>
      </c>
      <c r="AE53" s="27">
        <f>MAX(J53-$C53,-1)*#REF!</f>
        <v/>
      </c>
      <c r="AF53" s="27">
        <f>MAX(K53-$C53,-1)*#REF!</f>
        <v/>
      </c>
      <c r="AG53" s="27">
        <f>MAX(L53-$C53,-1)*#REF!</f>
        <v/>
      </c>
      <c r="AH53" s="27">
        <f>MAX(M53-$C53,-1)*#REF!</f>
        <v/>
      </c>
      <c r="AI53" s="27">
        <f>MAX(N53-$C53,-1)*#REF!</f>
        <v/>
      </c>
      <c r="AJ53" s="27">
        <f>MAX(O53-$C53,-1)*#REF!</f>
        <v/>
      </c>
      <c r="AK53" s="27">
        <f>MAX(P53-$C53,-1)*#REF!</f>
        <v/>
      </c>
      <c r="AL53" s="27">
        <f>MAX(Q53-$C53,-1)*#REF!</f>
        <v/>
      </c>
      <c r="AM53" s="27">
        <f>MAX(R53-$C53,-1)*#REF!</f>
        <v/>
      </c>
      <c r="AN53" s="27">
        <f>MAX(S53-$C53,-1)*#REF!</f>
        <v/>
      </c>
      <c r="AO53" s="27">
        <f>MAX(T53-$C53,-1)*#REF!</f>
        <v/>
      </c>
      <c r="AP53" s="27">
        <f>MAX(U53-$C53,-1)*#REF!</f>
        <v/>
      </c>
      <c r="AQ53" s="27">
        <f>MAX(V53-$C53,-1)*#REF!</f>
        <v/>
      </c>
      <c r="AR53" s="27">
        <f>MAX(W53-$C53,-1)*#REF!</f>
        <v/>
      </c>
      <c r="AS53" s="27">
        <f>MAX(X53-$C53,-1)*#REF!</f>
        <v/>
      </c>
      <c r="AT53" s="29">
        <f>SUM(MAX(Y53:AS53,0))</f>
        <v/>
      </c>
    </row>
    <row r="54">
      <c r="A54" s="2" t="inlineStr">
        <is>
          <t>2017 кв.3</t>
        </is>
      </c>
      <c r="B54" s="16" t="n">
        <v>0</v>
      </c>
      <c r="C54" s="18" t="n">
        <v>2</v>
      </c>
      <c r="D54" s="6">
        <f>('Indicators Data'!C56-#REF!)/#REF!</f>
        <v/>
      </c>
      <c r="E54" s="14">
        <f>('Indicators Data'!D56-#REF!)/#REF!</f>
        <v/>
      </c>
      <c r="F54" s="14">
        <f>('Indicators Data'!E56-#REF!)/#REF!</f>
        <v/>
      </c>
      <c r="G54" s="14">
        <f>('Indicators Data'!F56-#REF!)/#REF!</f>
        <v/>
      </c>
      <c r="H54" s="14">
        <f>('Indicators Data'!G56-#REF!)/#REF!</f>
        <v/>
      </c>
      <c r="I54" s="14">
        <f>('Indicators Data'!P56-#REF!)/#REF!</f>
        <v/>
      </c>
      <c r="J54" s="15">
        <f>('Indicators Data'!T56-#REF!)/#REF!</f>
        <v/>
      </c>
      <c r="K54" s="6">
        <f>('Indicators Data'!U56-#REF!)/#REF!</f>
        <v/>
      </c>
      <c r="L54" s="14">
        <f>('Indicators Data'!Y56-#REF!)/#REF!</f>
        <v/>
      </c>
      <c r="M54" s="14">
        <f>('Indicators Data'!AD56-#REF!)/#REF!</f>
        <v/>
      </c>
      <c r="N54" s="15">
        <f>('Indicators Data'!#REF!-#REF!)/#REF!</f>
        <v/>
      </c>
      <c r="O54" s="6">
        <f>('Indicators Data'!#REF!-#REF!)/#REF!</f>
        <v/>
      </c>
      <c r="P54" s="14">
        <f>('Indicators Data'!#REF!-#REF!)/#REF!</f>
        <v/>
      </c>
      <c r="Q54" s="14">
        <f>-('Indicators Data'!#REF!-#REF!)/#REF!</f>
        <v/>
      </c>
      <c r="R54" s="15">
        <f>-('Indicators Data'!#REF!-#REF!)/#REF!</f>
        <v/>
      </c>
      <c r="S54" s="6">
        <f>('Indicators Data'!#REF!-#REF!)/#REF!</f>
        <v/>
      </c>
      <c r="T54" s="14">
        <f>('Indicators Data'!#REF!-#REF!)/#REF!</f>
        <v/>
      </c>
      <c r="U54" s="15">
        <f>('Indicators Data'!#REF!-#REF!)/#REF!</f>
        <v/>
      </c>
      <c r="V54" s="6">
        <f>-('Indicators Data'!#REF!-#REF!)/#REF!</f>
        <v/>
      </c>
      <c r="W54" s="14">
        <f>('Indicators Data'!#REF!-#REF!)/#REF!</f>
        <v/>
      </c>
      <c r="X54" s="15">
        <f>('Indicators Data'!#REF!-#REF!)/#REF!</f>
        <v/>
      </c>
      <c r="Y54" s="27">
        <f>MAX(D54-$C54,-1)*#REF!</f>
        <v/>
      </c>
      <c r="Z54" s="27">
        <f>MAX(E54-$C54,-1)*#REF!</f>
        <v/>
      </c>
      <c r="AA54" s="27">
        <f>MAX(F54-$C54,-1)*#REF!</f>
        <v/>
      </c>
      <c r="AB54" s="27">
        <f>MAX(G54-$C54,-1)*#REF!</f>
        <v/>
      </c>
      <c r="AC54" s="27">
        <f>MAX(H54-$C54,-1)*#REF!</f>
        <v/>
      </c>
      <c r="AD54" s="27">
        <f>MAX(I54-$C54,-1)*#REF!</f>
        <v/>
      </c>
      <c r="AE54" s="27">
        <f>MAX(J54-$C54,-1)*#REF!</f>
        <v/>
      </c>
      <c r="AF54" s="27">
        <f>MAX(K54-$C54,-1)*#REF!</f>
        <v/>
      </c>
      <c r="AG54" s="27">
        <f>MAX(L54-$C54,-1)*#REF!</f>
        <v/>
      </c>
      <c r="AH54" s="27">
        <f>MAX(M54-$C54,-1)*#REF!</f>
        <v/>
      </c>
      <c r="AI54" s="27">
        <f>MAX(N54-$C54,-1)*#REF!</f>
        <v/>
      </c>
      <c r="AJ54" s="27">
        <f>MAX(O54-$C54,-1)*#REF!</f>
        <v/>
      </c>
      <c r="AK54" s="27">
        <f>MAX(P54-$C54,-1)*#REF!</f>
        <v/>
      </c>
      <c r="AL54" s="27">
        <f>MAX(Q54-$C54,-1)*#REF!</f>
        <v/>
      </c>
      <c r="AM54" s="27">
        <f>MAX(R54-$C54,-1)*#REF!</f>
        <v/>
      </c>
      <c r="AN54" s="27">
        <f>MAX(S54-$C54,-1)*#REF!</f>
        <v/>
      </c>
      <c r="AO54" s="27">
        <f>MAX(T54-$C54,-1)*#REF!</f>
        <v/>
      </c>
      <c r="AP54" s="27">
        <f>MAX(U54-$C54,-1)*#REF!</f>
        <v/>
      </c>
      <c r="AQ54" s="27">
        <f>MAX(V54-$C54,-1)*#REF!</f>
        <v/>
      </c>
      <c r="AR54" s="27">
        <f>MAX(W54-$C54,-1)*#REF!</f>
        <v/>
      </c>
      <c r="AS54" s="27">
        <f>MAX(X54-$C54,-1)*#REF!</f>
        <v/>
      </c>
      <c r="AT54" s="29">
        <f>SUM(MAX(Y54:AS54,0))</f>
        <v/>
      </c>
    </row>
    <row r="55">
      <c r="A55" s="2" t="inlineStr">
        <is>
          <t>2017 кв.4</t>
        </is>
      </c>
      <c r="B55" s="16" t="n">
        <v>0</v>
      </c>
      <c r="C55" s="18" t="n">
        <v>2</v>
      </c>
      <c r="D55" s="6">
        <f>('Indicators Data'!C57-#REF!)/#REF!</f>
        <v/>
      </c>
      <c r="E55" s="14">
        <f>('Indicators Data'!D57-#REF!)/#REF!</f>
        <v/>
      </c>
      <c r="F55" s="14">
        <f>('Indicators Data'!E57-#REF!)/#REF!</f>
        <v/>
      </c>
      <c r="G55" s="14">
        <f>('Indicators Data'!F57-#REF!)/#REF!</f>
        <v/>
      </c>
      <c r="H55" s="14">
        <f>('Indicators Data'!G57-#REF!)/#REF!</f>
        <v/>
      </c>
      <c r="I55" s="14">
        <f>('Indicators Data'!P57-#REF!)/#REF!</f>
        <v/>
      </c>
      <c r="J55" s="15">
        <f>('Indicators Data'!T57-#REF!)/#REF!</f>
        <v/>
      </c>
      <c r="K55" s="6">
        <f>('Indicators Data'!U57-#REF!)/#REF!</f>
        <v/>
      </c>
      <c r="L55" s="14">
        <f>('Indicators Data'!Y57-#REF!)/#REF!</f>
        <v/>
      </c>
      <c r="M55" s="14">
        <f>('Indicators Data'!AD57-#REF!)/#REF!</f>
        <v/>
      </c>
      <c r="N55" s="15">
        <f>('Indicators Data'!#REF!-#REF!)/#REF!</f>
        <v/>
      </c>
      <c r="O55" s="6">
        <f>('Indicators Data'!#REF!-#REF!)/#REF!</f>
        <v/>
      </c>
      <c r="P55" s="14">
        <f>('Indicators Data'!#REF!-#REF!)/#REF!</f>
        <v/>
      </c>
      <c r="Q55" s="14">
        <f>-('Indicators Data'!#REF!-#REF!)/#REF!</f>
        <v/>
      </c>
      <c r="R55" s="15">
        <f>-('Indicators Data'!#REF!-#REF!)/#REF!</f>
        <v/>
      </c>
      <c r="S55" s="6">
        <f>('Indicators Data'!#REF!-#REF!)/#REF!</f>
        <v/>
      </c>
      <c r="T55" s="14">
        <f>('Indicators Data'!#REF!-#REF!)/#REF!</f>
        <v/>
      </c>
      <c r="U55" s="15">
        <f>('Indicators Data'!#REF!-#REF!)/#REF!</f>
        <v/>
      </c>
      <c r="V55" s="6">
        <f>-('Indicators Data'!#REF!-#REF!)/#REF!</f>
        <v/>
      </c>
      <c r="W55" s="14">
        <f>('Indicators Data'!#REF!-#REF!)/#REF!</f>
        <v/>
      </c>
      <c r="X55" s="15">
        <f>('Indicators Data'!#REF!-#REF!)/#REF!</f>
        <v/>
      </c>
      <c r="Y55" s="27">
        <f>MAX(D55-$C55,-1)*#REF!</f>
        <v/>
      </c>
      <c r="Z55" s="27">
        <f>MAX(E55-$C55,-1)*#REF!</f>
        <v/>
      </c>
      <c r="AA55" s="27">
        <f>MAX(F55-$C55,-1)*#REF!</f>
        <v/>
      </c>
      <c r="AB55" s="27">
        <f>MAX(G55-$C55,-1)*#REF!</f>
        <v/>
      </c>
      <c r="AC55" s="27">
        <f>MAX(H55-$C55,-1)*#REF!</f>
        <v/>
      </c>
      <c r="AD55" s="27">
        <f>MAX(I55-$C55,-1)*#REF!</f>
        <v/>
      </c>
      <c r="AE55" s="27">
        <f>MAX(J55-$C55,-1)*#REF!</f>
        <v/>
      </c>
      <c r="AF55" s="27">
        <f>MAX(K55-$C55,-1)*#REF!</f>
        <v/>
      </c>
      <c r="AG55" s="27">
        <f>MAX(L55-$C55,-1)*#REF!</f>
        <v/>
      </c>
      <c r="AH55" s="27">
        <f>MAX(M55-$C55,-1)*#REF!</f>
        <v/>
      </c>
      <c r="AI55" s="27">
        <f>MAX(N55-$C55,-1)*#REF!</f>
        <v/>
      </c>
      <c r="AJ55" s="27">
        <f>MAX(O55-$C55,-1)*#REF!</f>
        <v/>
      </c>
      <c r="AK55" s="27">
        <f>MAX(P55-$C55,-1)*#REF!</f>
        <v/>
      </c>
      <c r="AL55" s="27">
        <f>MAX(Q55-$C55,-1)*#REF!</f>
        <v/>
      </c>
      <c r="AM55" s="27">
        <f>MAX(R55-$C55,-1)*#REF!</f>
        <v/>
      </c>
      <c r="AN55" s="27">
        <f>MAX(S55-$C55,-1)*#REF!</f>
        <v/>
      </c>
      <c r="AO55" s="27">
        <f>MAX(T55-$C55,-1)*#REF!</f>
        <v/>
      </c>
      <c r="AP55" s="27">
        <f>MAX(U55-$C55,-1)*#REF!</f>
        <v/>
      </c>
      <c r="AQ55" s="27">
        <f>MAX(V55-$C55,-1)*#REF!</f>
        <v/>
      </c>
      <c r="AR55" s="27">
        <f>MAX(W55-$C55,-1)*#REF!</f>
        <v/>
      </c>
      <c r="AS55" s="27">
        <f>MAX(X55-$C55,-1)*#REF!</f>
        <v/>
      </c>
      <c r="AT55" s="29">
        <f>SUM(MAX(Y55:AS55,0))</f>
        <v/>
      </c>
    </row>
    <row r="56">
      <c r="A56" s="2" t="inlineStr">
        <is>
          <t>2018 кв.1</t>
        </is>
      </c>
      <c r="B56" s="16" t="n">
        <v>0</v>
      </c>
      <c r="C56" s="18" t="n">
        <v>2</v>
      </c>
      <c r="D56" s="6">
        <f>('Indicators Data'!C58-#REF!)/#REF!</f>
        <v/>
      </c>
      <c r="E56" s="14">
        <f>('Indicators Data'!D58-#REF!)/#REF!</f>
        <v/>
      </c>
      <c r="F56" s="14">
        <f>('Indicators Data'!E58-#REF!)/#REF!</f>
        <v/>
      </c>
      <c r="G56" s="14">
        <f>('Indicators Data'!F58-#REF!)/#REF!</f>
        <v/>
      </c>
      <c r="H56" s="14">
        <f>('Indicators Data'!G58-#REF!)/#REF!</f>
        <v/>
      </c>
      <c r="I56" s="14">
        <f>('Indicators Data'!P58-#REF!)/#REF!</f>
        <v/>
      </c>
      <c r="J56" s="15">
        <f>('Indicators Data'!T58-#REF!)/#REF!</f>
        <v/>
      </c>
      <c r="K56" s="6">
        <f>('Indicators Data'!U58-#REF!)/#REF!</f>
        <v/>
      </c>
      <c r="L56" s="14">
        <f>('Indicators Data'!Y58-#REF!)/#REF!</f>
        <v/>
      </c>
      <c r="M56" s="14">
        <f>('Indicators Data'!AD58-#REF!)/#REF!</f>
        <v/>
      </c>
      <c r="N56" s="15">
        <f>('Indicators Data'!#REF!-#REF!)/#REF!</f>
        <v/>
      </c>
      <c r="O56" s="6">
        <f>('Indicators Data'!#REF!-#REF!)/#REF!</f>
        <v/>
      </c>
      <c r="P56" s="14">
        <f>('Indicators Data'!#REF!-#REF!)/#REF!</f>
        <v/>
      </c>
      <c r="Q56" s="14">
        <f>-('Indicators Data'!#REF!-#REF!)/#REF!</f>
        <v/>
      </c>
      <c r="R56" s="15">
        <f>-('Indicators Data'!#REF!-#REF!)/#REF!</f>
        <v/>
      </c>
      <c r="S56" s="6">
        <f>('Indicators Data'!#REF!-#REF!)/#REF!</f>
        <v/>
      </c>
      <c r="T56" s="14">
        <f>('Indicators Data'!#REF!-#REF!)/#REF!</f>
        <v/>
      </c>
      <c r="U56" s="15">
        <f>('Indicators Data'!#REF!-#REF!)/#REF!</f>
        <v/>
      </c>
      <c r="V56" s="6">
        <f>-('Indicators Data'!#REF!-#REF!)/#REF!</f>
        <v/>
      </c>
      <c r="W56" s="14">
        <f>('Indicators Data'!#REF!-#REF!)/#REF!</f>
        <v/>
      </c>
      <c r="X56" s="15">
        <f>('Indicators Data'!#REF!-#REF!)/#REF!</f>
        <v/>
      </c>
      <c r="Y56" s="27">
        <f>MAX(D56-$C56,-1)*#REF!</f>
        <v/>
      </c>
      <c r="Z56" s="27">
        <f>MAX(E56-$C56,-1)*#REF!</f>
        <v/>
      </c>
      <c r="AA56" s="27">
        <f>MAX(F56-$C56,-1)*#REF!</f>
        <v/>
      </c>
      <c r="AB56" s="27">
        <f>MAX(G56-$C56,-1)*#REF!</f>
        <v/>
      </c>
      <c r="AC56" s="27">
        <f>MAX(H56-$C56,-1)*#REF!</f>
        <v/>
      </c>
      <c r="AD56" s="27">
        <f>MAX(I56-$C56,-1)*#REF!</f>
        <v/>
      </c>
      <c r="AE56" s="27">
        <f>MAX(J56-$C56,-1)*#REF!</f>
        <v/>
      </c>
      <c r="AF56" s="27">
        <f>MAX(K56-$C56,-1)*#REF!</f>
        <v/>
      </c>
      <c r="AG56" s="27">
        <f>MAX(L56-$C56,-1)*#REF!</f>
        <v/>
      </c>
      <c r="AH56" s="27">
        <f>MAX(M56-$C56,-1)*#REF!</f>
        <v/>
      </c>
      <c r="AI56" s="27">
        <f>MAX(N56-$C56,-1)*#REF!</f>
        <v/>
      </c>
      <c r="AJ56" s="27">
        <f>MAX(O56-$C56,-1)*#REF!</f>
        <v/>
      </c>
      <c r="AK56" s="27">
        <f>MAX(P56-$C56,-1)*#REF!</f>
        <v/>
      </c>
      <c r="AL56" s="27">
        <f>MAX(Q56-$C56,-1)*#REF!</f>
        <v/>
      </c>
      <c r="AM56" s="27">
        <f>MAX(R56-$C56,-1)*#REF!</f>
        <v/>
      </c>
      <c r="AN56" s="27">
        <f>MAX(S56-$C56,-1)*#REF!</f>
        <v/>
      </c>
      <c r="AO56" s="27">
        <f>MAX(T56-$C56,-1)*#REF!</f>
        <v/>
      </c>
      <c r="AP56" s="27">
        <f>MAX(U56-$C56,-1)*#REF!</f>
        <v/>
      </c>
      <c r="AQ56" s="27">
        <f>MAX(V56-$C56,-1)*#REF!</f>
        <v/>
      </c>
      <c r="AR56" s="27">
        <f>MAX(W56-$C56,-1)*#REF!</f>
        <v/>
      </c>
      <c r="AS56" s="27">
        <f>MAX(X56-$C56,-1)*#REF!</f>
        <v/>
      </c>
      <c r="AT56" s="29">
        <f>SUM(MAX(Y56:AS56,0))</f>
        <v/>
      </c>
    </row>
    <row r="57">
      <c r="A57" s="2" t="inlineStr">
        <is>
          <t>2018 кв.2</t>
        </is>
      </c>
      <c r="B57" s="16" t="n">
        <v>0</v>
      </c>
      <c r="C57" s="18" t="n">
        <v>2</v>
      </c>
      <c r="D57" s="6">
        <f>('Indicators Data'!C59-#REF!)/#REF!</f>
        <v/>
      </c>
      <c r="E57" s="14">
        <f>('Indicators Data'!D59-#REF!)/#REF!</f>
        <v/>
      </c>
      <c r="F57" s="14">
        <f>('Indicators Data'!E59-#REF!)/#REF!</f>
        <v/>
      </c>
      <c r="G57" s="14">
        <f>('Indicators Data'!F59-#REF!)/#REF!</f>
        <v/>
      </c>
      <c r="H57" s="14">
        <f>('Indicators Data'!G59-#REF!)/#REF!</f>
        <v/>
      </c>
      <c r="I57" s="14">
        <f>('Indicators Data'!P59-#REF!)/#REF!</f>
        <v/>
      </c>
      <c r="J57" s="15">
        <f>('Indicators Data'!T59-#REF!)/#REF!</f>
        <v/>
      </c>
      <c r="K57" s="6">
        <f>('Indicators Data'!U59-#REF!)/#REF!</f>
        <v/>
      </c>
      <c r="L57" s="14">
        <f>('Indicators Data'!Y59-#REF!)/#REF!</f>
        <v/>
      </c>
      <c r="M57" s="14">
        <f>('Indicators Data'!AD59-#REF!)/#REF!</f>
        <v/>
      </c>
      <c r="N57" s="15">
        <f>('Indicators Data'!#REF!-#REF!)/#REF!</f>
        <v/>
      </c>
      <c r="O57" s="6">
        <f>('Indicators Data'!#REF!-#REF!)/#REF!</f>
        <v/>
      </c>
      <c r="P57" s="14">
        <f>('Indicators Data'!#REF!-#REF!)/#REF!</f>
        <v/>
      </c>
      <c r="Q57" s="14">
        <f>-('Indicators Data'!#REF!-#REF!)/#REF!</f>
        <v/>
      </c>
      <c r="R57" s="15">
        <f>-('Indicators Data'!#REF!-#REF!)/#REF!</f>
        <v/>
      </c>
      <c r="S57" s="6">
        <f>('Indicators Data'!#REF!-#REF!)/#REF!</f>
        <v/>
      </c>
      <c r="T57" s="14">
        <f>('Indicators Data'!#REF!-#REF!)/#REF!</f>
        <v/>
      </c>
      <c r="U57" s="15">
        <f>('Indicators Data'!#REF!-#REF!)/#REF!</f>
        <v/>
      </c>
      <c r="V57" s="6">
        <f>-('Indicators Data'!#REF!-#REF!)/#REF!</f>
        <v/>
      </c>
      <c r="W57" s="14">
        <f>('Indicators Data'!#REF!-#REF!)/#REF!</f>
        <v/>
      </c>
      <c r="X57" s="15">
        <f>('Indicators Data'!#REF!-#REF!)/#REF!</f>
        <v/>
      </c>
      <c r="Y57" s="27">
        <f>MAX(D57-$C57,-1)*#REF!</f>
        <v/>
      </c>
      <c r="Z57" s="27">
        <f>MAX(E57-$C57,-1)*#REF!</f>
        <v/>
      </c>
      <c r="AA57" s="27">
        <f>MAX(F57-$C57,-1)*#REF!</f>
        <v/>
      </c>
      <c r="AB57" s="27">
        <f>MAX(G57-$C57,-1)*#REF!</f>
        <v/>
      </c>
      <c r="AC57" s="27">
        <f>MAX(H57-$C57,-1)*#REF!</f>
        <v/>
      </c>
      <c r="AD57" s="27">
        <f>MAX(I57-$C57,-1)*#REF!</f>
        <v/>
      </c>
      <c r="AE57" s="27">
        <f>MAX(J57-$C57,-1)*#REF!</f>
        <v/>
      </c>
      <c r="AF57" s="27">
        <f>MAX(K57-$C57,-1)*#REF!</f>
        <v/>
      </c>
      <c r="AG57" s="27">
        <f>MAX(L57-$C57,-1)*#REF!</f>
        <v/>
      </c>
      <c r="AH57" s="27">
        <f>MAX(M57-$C57,-1)*#REF!</f>
        <v/>
      </c>
      <c r="AI57" s="27">
        <f>MAX(N57-$C57,-1)*#REF!</f>
        <v/>
      </c>
      <c r="AJ57" s="27">
        <f>MAX(O57-$C57,-1)*#REF!</f>
        <v/>
      </c>
      <c r="AK57" s="27">
        <f>MAX(P57-$C57,-1)*#REF!</f>
        <v/>
      </c>
      <c r="AL57" s="27">
        <f>MAX(Q57-$C57,-1)*#REF!</f>
        <v/>
      </c>
      <c r="AM57" s="27">
        <f>MAX(R57-$C57,-1)*#REF!</f>
        <v/>
      </c>
      <c r="AN57" s="27">
        <f>MAX(S57-$C57,-1)*#REF!</f>
        <v/>
      </c>
      <c r="AO57" s="27">
        <f>MAX(T57-$C57,-1)*#REF!</f>
        <v/>
      </c>
      <c r="AP57" s="27">
        <f>MAX(U57-$C57,-1)*#REF!</f>
        <v/>
      </c>
      <c r="AQ57" s="27">
        <f>MAX(V57-$C57,-1)*#REF!</f>
        <v/>
      </c>
      <c r="AR57" s="27">
        <f>MAX(W57-$C57,-1)*#REF!</f>
        <v/>
      </c>
      <c r="AS57" s="27">
        <f>MAX(X57-$C57,-1)*#REF!</f>
        <v/>
      </c>
      <c r="AT57" s="29">
        <f>SUM(MAX(Y57:AS57,0))</f>
        <v/>
      </c>
    </row>
    <row r="58">
      <c r="A58" s="2" t="inlineStr">
        <is>
          <t>2018 кв.3</t>
        </is>
      </c>
      <c r="B58" s="16" t="n">
        <v>0</v>
      </c>
      <c r="C58" s="18" t="n">
        <v>2</v>
      </c>
      <c r="D58" s="6">
        <f>('Indicators Data'!C60-#REF!)/#REF!</f>
        <v/>
      </c>
      <c r="E58" s="14">
        <f>('Indicators Data'!D60-#REF!)/#REF!</f>
        <v/>
      </c>
      <c r="F58" s="14">
        <f>('Indicators Data'!E60-#REF!)/#REF!</f>
        <v/>
      </c>
      <c r="G58" s="14">
        <f>('Indicators Data'!F60-#REF!)/#REF!</f>
        <v/>
      </c>
      <c r="H58" s="14">
        <f>('Indicators Data'!G60-#REF!)/#REF!</f>
        <v/>
      </c>
      <c r="I58" s="14">
        <f>('Indicators Data'!P60-#REF!)/#REF!</f>
        <v/>
      </c>
      <c r="J58" s="15">
        <f>('Indicators Data'!T60-#REF!)/#REF!</f>
        <v/>
      </c>
      <c r="K58" s="6">
        <f>('Indicators Data'!U60-#REF!)/#REF!</f>
        <v/>
      </c>
      <c r="L58" s="14">
        <f>('Indicators Data'!Y60-#REF!)/#REF!</f>
        <v/>
      </c>
      <c r="M58" s="14">
        <f>('Indicators Data'!AD60-#REF!)/#REF!</f>
        <v/>
      </c>
      <c r="N58" s="15">
        <f>('Indicators Data'!#REF!-#REF!)/#REF!</f>
        <v/>
      </c>
      <c r="O58" s="6">
        <f>('Indicators Data'!#REF!-#REF!)/#REF!</f>
        <v/>
      </c>
      <c r="P58" s="14">
        <f>('Indicators Data'!#REF!-#REF!)/#REF!</f>
        <v/>
      </c>
      <c r="Q58" s="14">
        <f>-('Indicators Data'!#REF!-#REF!)/#REF!</f>
        <v/>
      </c>
      <c r="R58" s="15">
        <f>-('Indicators Data'!#REF!-#REF!)/#REF!</f>
        <v/>
      </c>
      <c r="S58" s="6">
        <f>('Indicators Data'!#REF!-#REF!)/#REF!</f>
        <v/>
      </c>
      <c r="T58" s="14">
        <f>('Indicators Data'!#REF!-#REF!)/#REF!</f>
        <v/>
      </c>
      <c r="U58" s="15">
        <f>('Indicators Data'!#REF!-#REF!)/#REF!</f>
        <v/>
      </c>
      <c r="V58" s="6">
        <f>-('Indicators Data'!#REF!-#REF!)/#REF!</f>
        <v/>
      </c>
      <c r="W58" s="14">
        <f>('Indicators Data'!#REF!-#REF!)/#REF!</f>
        <v/>
      </c>
      <c r="X58" s="15">
        <f>('Indicators Data'!#REF!-#REF!)/#REF!</f>
        <v/>
      </c>
      <c r="Y58" s="27">
        <f>MAX(D58-$C58,-1)*#REF!</f>
        <v/>
      </c>
      <c r="Z58" s="27">
        <f>MAX(E58-$C58,-1)*#REF!</f>
        <v/>
      </c>
      <c r="AA58" s="27">
        <f>MAX(F58-$C58,-1)*#REF!</f>
        <v/>
      </c>
      <c r="AB58" s="27">
        <f>MAX(G58-$C58,-1)*#REF!</f>
        <v/>
      </c>
      <c r="AC58" s="27">
        <f>MAX(H58-$C58,-1)*#REF!</f>
        <v/>
      </c>
      <c r="AD58" s="27">
        <f>MAX(I58-$C58,-1)*#REF!</f>
        <v/>
      </c>
      <c r="AE58" s="27">
        <f>MAX(J58-$C58,-1)*#REF!</f>
        <v/>
      </c>
      <c r="AF58" s="27">
        <f>MAX(K58-$C58,-1)*#REF!</f>
        <v/>
      </c>
      <c r="AG58" s="27">
        <f>MAX(L58-$C58,-1)*#REF!</f>
        <v/>
      </c>
      <c r="AH58" s="27">
        <f>MAX(M58-$C58,-1)*#REF!</f>
        <v/>
      </c>
      <c r="AI58" s="27">
        <f>MAX(N58-$C58,-1)*#REF!</f>
        <v/>
      </c>
      <c r="AJ58" s="27">
        <f>MAX(O58-$C58,-1)*#REF!</f>
        <v/>
      </c>
      <c r="AK58" s="27">
        <f>MAX(P58-$C58,-1)*#REF!</f>
        <v/>
      </c>
      <c r="AL58" s="27">
        <f>MAX(Q58-$C58,-1)*#REF!</f>
        <v/>
      </c>
      <c r="AM58" s="27">
        <f>MAX(R58-$C58,-1)*#REF!</f>
        <v/>
      </c>
      <c r="AN58" s="27">
        <f>MAX(S58-$C58,-1)*#REF!</f>
        <v/>
      </c>
      <c r="AO58" s="27">
        <f>MAX(T58-$C58,-1)*#REF!</f>
        <v/>
      </c>
      <c r="AP58" s="27">
        <f>MAX(U58-$C58,-1)*#REF!</f>
        <v/>
      </c>
      <c r="AQ58" s="27">
        <f>MAX(V58-$C58,-1)*#REF!</f>
        <v/>
      </c>
      <c r="AR58" s="27">
        <f>MAX(W58-$C58,-1)*#REF!</f>
        <v/>
      </c>
      <c r="AS58" s="27">
        <f>MAX(X58-$C58,-1)*#REF!</f>
        <v/>
      </c>
      <c r="AT58" s="29">
        <f>SUM(MAX(Y58:AS58,0))</f>
        <v/>
      </c>
    </row>
    <row r="59">
      <c r="A59" s="2" t="inlineStr">
        <is>
          <t>2018 кв.4</t>
        </is>
      </c>
      <c r="B59" s="16" t="n">
        <v>0</v>
      </c>
      <c r="C59" s="18" t="n">
        <v>2</v>
      </c>
      <c r="D59" s="6">
        <f>('Indicators Data'!C61-#REF!)/#REF!</f>
        <v/>
      </c>
      <c r="E59" s="14">
        <f>('Indicators Data'!D61-#REF!)/#REF!</f>
        <v/>
      </c>
      <c r="F59" s="14">
        <f>('Indicators Data'!E61-#REF!)/#REF!</f>
        <v/>
      </c>
      <c r="G59" s="14">
        <f>('Indicators Data'!F61-#REF!)/#REF!</f>
        <v/>
      </c>
      <c r="H59" s="14">
        <f>('Indicators Data'!G61-#REF!)/#REF!</f>
        <v/>
      </c>
      <c r="I59" s="14">
        <f>('Indicators Data'!P61-#REF!)/#REF!</f>
        <v/>
      </c>
      <c r="J59" s="15">
        <f>('Indicators Data'!T61-#REF!)/#REF!</f>
        <v/>
      </c>
      <c r="K59" s="6">
        <f>('Indicators Data'!U61-#REF!)/#REF!</f>
        <v/>
      </c>
      <c r="L59" s="14">
        <f>('Indicators Data'!Y61-#REF!)/#REF!</f>
        <v/>
      </c>
      <c r="M59" s="14">
        <f>('Indicators Data'!AD61-#REF!)/#REF!</f>
        <v/>
      </c>
      <c r="N59" s="15">
        <f>('Indicators Data'!#REF!-#REF!)/#REF!</f>
        <v/>
      </c>
      <c r="O59" s="6">
        <f>('Indicators Data'!#REF!-#REF!)/#REF!</f>
        <v/>
      </c>
      <c r="P59" s="14">
        <f>('Indicators Data'!#REF!-#REF!)/#REF!</f>
        <v/>
      </c>
      <c r="Q59" s="14">
        <f>-('Indicators Data'!#REF!-#REF!)/#REF!</f>
        <v/>
      </c>
      <c r="R59" s="15">
        <f>-('Indicators Data'!#REF!-#REF!)/#REF!</f>
        <v/>
      </c>
      <c r="S59" s="6">
        <f>('Indicators Data'!#REF!-#REF!)/#REF!</f>
        <v/>
      </c>
      <c r="T59" s="14">
        <f>('Indicators Data'!#REF!-#REF!)/#REF!</f>
        <v/>
      </c>
      <c r="U59" s="15">
        <f>('Indicators Data'!#REF!-#REF!)/#REF!</f>
        <v/>
      </c>
      <c r="V59" s="6">
        <f>-('Indicators Data'!#REF!-#REF!)/#REF!</f>
        <v/>
      </c>
      <c r="W59" s="14">
        <f>('Indicators Data'!#REF!-#REF!)/#REF!</f>
        <v/>
      </c>
      <c r="X59" s="15">
        <f>('Indicators Data'!#REF!-#REF!)/#REF!</f>
        <v/>
      </c>
      <c r="Y59" s="27">
        <f>MAX(D59-$C59,-1)*#REF!</f>
        <v/>
      </c>
      <c r="Z59" s="27">
        <f>MAX(E59-$C59,-1)*#REF!</f>
        <v/>
      </c>
      <c r="AA59" s="27">
        <f>MAX(F59-$C59,-1)*#REF!</f>
        <v/>
      </c>
      <c r="AB59" s="27">
        <f>MAX(G59-$C59,-1)*#REF!</f>
        <v/>
      </c>
      <c r="AC59" s="27">
        <f>MAX(H59-$C59,-1)*#REF!</f>
        <v/>
      </c>
      <c r="AD59" s="27">
        <f>MAX(I59-$C59,-1)*#REF!</f>
        <v/>
      </c>
      <c r="AE59" s="27">
        <f>MAX(J59-$C59,-1)*#REF!</f>
        <v/>
      </c>
      <c r="AF59" s="27">
        <f>MAX(K59-$C59,-1)*#REF!</f>
        <v/>
      </c>
      <c r="AG59" s="27">
        <f>MAX(L59-$C59,-1)*#REF!</f>
        <v/>
      </c>
      <c r="AH59" s="27">
        <f>MAX(M59-$C59,-1)*#REF!</f>
        <v/>
      </c>
      <c r="AI59" s="27">
        <f>MAX(N59-$C59,-1)*#REF!</f>
        <v/>
      </c>
      <c r="AJ59" s="27">
        <f>MAX(O59-$C59,-1)*#REF!</f>
        <v/>
      </c>
      <c r="AK59" s="27">
        <f>MAX(P59-$C59,-1)*#REF!</f>
        <v/>
      </c>
      <c r="AL59" s="27">
        <f>MAX(Q59-$C59,-1)*#REF!</f>
        <v/>
      </c>
      <c r="AM59" s="27">
        <f>MAX(R59-$C59,-1)*#REF!</f>
        <v/>
      </c>
      <c r="AN59" s="27">
        <f>MAX(S59-$C59,-1)*#REF!</f>
        <v/>
      </c>
      <c r="AO59" s="27">
        <f>MAX(T59-$C59,-1)*#REF!</f>
        <v/>
      </c>
      <c r="AP59" s="27">
        <f>MAX(U59-$C59,-1)*#REF!</f>
        <v/>
      </c>
      <c r="AQ59" s="27">
        <f>MAX(V59-$C59,-1)*#REF!</f>
        <v/>
      </c>
      <c r="AR59" s="27">
        <f>MAX(W59-$C59,-1)*#REF!</f>
        <v/>
      </c>
      <c r="AS59" s="27">
        <f>MAX(X59-$C59,-1)*#REF!</f>
        <v/>
      </c>
      <c r="AT59" s="29">
        <f>SUM(MAX(Y59:AS59,0))</f>
        <v/>
      </c>
    </row>
    <row r="60">
      <c r="A60" s="2" t="inlineStr">
        <is>
          <t>2019 кв.1</t>
        </is>
      </c>
      <c r="B60" s="16" t="n">
        <v>0</v>
      </c>
      <c r="C60" s="18" t="n">
        <v>2</v>
      </c>
      <c r="D60" s="6">
        <f>('Indicators Data'!C62-#REF!)/#REF!</f>
        <v/>
      </c>
      <c r="E60" s="14">
        <f>('Indicators Data'!D62-#REF!)/#REF!</f>
        <v/>
      </c>
      <c r="F60" s="14">
        <f>('Indicators Data'!E62-#REF!)/#REF!</f>
        <v/>
      </c>
      <c r="G60" s="14">
        <f>('Indicators Data'!F62-#REF!)/#REF!</f>
        <v/>
      </c>
      <c r="H60" s="14">
        <f>('Indicators Data'!G62-#REF!)/#REF!</f>
        <v/>
      </c>
      <c r="I60" s="14">
        <f>('Indicators Data'!P62-#REF!)/#REF!</f>
        <v/>
      </c>
      <c r="J60" s="15">
        <f>('Indicators Data'!T62-#REF!)/#REF!</f>
        <v/>
      </c>
      <c r="K60" s="6">
        <f>('Indicators Data'!U62-#REF!)/#REF!</f>
        <v/>
      </c>
      <c r="L60" s="14">
        <f>('Indicators Data'!Y62-#REF!)/#REF!</f>
        <v/>
      </c>
      <c r="M60" s="14">
        <f>('Indicators Data'!AD62-#REF!)/#REF!</f>
        <v/>
      </c>
      <c r="N60" s="15">
        <f>('Indicators Data'!#REF!-#REF!)/#REF!</f>
        <v/>
      </c>
      <c r="O60" s="6">
        <f>('Indicators Data'!#REF!-#REF!)/#REF!</f>
        <v/>
      </c>
      <c r="P60" s="14">
        <f>('Indicators Data'!#REF!-#REF!)/#REF!</f>
        <v/>
      </c>
      <c r="Q60" s="14">
        <f>-('Indicators Data'!#REF!-#REF!)/#REF!</f>
        <v/>
      </c>
      <c r="R60" s="15">
        <f>-('Indicators Data'!#REF!-#REF!)/#REF!</f>
        <v/>
      </c>
      <c r="S60" s="6">
        <f>('Indicators Data'!#REF!-#REF!)/#REF!</f>
        <v/>
      </c>
      <c r="T60" s="14">
        <f>('Indicators Data'!#REF!-#REF!)/#REF!</f>
        <v/>
      </c>
      <c r="U60" s="15">
        <f>('Indicators Data'!#REF!-#REF!)/#REF!</f>
        <v/>
      </c>
      <c r="V60" s="6">
        <f>-('Indicators Data'!#REF!-#REF!)/#REF!</f>
        <v/>
      </c>
      <c r="W60" s="14">
        <f>('Indicators Data'!#REF!-#REF!)/#REF!</f>
        <v/>
      </c>
      <c r="X60" s="15">
        <f>('Indicators Data'!#REF!-#REF!)/#REF!</f>
        <v/>
      </c>
      <c r="Y60" s="27">
        <f>MAX(D60-$C60,-1)*#REF!</f>
        <v/>
      </c>
      <c r="Z60" s="27">
        <f>MAX(E60-$C60,-1)*#REF!</f>
        <v/>
      </c>
      <c r="AA60" s="27">
        <f>MAX(F60-$C60,-1)*#REF!</f>
        <v/>
      </c>
      <c r="AB60" s="27">
        <f>MAX(G60-$C60,-1)*#REF!</f>
        <v/>
      </c>
      <c r="AC60" s="27">
        <f>MAX(H60-$C60,-1)*#REF!</f>
        <v/>
      </c>
      <c r="AD60" s="27">
        <f>MAX(I60-$C60,-1)*#REF!</f>
        <v/>
      </c>
      <c r="AE60" s="27">
        <f>MAX(J60-$C60,-1)*#REF!</f>
        <v/>
      </c>
      <c r="AF60" s="27">
        <f>MAX(K60-$C60,-1)*#REF!</f>
        <v/>
      </c>
      <c r="AG60" s="27">
        <f>MAX(L60-$C60,-1)*#REF!</f>
        <v/>
      </c>
      <c r="AH60" s="27">
        <f>MAX(M60-$C60,-1)*#REF!</f>
        <v/>
      </c>
      <c r="AI60" s="27">
        <f>MAX(N60-$C60,-1)*#REF!</f>
        <v/>
      </c>
      <c r="AJ60" s="27">
        <f>MAX(O60-$C60,-1)*#REF!</f>
        <v/>
      </c>
      <c r="AK60" s="27">
        <f>MAX(P60-$C60,-1)*#REF!</f>
        <v/>
      </c>
      <c r="AL60" s="27">
        <f>MAX(Q60-$C60,-1)*#REF!</f>
        <v/>
      </c>
      <c r="AM60" s="27">
        <f>MAX(R60-$C60,-1)*#REF!</f>
        <v/>
      </c>
      <c r="AN60" s="27">
        <f>MAX(S60-$C60,-1)*#REF!</f>
        <v/>
      </c>
      <c r="AO60" s="27">
        <f>MAX(T60-$C60,-1)*#REF!</f>
        <v/>
      </c>
      <c r="AP60" s="27">
        <f>MAX(U60-$C60,-1)*#REF!</f>
        <v/>
      </c>
      <c r="AQ60" s="27">
        <f>MAX(V60-$C60,-1)*#REF!</f>
        <v/>
      </c>
      <c r="AR60" s="27">
        <f>MAX(W60-$C60,-1)*#REF!</f>
        <v/>
      </c>
      <c r="AS60" s="27">
        <f>MAX(X60-$C60,-1)*#REF!</f>
        <v/>
      </c>
      <c r="AT60" s="29">
        <f>SUM(MAX(Y60:AS60,0))</f>
        <v/>
      </c>
    </row>
    <row r="61">
      <c r="A61" s="2" t="inlineStr">
        <is>
          <t>2019 кв.2</t>
        </is>
      </c>
      <c r="B61" s="16" t="n">
        <v>0</v>
      </c>
      <c r="C61" s="18" t="n">
        <v>2</v>
      </c>
      <c r="D61" s="6">
        <f>('Indicators Data'!C63-#REF!)/#REF!</f>
        <v/>
      </c>
      <c r="E61" s="14">
        <f>('Indicators Data'!D63-#REF!)/#REF!</f>
        <v/>
      </c>
      <c r="F61" s="14">
        <f>('Indicators Data'!E63-#REF!)/#REF!</f>
        <v/>
      </c>
      <c r="G61" s="14">
        <f>('Indicators Data'!F63-#REF!)/#REF!</f>
        <v/>
      </c>
      <c r="H61" s="14">
        <f>('Indicators Data'!G63-#REF!)/#REF!</f>
        <v/>
      </c>
      <c r="I61" s="14">
        <f>('Indicators Data'!P63-#REF!)/#REF!</f>
        <v/>
      </c>
      <c r="J61" s="15">
        <f>('Indicators Data'!T63-#REF!)/#REF!</f>
        <v/>
      </c>
      <c r="K61" s="6">
        <f>('Indicators Data'!U63-#REF!)/#REF!</f>
        <v/>
      </c>
      <c r="L61" s="14">
        <f>('Indicators Data'!Y63-#REF!)/#REF!</f>
        <v/>
      </c>
      <c r="M61" s="14">
        <f>('Indicators Data'!AD63-#REF!)/#REF!</f>
        <v/>
      </c>
      <c r="N61" s="15">
        <f>('Indicators Data'!#REF!-#REF!)/#REF!</f>
        <v/>
      </c>
      <c r="O61" s="6">
        <f>('Indicators Data'!#REF!-#REF!)/#REF!</f>
        <v/>
      </c>
      <c r="P61" s="14">
        <f>('Indicators Data'!#REF!-#REF!)/#REF!</f>
        <v/>
      </c>
      <c r="Q61" s="14">
        <f>-('Indicators Data'!#REF!-#REF!)/#REF!</f>
        <v/>
      </c>
      <c r="R61" s="15">
        <f>-('Indicators Data'!#REF!-#REF!)/#REF!</f>
        <v/>
      </c>
      <c r="S61" s="6">
        <f>('Indicators Data'!#REF!-#REF!)/#REF!</f>
        <v/>
      </c>
      <c r="T61" s="14">
        <f>('Indicators Data'!#REF!-#REF!)/#REF!</f>
        <v/>
      </c>
      <c r="U61" s="15">
        <f>('Indicators Data'!#REF!-#REF!)/#REF!</f>
        <v/>
      </c>
      <c r="V61" s="6">
        <f>-('Indicators Data'!#REF!-#REF!)/#REF!</f>
        <v/>
      </c>
      <c r="W61" s="14">
        <f>('Indicators Data'!#REF!-#REF!)/#REF!</f>
        <v/>
      </c>
      <c r="X61" s="15">
        <f>('Indicators Data'!#REF!-#REF!)/#REF!</f>
        <v/>
      </c>
      <c r="Y61" s="27">
        <f>MAX(D61-$C61,-1)*#REF!</f>
        <v/>
      </c>
      <c r="Z61" s="27">
        <f>MAX(E61-$C61,-1)*#REF!</f>
        <v/>
      </c>
      <c r="AA61" s="27">
        <f>MAX(F61-$C61,-1)*#REF!</f>
        <v/>
      </c>
      <c r="AB61" s="27">
        <f>MAX(G61-$C61,-1)*#REF!</f>
        <v/>
      </c>
      <c r="AC61" s="27">
        <f>MAX(H61-$C61,-1)*#REF!</f>
        <v/>
      </c>
      <c r="AD61" s="27">
        <f>MAX(I61-$C61,-1)*#REF!</f>
        <v/>
      </c>
      <c r="AE61" s="27">
        <f>MAX(J61-$C61,-1)*#REF!</f>
        <v/>
      </c>
      <c r="AF61" s="27">
        <f>MAX(K61-$C61,-1)*#REF!</f>
        <v/>
      </c>
      <c r="AG61" s="27">
        <f>MAX(L61-$C61,-1)*#REF!</f>
        <v/>
      </c>
      <c r="AH61" s="27">
        <f>MAX(M61-$C61,-1)*#REF!</f>
        <v/>
      </c>
      <c r="AI61" s="27">
        <f>MAX(N61-$C61,-1)*#REF!</f>
        <v/>
      </c>
      <c r="AJ61" s="27">
        <f>MAX(O61-$C61,-1)*#REF!</f>
        <v/>
      </c>
      <c r="AK61" s="27">
        <f>MAX(P61-$C61,-1)*#REF!</f>
        <v/>
      </c>
      <c r="AL61" s="27">
        <f>MAX(Q61-$C61,-1)*#REF!</f>
        <v/>
      </c>
      <c r="AM61" s="27">
        <f>MAX(R61-$C61,-1)*#REF!</f>
        <v/>
      </c>
      <c r="AN61" s="27">
        <f>MAX(S61-$C61,-1)*#REF!</f>
        <v/>
      </c>
      <c r="AO61" s="27">
        <f>MAX(T61-$C61,-1)*#REF!</f>
        <v/>
      </c>
      <c r="AP61" s="27">
        <f>MAX(U61-$C61,-1)*#REF!</f>
        <v/>
      </c>
      <c r="AQ61" s="27">
        <f>MAX(V61-$C61,-1)*#REF!</f>
        <v/>
      </c>
      <c r="AR61" s="27">
        <f>MAX(W61-$C61,-1)*#REF!</f>
        <v/>
      </c>
      <c r="AS61" s="27">
        <f>MAX(X61-$C61,-1)*#REF!</f>
        <v/>
      </c>
      <c r="AT61" s="29">
        <f>SUM(MAX(Y61:AS61,0))</f>
        <v/>
      </c>
    </row>
    <row r="62">
      <c r="A62" s="2" t="inlineStr">
        <is>
          <t>2019 кв.3</t>
        </is>
      </c>
      <c r="B62" s="16" t="n">
        <v>0</v>
      </c>
      <c r="C62" s="18" t="n">
        <v>2</v>
      </c>
      <c r="D62" s="6">
        <f>('Indicators Data'!C64-#REF!)/#REF!</f>
        <v/>
      </c>
      <c r="E62" s="14">
        <f>('Indicators Data'!D64-#REF!)/#REF!</f>
        <v/>
      </c>
      <c r="F62" s="14">
        <f>('Indicators Data'!E64-#REF!)/#REF!</f>
        <v/>
      </c>
      <c r="G62" s="14">
        <f>('Indicators Data'!F64-#REF!)/#REF!</f>
        <v/>
      </c>
      <c r="H62" s="14">
        <f>('Indicators Data'!G64-#REF!)/#REF!</f>
        <v/>
      </c>
      <c r="I62" s="14">
        <f>('Indicators Data'!P64-#REF!)/#REF!</f>
        <v/>
      </c>
      <c r="J62" s="15">
        <f>('Indicators Data'!T64-#REF!)/#REF!</f>
        <v/>
      </c>
      <c r="K62" s="6">
        <f>('Indicators Data'!U64-#REF!)/#REF!</f>
        <v/>
      </c>
      <c r="L62" s="14">
        <f>('Indicators Data'!Y64-#REF!)/#REF!</f>
        <v/>
      </c>
      <c r="M62" s="14">
        <f>('Indicators Data'!AD64-#REF!)/#REF!</f>
        <v/>
      </c>
      <c r="N62" s="15">
        <f>('Indicators Data'!#REF!-#REF!)/#REF!</f>
        <v/>
      </c>
      <c r="O62" s="6">
        <f>('Indicators Data'!#REF!-#REF!)/#REF!</f>
        <v/>
      </c>
      <c r="P62" s="14">
        <f>('Indicators Data'!#REF!-#REF!)/#REF!</f>
        <v/>
      </c>
      <c r="Q62" s="14">
        <f>-('Indicators Data'!#REF!-#REF!)/#REF!</f>
        <v/>
      </c>
      <c r="R62" s="15">
        <f>-('Indicators Data'!#REF!-#REF!)/#REF!</f>
        <v/>
      </c>
      <c r="S62" s="6">
        <f>('Indicators Data'!#REF!-#REF!)/#REF!</f>
        <v/>
      </c>
      <c r="T62" s="14">
        <f>('Indicators Data'!#REF!-#REF!)/#REF!</f>
        <v/>
      </c>
      <c r="U62" s="15">
        <f>('Indicators Data'!#REF!-#REF!)/#REF!</f>
        <v/>
      </c>
      <c r="V62" s="6">
        <f>-('Indicators Data'!#REF!-#REF!)/#REF!</f>
        <v/>
      </c>
      <c r="W62" s="14">
        <f>('Indicators Data'!#REF!-#REF!)/#REF!</f>
        <v/>
      </c>
      <c r="X62" s="15">
        <f>('Indicators Data'!#REF!-#REF!)/#REF!</f>
        <v/>
      </c>
      <c r="Y62" s="27">
        <f>MAX(D62-$C62,-1)*#REF!</f>
        <v/>
      </c>
      <c r="Z62" s="27">
        <f>MAX(E62-$C62,-1)*#REF!</f>
        <v/>
      </c>
      <c r="AA62" s="27">
        <f>MAX(F62-$C62,-1)*#REF!</f>
        <v/>
      </c>
      <c r="AB62" s="27">
        <f>MAX(G62-$C62,-1)*#REF!</f>
        <v/>
      </c>
      <c r="AC62" s="27">
        <f>MAX(H62-$C62,-1)*#REF!</f>
        <v/>
      </c>
      <c r="AD62" s="27">
        <f>MAX(I62-$C62,-1)*#REF!</f>
        <v/>
      </c>
      <c r="AE62" s="27">
        <f>MAX(J62-$C62,-1)*#REF!</f>
        <v/>
      </c>
      <c r="AF62" s="27">
        <f>MAX(K62-$C62,-1)*#REF!</f>
        <v/>
      </c>
      <c r="AG62" s="27">
        <f>MAX(L62-$C62,-1)*#REF!</f>
        <v/>
      </c>
      <c r="AH62" s="27">
        <f>MAX(M62-$C62,-1)*#REF!</f>
        <v/>
      </c>
      <c r="AI62" s="27">
        <f>MAX(N62-$C62,-1)*#REF!</f>
        <v/>
      </c>
      <c r="AJ62" s="27">
        <f>MAX(O62-$C62,-1)*#REF!</f>
        <v/>
      </c>
      <c r="AK62" s="27">
        <f>MAX(P62-$C62,-1)*#REF!</f>
        <v/>
      </c>
      <c r="AL62" s="27">
        <f>MAX(Q62-$C62,-1)*#REF!</f>
        <v/>
      </c>
      <c r="AM62" s="27">
        <f>MAX(R62-$C62,-1)*#REF!</f>
        <v/>
      </c>
      <c r="AN62" s="27">
        <f>MAX(S62-$C62,-1)*#REF!</f>
        <v/>
      </c>
      <c r="AO62" s="27">
        <f>MAX(T62-$C62,-1)*#REF!</f>
        <v/>
      </c>
      <c r="AP62" s="27">
        <f>MAX(U62-$C62,-1)*#REF!</f>
        <v/>
      </c>
      <c r="AQ62" s="27">
        <f>MAX(V62-$C62,-1)*#REF!</f>
        <v/>
      </c>
      <c r="AR62" s="27">
        <f>MAX(W62-$C62,-1)*#REF!</f>
        <v/>
      </c>
      <c r="AS62" s="27">
        <f>MAX(X62-$C62,-1)*#REF!</f>
        <v/>
      </c>
      <c r="AT62" s="29">
        <f>SUM(MAX(Y62:AS62,0))</f>
        <v/>
      </c>
    </row>
    <row r="63">
      <c r="A63" s="2" t="inlineStr">
        <is>
          <t>2019 кв.4</t>
        </is>
      </c>
      <c r="B63" s="16" t="n">
        <v>0</v>
      </c>
      <c r="C63" s="18" t="n">
        <v>2</v>
      </c>
      <c r="D63" s="6">
        <f>('Indicators Data'!C65-#REF!)/#REF!</f>
        <v/>
      </c>
      <c r="E63" s="14">
        <f>('Indicators Data'!D65-#REF!)/#REF!</f>
        <v/>
      </c>
      <c r="F63" s="14">
        <f>('Indicators Data'!E65-#REF!)/#REF!</f>
        <v/>
      </c>
      <c r="G63" s="14">
        <f>('Indicators Data'!F65-#REF!)/#REF!</f>
        <v/>
      </c>
      <c r="H63" s="14">
        <f>('Indicators Data'!G65-#REF!)/#REF!</f>
        <v/>
      </c>
      <c r="I63" s="14">
        <f>('Indicators Data'!P65-#REF!)/#REF!</f>
        <v/>
      </c>
      <c r="J63" s="15">
        <f>('Indicators Data'!T65-#REF!)/#REF!</f>
        <v/>
      </c>
      <c r="K63" s="6">
        <f>('Indicators Data'!U65-#REF!)/#REF!</f>
        <v/>
      </c>
      <c r="L63" s="14">
        <f>('Indicators Data'!Y65-#REF!)/#REF!</f>
        <v/>
      </c>
      <c r="M63" s="14">
        <f>('Indicators Data'!AD65-#REF!)/#REF!</f>
        <v/>
      </c>
      <c r="N63" s="15">
        <f>('Indicators Data'!#REF!-#REF!)/#REF!</f>
        <v/>
      </c>
      <c r="O63" s="6">
        <f>('Indicators Data'!#REF!-#REF!)/#REF!</f>
        <v/>
      </c>
      <c r="P63" s="14">
        <f>('Indicators Data'!#REF!-#REF!)/#REF!</f>
        <v/>
      </c>
      <c r="Q63" s="14">
        <f>-('Indicators Data'!#REF!-#REF!)/#REF!</f>
        <v/>
      </c>
      <c r="R63" s="15">
        <f>-('Indicators Data'!#REF!-#REF!)/#REF!</f>
        <v/>
      </c>
      <c r="S63" s="6">
        <f>('Indicators Data'!#REF!-#REF!)/#REF!</f>
        <v/>
      </c>
      <c r="T63" s="14">
        <f>('Indicators Data'!#REF!-#REF!)/#REF!</f>
        <v/>
      </c>
      <c r="U63" s="15">
        <f>('Indicators Data'!#REF!-#REF!)/#REF!</f>
        <v/>
      </c>
      <c r="V63" s="6">
        <f>-('Indicators Data'!#REF!-#REF!)/#REF!</f>
        <v/>
      </c>
      <c r="W63" s="14">
        <f>('Indicators Data'!#REF!-#REF!)/#REF!</f>
        <v/>
      </c>
      <c r="X63" s="15">
        <f>('Indicators Data'!#REF!-#REF!)/#REF!</f>
        <v/>
      </c>
      <c r="Y63" s="27">
        <f>MAX(D63-$C63,-1)*#REF!</f>
        <v/>
      </c>
      <c r="Z63" s="27">
        <f>MAX(E63-$C63,-1)*#REF!</f>
        <v/>
      </c>
      <c r="AA63" s="27">
        <f>MAX(F63-$C63,-1)*#REF!</f>
        <v/>
      </c>
      <c r="AB63" s="27">
        <f>MAX(G63-$C63,-1)*#REF!</f>
        <v/>
      </c>
      <c r="AC63" s="27">
        <f>MAX(H63-$C63,-1)*#REF!</f>
        <v/>
      </c>
      <c r="AD63" s="27">
        <f>MAX(I63-$C63,-1)*#REF!</f>
        <v/>
      </c>
      <c r="AE63" s="27">
        <f>MAX(J63-$C63,-1)*#REF!</f>
        <v/>
      </c>
      <c r="AF63" s="27">
        <f>MAX(K63-$C63,-1)*#REF!</f>
        <v/>
      </c>
      <c r="AG63" s="27">
        <f>MAX(L63-$C63,-1)*#REF!</f>
        <v/>
      </c>
      <c r="AH63" s="27">
        <f>MAX(M63-$C63,-1)*#REF!</f>
        <v/>
      </c>
      <c r="AI63" s="27">
        <f>MAX(N63-$C63,-1)*#REF!</f>
        <v/>
      </c>
      <c r="AJ63" s="27">
        <f>MAX(O63-$C63,-1)*#REF!</f>
        <v/>
      </c>
      <c r="AK63" s="27">
        <f>MAX(P63-$C63,-1)*#REF!</f>
        <v/>
      </c>
      <c r="AL63" s="27">
        <f>MAX(Q63-$C63,-1)*#REF!</f>
        <v/>
      </c>
      <c r="AM63" s="27">
        <f>MAX(R63-$C63,-1)*#REF!</f>
        <v/>
      </c>
      <c r="AN63" s="27">
        <f>MAX(S63-$C63,-1)*#REF!</f>
        <v/>
      </c>
      <c r="AO63" s="27">
        <f>MAX(T63-$C63,-1)*#REF!</f>
        <v/>
      </c>
      <c r="AP63" s="27">
        <f>MAX(U63-$C63,-1)*#REF!</f>
        <v/>
      </c>
      <c r="AQ63" s="27">
        <f>MAX(V63-$C63,-1)*#REF!</f>
        <v/>
      </c>
      <c r="AR63" s="27">
        <f>MAX(W63-$C63,-1)*#REF!</f>
        <v/>
      </c>
      <c r="AS63" s="27">
        <f>MAX(X63-$C63,-1)*#REF!</f>
        <v/>
      </c>
      <c r="AT63" s="29">
        <f>SUM(MAX(Y63:AS63,0))</f>
        <v/>
      </c>
    </row>
    <row r="64">
      <c r="A64" s="2" t="inlineStr">
        <is>
          <t>2020 кв.1</t>
        </is>
      </c>
      <c r="B64" s="16" t="n">
        <v>0</v>
      </c>
      <c r="C64" s="18" t="n">
        <v>2</v>
      </c>
      <c r="D64" s="6">
        <f>('Indicators Data'!C66-#REF!)/#REF!</f>
        <v/>
      </c>
      <c r="E64" s="14">
        <f>('Indicators Data'!D66-#REF!)/#REF!</f>
        <v/>
      </c>
      <c r="F64" s="14">
        <f>('Indicators Data'!E66-#REF!)/#REF!</f>
        <v/>
      </c>
      <c r="G64" s="14">
        <f>('Indicators Data'!F66-#REF!)/#REF!</f>
        <v/>
      </c>
      <c r="H64" s="14">
        <f>('Indicators Data'!G66-#REF!)/#REF!</f>
        <v/>
      </c>
      <c r="I64" s="14">
        <f>('Indicators Data'!P66-#REF!)/#REF!</f>
        <v/>
      </c>
      <c r="J64" s="15">
        <f>('Indicators Data'!T66-#REF!)/#REF!</f>
        <v/>
      </c>
      <c r="K64" s="6">
        <f>('Indicators Data'!U66-#REF!)/#REF!</f>
        <v/>
      </c>
      <c r="L64" s="14">
        <f>('Indicators Data'!Y66-#REF!)/#REF!</f>
        <v/>
      </c>
      <c r="M64" s="14">
        <f>('Indicators Data'!AD66-#REF!)/#REF!</f>
        <v/>
      </c>
      <c r="N64" s="15">
        <f>('Indicators Data'!#REF!-#REF!)/#REF!</f>
        <v/>
      </c>
      <c r="O64" s="6">
        <f>('Indicators Data'!#REF!-#REF!)/#REF!</f>
        <v/>
      </c>
      <c r="P64" s="14">
        <f>('Indicators Data'!#REF!-#REF!)/#REF!</f>
        <v/>
      </c>
      <c r="Q64" s="14">
        <f>-('Indicators Data'!#REF!-#REF!)/#REF!</f>
        <v/>
      </c>
      <c r="R64" s="15">
        <f>-('Indicators Data'!#REF!-#REF!)/#REF!</f>
        <v/>
      </c>
      <c r="S64" s="6">
        <f>('Indicators Data'!#REF!-#REF!)/#REF!</f>
        <v/>
      </c>
      <c r="T64" s="14">
        <f>('Indicators Data'!#REF!-#REF!)/#REF!</f>
        <v/>
      </c>
      <c r="U64" s="15">
        <f>('Indicators Data'!#REF!-#REF!)/#REF!</f>
        <v/>
      </c>
      <c r="V64" s="6">
        <f>-('Indicators Data'!#REF!-#REF!)/#REF!</f>
        <v/>
      </c>
      <c r="W64" s="14">
        <f>('Indicators Data'!#REF!-#REF!)/#REF!</f>
        <v/>
      </c>
      <c r="X64" s="15">
        <f>('Indicators Data'!#REF!-#REF!)/#REF!</f>
        <v/>
      </c>
      <c r="Y64" s="27">
        <f>MAX(D64-$C64,-1)*#REF!</f>
        <v/>
      </c>
      <c r="Z64" s="27">
        <f>MAX(E64-$C64,-1)*#REF!</f>
        <v/>
      </c>
      <c r="AA64" s="27">
        <f>MAX(F64-$C64,-1)*#REF!</f>
        <v/>
      </c>
      <c r="AB64" s="27">
        <f>MAX(G64-$C64,-1)*#REF!</f>
        <v/>
      </c>
      <c r="AC64" s="27">
        <f>MAX(H64-$C64,-1)*#REF!</f>
        <v/>
      </c>
      <c r="AD64" s="27">
        <f>MAX(I64-$C64,-1)*#REF!</f>
        <v/>
      </c>
      <c r="AE64" s="27">
        <f>MAX(J64-$C64,-1)*#REF!</f>
        <v/>
      </c>
      <c r="AF64" s="27">
        <f>MAX(K64-$C64,-1)*#REF!</f>
        <v/>
      </c>
      <c r="AG64" s="27">
        <f>MAX(L64-$C64,-1)*#REF!</f>
        <v/>
      </c>
      <c r="AH64" s="27">
        <f>MAX(M64-$C64,-1)*#REF!</f>
        <v/>
      </c>
      <c r="AI64" s="27">
        <f>MAX(N64-$C64,-1)*#REF!</f>
        <v/>
      </c>
      <c r="AJ64" s="27">
        <f>MAX(O64-$C64,-1)*#REF!</f>
        <v/>
      </c>
      <c r="AK64" s="27">
        <f>MAX(P64-$C64,-1)*#REF!</f>
        <v/>
      </c>
      <c r="AL64" s="27">
        <f>MAX(Q64-$C64,-1)*#REF!</f>
        <v/>
      </c>
      <c r="AM64" s="27">
        <f>MAX(R64-$C64,-1)*#REF!</f>
        <v/>
      </c>
      <c r="AN64" s="27">
        <f>MAX(S64-$C64,-1)*#REF!</f>
        <v/>
      </c>
      <c r="AO64" s="27">
        <f>MAX(T64-$C64,-1)*#REF!</f>
        <v/>
      </c>
      <c r="AP64" s="27">
        <f>MAX(U64-$C64,-1)*#REF!</f>
        <v/>
      </c>
      <c r="AQ64" s="27">
        <f>MAX(V64-$C64,-1)*#REF!</f>
        <v/>
      </c>
      <c r="AR64" s="27">
        <f>MAX(W64-$C64,-1)*#REF!</f>
        <v/>
      </c>
      <c r="AS64" s="27">
        <f>MAX(X64-$C64,-1)*#REF!</f>
        <v/>
      </c>
      <c r="AT64" s="29">
        <f>SUM(MAX(Y64:AS64,0))</f>
        <v/>
      </c>
    </row>
    <row r="65">
      <c r="A65" s="2" t="inlineStr">
        <is>
          <t>2020 кв.2</t>
        </is>
      </c>
      <c r="B65" s="16" t="n">
        <v>1</v>
      </c>
      <c r="C65" s="18" t="n">
        <v>2</v>
      </c>
      <c r="D65" s="6">
        <f>('Indicators Data'!C67-#REF!)/#REF!</f>
        <v/>
      </c>
      <c r="E65" s="14">
        <f>('Indicators Data'!D67-#REF!)/#REF!</f>
        <v/>
      </c>
      <c r="F65" s="14">
        <f>('Indicators Data'!E67-#REF!)/#REF!</f>
        <v/>
      </c>
      <c r="G65" s="14">
        <f>('Indicators Data'!F67-#REF!)/#REF!</f>
        <v/>
      </c>
      <c r="H65" s="14">
        <f>('Indicators Data'!G67-#REF!)/#REF!</f>
        <v/>
      </c>
      <c r="I65" s="14">
        <f>('Indicators Data'!P67-#REF!)/#REF!</f>
        <v/>
      </c>
      <c r="J65" s="15">
        <f>('Indicators Data'!T67-#REF!)/#REF!</f>
        <v/>
      </c>
      <c r="K65" s="6">
        <f>('Indicators Data'!U67-#REF!)/#REF!</f>
        <v/>
      </c>
      <c r="L65" s="14">
        <f>('Indicators Data'!Y67-#REF!)/#REF!</f>
        <v/>
      </c>
      <c r="M65" s="14">
        <f>('Indicators Data'!AD67-#REF!)/#REF!</f>
        <v/>
      </c>
      <c r="N65" s="15">
        <f>('Indicators Data'!#REF!-#REF!)/#REF!</f>
        <v/>
      </c>
      <c r="O65" s="6">
        <f>('Indicators Data'!#REF!-#REF!)/#REF!</f>
        <v/>
      </c>
      <c r="P65" s="14">
        <f>('Indicators Data'!#REF!-#REF!)/#REF!</f>
        <v/>
      </c>
      <c r="Q65" s="14">
        <f>-('Indicators Data'!#REF!-#REF!)/#REF!</f>
        <v/>
      </c>
      <c r="R65" s="15">
        <f>-('Indicators Data'!#REF!-#REF!)/#REF!</f>
        <v/>
      </c>
      <c r="S65" s="6">
        <f>('Indicators Data'!#REF!-#REF!)/#REF!</f>
        <v/>
      </c>
      <c r="T65" s="14">
        <f>('Indicators Data'!#REF!-#REF!)/#REF!</f>
        <v/>
      </c>
      <c r="U65" s="15">
        <f>('Indicators Data'!#REF!-#REF!)/#REF!</f>
        <v/>
      </c>
      <c r="V65" s="6">
        <f>-('Indicators Data'!#REF!-#REF!)/#REF!</f>
        <v/>
      </c>
      <c r="W65" s="14">
        <f>('Indicators Data'!#REF!-#REF!)/#REF!</f>
        <v/>
      </c>
      <c r="X65" s="15">
        <f>('Indicators Data'!#REF!-#REF!)/#REF!</f>
        <v/>
      </c>
      <c r="Y65" s="27">
        <f>MAX(D65-$C65,-1)*#REF!</f>
        <v/>
      </c>
      <c r="Z65" s="27">
        <f>MAX(E65-$C65,-1)*#REF!</f>
        <v/>
      </c>
      <c r="AA65" s="27">
        <f>MAX(F65-$C65,-1)*#REF!</f>
        <v/>
      </c>
      <c r="AB65" s="27">
        <f>MAX(G65-$C65,-1)*#REF!</f>
        <v/>
      </c>
      <c r="AC65" s="27">
        <f>MAX(H65-$C65,-1)*#REF!</f>
        <v/>
      </c>
      <c r="AD65" s="27">
        <f>MAX(I65-$C65,-1)*#REF!</f>
        <v/>
      </c>
      <c r="AE65" s="27">
        <f>MAX(J65-$C65,-1)*#REF!</f>
        <v/>
      </c>
      <c r="AF65" s="27">
        <f>MAX(K65-$C65,-1)*#REF!</f>
        <v/>
      </c>
      <c r="AG65" s="27">
        <f>MAX(L65-$C65,-1)*#REF!</f>
        <v/>
      </c>
      <c r="AH65" s="27">
        <f>MAX(M65-$C65,-1)*#REF!</f>
        <v/>
      </c>
      <c r="AI65" s="27">
        <f>MAX(N65-$C65,-1)*#REF!</f>
        <v/>
      </c>
      <c r="AJ65" s="27">
        <f>MAX(O65-$C65,-1)*#REF!</f>
        <v/>
      </c>
      <c r="AK65" s="27">
        <f>MAX(P65-$C65,-1)*#REF!</f>
        <v/>
      </c>
      <c r="AL65" s="27">
        <f>MAX(Q65-$C65,-1)*#REF!</f>
        <v/>
      </c>
      <c r="AM65" s="27">
        <f>MAX(R65-$C65,-1)*#REF!</f>
        <v/>
      </c>
      <c r="AN65" s="27">
        <f>MAX(S65-$C65,-1)*#REF!</f>
        <v/>
      </c>
      <c r="AO65" s="27">
        <f>MAX(T65-$C65,-1)*#REF!</f>
        <v/>
      </c>
      <c r="AP65" s="27">
        <f>MAX(U65-$C65,-1)*#REF!</f>
        <v/>
      </c>
      <c r="AQ65" s="27">
        <f>MAX(V65-$C65,-1)*#REF!</f>
        <v/>
      </c>
      <c r="AR65" s="27">
        <f>MAX(W65-$C65,-1)*#REF!</f>
        <v/>
      </c>
      <c r="AS65" s="27">
        <f>MAX(X65-$C65,-1)*#REF!</f>
        <v/>
      </c>
      <c r="AT65" s="29">
        <f>SUM(MAX(Y65:AS65,0))</f>
        <v/>
      </c>
    </row>
    <row r="66">
      <c r="A66" s="2" t="inlineStr">
        <is>
          <t>2020 кв.3</t>
        </is>
      </c>
      <c r="B66" s="16" t="n">
        <v>0</v>
      </c>
      <c r="C66" s="18" t="n">
        <v>2</v>
      </c>
      <c r="D66" s="6">
        <f>('Indicators Data'!C68-#REF!)/#REF!</f>
        <v/>
      </c>
      <c r="E66" s="14">
        <f>('Indicators Data'!D68-#REF!)/#REF!</f>
        <v/>
      </c>
      <c r="F66" s="14">
        <f>('Indicators Data'!E68-#REF!)/#REF!</f>
        <v/>
      </c>
      <c r="G66" s="14">
        <f>('Indicators Data'!F68-#REF!)/#REF!</f>
        <v/>
      </c>
      <c r="H66" s="14">
        <f>('Indicators Data'!G68-#REF!)/#REF!</f>
        <v/>
      </c>
      <c r="I66" s="14">
        <f>('Indicators Data'!P68-#REF!)/#REF!</f>
        <v/>
      </c>
      <c r="J66" s="15">
        <f>('Indicators Data'!T68-#REF!)/#REF!</f>
        <v/>
      </c>
      <c r="K66" s="6">
        <f>('Indicators Data'!U68-#REF!)/#REF!</f>
        <v/>
      </c>
      <c r="L66" s="14">
        <f>('Indicators Data'!Y68-#REF!)/#REF!</f>
        <v/>
      </c>
      <c r="M66" s="14">
        <f>('Indicators Data'!AD68-#REF!)/#REF!</f>
        <v/>
      </c>
      <c r="N66" s="15">
        <f>('Indicators Data'!#REF!-#REF!)/#REF!</f>
        <v/>
      </c>
      <c r="O66" s="6">
        <f>('Indicators Data'!#REF!-#REF!)/#REF!</f>
        <v/>
      </c>
      <c r="P66" s="14">
        <f>('Indicators Data'!#REF!-#REF!)/#REF!</f>
        <v/>
      </c>
      <c r="Q66" s="14">
        <f>-('Indicators Data'!#REF!-#REF!)/#REF!</f>
        <v/>
      </c>
      <c r="R66" s="15">
        <f>-('Indicators Data'!#REF!-#REF!)/#REF!</f>
        <v/>
      </c>
      <c r="S66" s="6">
        <f>('Indicators Data'!#REF!-#REF!)/#REF!</f>
        <v/>
      </c>
      <c r="T66" s="14">
        <f>('Indicators Data'!#REF!-#REF!)/#REF!</f>
        <v/>
      </c>
      <c r="U66" s="15">
        <f>('Indicators Data'!#REF!-#REF!)/#REF!</f>
        <v/>
      </c>
      <c r="V66" s="6">
        <f>-('Indicators Data'!#REF!-#REF!)/#REF!</f>
        <v/>
      </c>
      <c r="W66" s="14">
        <f>('Indicators Data'!#REF!-#REF!)/#REF!</f>
        <v/>
      </c>
      <c r="X66" s="15">
        <f>('Indicators Data'!#REF!-#REF!)/#REF!</f>
        <v/>
      </c>
      <c r="Y66" s="27">
        <f>MAX(D66-$C66,-1)*#REF!</f>
        <v/>
      </c>
      <c r="Z66" s="27">
        <f>MAX(E66-$C66,-1)*#REF!</f>
        <v/>
      </c>
      <c r="AA66" s="27">
        <f>MAX(F66-$C66,-1)*#REF!</f>
        <v/>
      </c>
      <c r="AB66" s="27">
        <f>MAX(G66-$C66,-1)*#REF!</f>
        <v/>
      </c>
      <c r="AC66" s="27">
        <f>MAX(H66-$C66,-1)*#REF!</f>
        <v/>
      </c>
      <c r="AD66" s="27">
        <f>MAX(I66-$C66,-1)*#REF!</f>
        <v/>
      </c>
      <c r="AE66" s="27">
        <f>MAX(J66-$C66,-1)*#REF!</f>
        <v/>
      </c>
      <c r="AF66" s="27">
        <f>MAX(K66-$C66,-1)*#REF!</f>
        <v/>
      </c>
      <c r="AG66" s="27">
        <f>MAX(L66-$C66,-1)*#REF!</f>
        <v/>
      </c>
      <c r="AH66" s="27">
        <f>MAX(M66-$C66,-1)*#REF!</f>
        <v/>
      </c>
      <c r="AI66" s="27">
        <f>MAX(N66-$C66,-1)*#REF!</f>
        <v/>
      </c>
      <c r="AJ66" s="27">
        <f>MAX(O66-$C66,-1)*#REF!</f>
        <v/>
      </c>
      <c r="AK66" s="27">
        <f>MAX(P66-$C66,-1)*#REF!</f>
        <v/>
      </c>
      <c r="AL66" s="27">
        <f>MAX(Q66-$C66,-1)*#REF!</f>
        <v/>
      </c>
      <c r="AM66" s="27">
        <f>MAX(R66-$C66,-1)*#REF!</f>
        <v/>
      </c>
      <c r="AN66" s="27">
        <f>MAX(S66-$C66,-1)*#REF!</f>
        <v/>
      </c>
      <c r="AO66" s="27">
        <f>MAX(T66-$C66,-1)*#REF!</f>
        <v/>
      </c>
      <c r="AP66" s="27">
        <f>MAX(U66-$C66,-1)*#REF!</f>
        <v/>
      </c>
      <c r="AQ66" s="27">
        <f>MAX(V66-$C66,-1)*#REF!</f>
        <v/>
      </c>
      <c r="AR66" s="27">
        <f>MAX(W66-$C66,-1)*#REF!</f>
        <v/>
      </c>
      <c r="AS66" s="27">
        <f>MAX(X66-$C66,-1)*#REF!</f>
        <v/>
      </c>
      <c r="AT66" s="29">
        <f>SUM(MAX(Y66:AS66,0))</f>
        <v/>
      </c>
    </row>
    <row r="67">
      <c r="A67" s="2" t="inlineStr">
        <is>
          <t>2020 кв.4</t>
        </is>
      </c>
      <c r="B67" s="16" t="n">
        <v>0</v>
      </c>
      <c r="C67" s="18" t="n">
        <v>2</v>
      </c>
      <c r="D67" s="6">
        <f>('Indicators Data'!C69-#REF!)/#REF!</f>
        <v/>
      </c>
      <c r="E67" s="14">
        <f>('Indicators Data'!D69-#REF!)/#REF!</f>
        <v/>
      </c>
      <c r="F67" s="14">
        <f>('Indicators Data'!E69-#REF!)/#REF!</f>
        <v/>
      </c>
      <c r="G67" s="14">
        <f>('Indicators Data'!F69-#REF!)/#REF!</f>
        <v/>
      </c>
      <c r="H67" s="14">
        <f>('Indicators Data'!G69-#REF!)/#REF!</f>
        <v/>
      </c>
      <c r="I67" s="14">
        <f>('Indicators Data'!P69-#REF!)/#REF!</f>
        <v/>
      </c>
      <c r="J67" s="15">
        <f>('Indicators Data'!T69-#REF!)/#REF!</f>
        <v/>
      </c>
      <c r="K67" s="6">
        <f>('Indicators Data'!U69-#REF!)/#REF!</f>
        <v/>
      </c>
      <c r="L67" s="14">
        <f>('Indicators Data'!Y69-#REF!)/#REF!</f>
        <v/>
      </c>
      <c r="M67" s="14">
        <f>('Indicators Data'!AD69-#REF!)/#REF!</f>
        <v/>
      </c>
      <c r="N67" s="15">
        <f>('Indicators Data'!#REF!-#REF!)/#REF!</f>
        <v/>
      </c>
      <c r="O67" s="6">
        <f>('Indicators Data'!#REF!-#REF!)/#REF!</f>
        <v/>
      </c>
      <c r="P67" s="14">
        <f>('Indicators Data'!#REF!-#REF!)/#REF!</f>
        <v/>
      </c>
      <c r="Q67" s="14">
        <f>-('Indicators Data'!#REF!-#REF!)/#REF!</f>
        <v/>
      </c>
      <c r="R67" s="15">
        <f>-('Indicators Data'!#REF!-#REF!)/#REF!</f>
        <v/>
      </c>
      <c r="S67" s="6">
        <f>('Indicators Data'!#REF!-#REF!)/#REF!</f>
        <v/>
      </c>
      <c r="T67" s="14">
        <f>('Indicators Data'!#REF!-#REF!)/#REF!</f>
        <v/>
      </c>
      <c r="U67" s="15">
        <f>('Indicators Data'!#REF!-#REF!)/#REF!</f>
        <v/>
      </c>
      <c r="V67" s="6">
        <f>-('Indicators Data'!#REF!-#REF!)/#REF!</f>
        <v/>
      </c>
      <c r="W67" s="14">
        <f>('Indicators Data'!#REF!-#REF!)/#REF!</f>
        <v/>
      </c>
      <c r="X67" s="15">
        <f>('Indicators Data'!#REF!-#REF!)/#REF!</f>
        <v/>
      </c>
      <c r="Y67" s="27">
        <f>MAX(D67-$C67,-1)*#REF!</f>
        <v/>
      </c>
      <c r="Z67" s="27">
        <f>MAX(E67-$C67,-1)*#REF!</f>
        <v/>
      </c>
      <c r="AA67" s="27">
        <f>MAX(F67-$C67,-1)*#REF!</f>
        <v/>
      </c>
      <c r="AB67" s="27">
        <f>MAX(G67-$C67,-1)*#REF!</f>
        <v/>
      </c>
      <c r="AC67" s="27">
        <f>MAX(H67-$C67,-1)*#REF!</f>
        <v/>
      </c>
      <c r="AD67" s="27">
        <f>MAX(I67-$C67,-1)*#REF!</f>
        <v/>
      </c>
      <c r="AE67" s="27">
        <f>MAX(J67-$C67,-1)*#REF!</f>
        <v/>
      </c>
      <c r="AF67" s="27">
        <f>MAX(K67-$C67,-1)*#REF!</f>
        <v/>
      </c>
      <c r="AG67" s="27">
        <f>MAX(L67-$C67,-1)*#REF!</f>
        <v/>
      </c>
      <c r="AH67" s="27">
        <f>MAX(M67-$C67,-1)*#REF!</f>
        <v/>
      </c>
      <c r="AI67" s="27">
        <f>MAX(N67-$C67,-1)*#REF!</f>
        <v/>
      </c>
      <c r="AJ67" s="27">
        <f>MAX(O67-$C67,-1)*#REF!</f>
        <v/>
      </c>
      <c r="AK67" s="27">
        <f>MAX(P67-$C67,-1)*#REF!</f>
        <v/>
      </c>
      <c r="AL67" s="27">
        <f>MAX(Q67-$C67,-1)*#REF!</f>
        <v/>
      </c>
      <c r="AM67" s="27">
        <f>MAX(R67-$C67,-1)*#REF!</f>
        <v/>
      </c>
      <c r="AN67" s="27">
        <f>MAX(S67-$C67,-1)*#REF!</f>
        <v/>
      </c>
      <c r="AO67" s="27">
        <f>MAX(T67-$C67,-1)*#REF!</f>
        <v/>
      </c>
      <c r="AP67" s="27">
        <f>MAX(U67-$C67,-1)*#REF!</f>
        <v/>
      </c>
      <c r="AQ67" s="27">
        <f>MAX(V67-$C67,-1)*#REF!</f>
        <v/>
      </c>
      <c r="AR67" s="27">
        <f>MAX(W67-$C67,-1)*#REF!</f>
        <v/>
      </c>
      <c r="AS67" s="27">
        <f>MAX(X67-$C67,-1)*#REF!</f>
        <v/>
      </c>
      <c r="AT67" s="29">
        <f>SUM(MAX(Y67:AS67,0))</f>
        <v/>
      </c>
    </row>
    <row r="68">
      <c r="A68" s="2" t="inlineStr">
        <is>
          <t>2021 кв.1</t>
        </is>
      </c>
      <c r="B68" s="16" t="n">
        <v>0</v>
      </c>
      <c r="C68" s="18" t="n">
        <v>2</v>
      </c>
      <c r="D68" s="6">
        <f>('Indicators Data'!C70-#REF!)/#REF!</f>
        <v/>
      </c>
      <c r="E68" s="14">
        <f>('Indicators Data'!D70-#REF!)/#REF!</f>
        <v/>
      </c>
      <c r="F68" s="14">
        <f>('Indicators Data'!E70-#REF!)/#REF!</f>
        <v/>
      </c>
      <c r="G68" s="14">
        <f>('Indicators Data'!F70-#REF!)/#REF!</f>
        <v/>
      </c>
      <c r="H68" s="14">
        <f>('Indicators Data'!G70-#REF!)/#REF!</f>
        <v/>
      </c>
      <c r="I68" s="14">
        <f>('Indicators Data'!P70-#REF!)/#REF!</f>
        <v/>
      </c>
      <c r="J68" s="15">
        <f>('Indicators Data'!T70-#REF!)/#REF!</f>
        <v/>
      </c>
      <c r="K68" s="6">
        <f>('Indicators Data'!U70-#REF!)/#REF!</f>
        <v/>
      </c>
      <c r="L68" s="14">
        <f>('Indicators Data'!Y70-#REF!)/#REF!</f>
        <v/>
      </c>
      <c r="M68" s="14">
        <f>('Indicators Data'!AD70-#REF!)/#REF!</f>
        <v/>
      </c>
      <c r="N68" s="15">
        <f>('Indicators Data'!#REF!-#REF!)/#REF!</f>
        <v/>
      </c>
      <c r="O68" s="6">
        <f>('Indicators Data'!#REF!-#REF!)/#REF!</f>
        <v/>
      </c>
      <c r="P68" s="14">
        <f>('Indicators Data'!#REF!-#REF!)/#REF!</f>
        <v/>
      </c>
      <c r="Q68" s="14">
        <f>-('Indicators Data'!#REF!-#REF!)/#REF!</f>
        <v/>
      </c>
      <c r="R68" s="15">
        <f>-('Indicators Data'!#REF!-#REF!)/#REF!</f>
        <v/>
      </c>
      <c r="S68" s="6">
        <f>('Indicators Data'!#REF!-#REF!)/#REF!</f>
        <v/>
      </c>
      <c r="T68" s="14">
        <f>('Indicators Data'!#REF!-#REF!)/#REF!</f>
        <v/>
      </c>
      <c r="U68" s="15">
        <f>('Indicators Data'!#REF!-#REF!)/#REF!</f>
        <v/>
      </c>
      <c r="V68" s="6">
        <f>-('Indicators Data'!#REF!-#REF!)/#REF!</f>
        <v/>
      </c>
      <c r="W68" s="14">
        <f>('Indicators Data'!#REF!-#REF!)/#REF!</f>
        <v/>
      </c>
      <c r="X68" s="15">
        <f>('Indicators Data'!#REF!-#REF!)/#REF!</f>
        <v/>
      </c>
      <c r="Y68" s="27">
        <f>MAX(D68-$C68,-1)*#REF!</f>
        <v/>
      </c>
      <c r="Z68" s="27">
        <f>MAX(E68-$C68,-1)*#REF!</f>
        <v/>
      </c>
      <c r="AA68" s="27">
        <f>MAX(F68-$C68,-1)*#REF!</f>
        <v/>
      </c>
      <c r="AB68" s="27">
        <f>MAX(G68-$C68,-1)*#REF!</f>
        <v/>
      </c>
      <c r="AC68" s="27">
        <f>MAX(H68-$C68,-1)*#REF!</f>
        <v/>
      </c>
      <c r="AD68" s="27">
        <f>MAX(I68-$C68,-1)*#REF!</f>
        <v/>
      </c>
      <c r="AE68" s="27">
        <f>MAX(J68-$C68,-1)*#REF!</f>
        <v/>
      </c>
      <c r="AF68" s="27">
        <f>MAX(K68-$C68,-1)*#REF!</f>
        <v/>
      </c>
      <c r="AG68" s="27">
        <f>MAX(L68-$C68,-1)*#REF!</f>
        <v/>
      </c>
      <c r="AH68" s="27">
        <f>MAX(M68-$C68,-1)*#REF!</f>
        <v/>
      </c>
      <c r="AI68" s="27">
        <f>MAX(N68-$C68,-1)*#REF!</f>
        <v/>
      </c>
      <c r="AJ68" s="27">
        <f>MAX(O68-$C68,-1)*#REF!</f>
        <v/>
      </c>
      <c r="AK68" s="27">
        <f>MAX(P68-$C68,-1)*#REF!</f>
        <v/>
      </c>
      <c r="AL68" s="27">
        <f>MAX(Q68-$C68,-1)*#REF!</f>
        <v/>
      </c>
      <c r="AM68" s="27">
        <f>MAX(R68-$C68,-1)*#REF!</f>
        <v/>
      </c>
      <c r="AN68" s="27">
        <f>MAX(S68-$C68,-1)*#REF!</f>
        <v/>
      </c>
      <c r="AO68" s="27">
        <f>MAX(T68-$C68,-1)*#REF!</f>
        <v/>
      </c>
      <c r="AP68" s="27">
        <f>MAX(U68-$C68,-1)*#REF!</f>
        <v/>
      </c>
      <c r="AQ68" s="27">
        <f>MAX(V68-$C68,-1)*#REF!</f>
        <v/>
      </c>
      <c r="AR68" s="27">
        <f>MAX(W68-$C68,-1)*#REF!</f>
        <v/>
      </c>
      <c r="AS68" s="27">
        <f>MAX(X68-$C68,-1)*#REF!</f>
        <v/>
      </c>
      <c r="AT68" s="29">
        <f>SUM(MAX(Y68:AS68,0))</f>
        <v/>
      </c>
    </row>
    <row r="69">
      <c r="A69" s="2" t="inlineStr">
        <is>
          <t>2021 кв.2</t>
        </is>
      </c>
      <c r="B69" s="16" t="n">
        <v>1</v>
      </c>
      <c r="C69" s="18" t="n">
        <v>2</v>
      </c>
      <c r="D69" s="6">
        <f>('Indicators Data'!C71-#REF!)/#REF!</f>
        <v/>
      </c>
      <c r="E69" s="14">
        <f>('Indicators Data'!D71-#REF!)/#REF!</f>
        <v/>
      </c>
      <c r="F69" s="14">
        <f>('Indicators Data'!E71-#REF!)/#REF!</f>
        <v/>
      </c>
      <c r="G69" s="14">
        <f>('Indicators Data'!F71-#REF!)/#REF!</f>
        <v/>
      </c>
      <c r="H69" s="14">
        <f>('Indicators Data'!G71-#REF!)/#REF!</f>
        <v/>
      </c>
      <c r="I69" s="14">
        <f>('Indicators Data'!P71-#REF!)/#REF!</f>
        <v/>
      </c>
      <c r="J69" s="15">
        <f>('Indicators Data'!T71-#REF!)/#REF!</f>
        <v/>
      </c>
      <c r="K69" s="6">
        <f>('Indicators Data'!U71-#REF!)/#REF!</f>
        <v/>
      </c>
      <c r="L69" s="14">
        <f>('Indicators Data'!Y71-#REF!)/#REF!</f>
        <v/>
      </c>
      <c r="M69" s="14">
        <f>('Indicators Data'!AD71-#REF!)/#REF!</f>
        <v/>
      </c>
      <c r="N69" s="15">
        <f>('Indicators Data'!#REF!-#REF!)/#REF!</f>
        <v/>
      </c>
      <c r="O69" s="6">
        <f>('Indicators Data'!#REF!-#REF!)/#REF!</f>
        <v/>
      </c>
      <c r="P69" s="14">
        <f>('Indicators Data'!#REF!-#REF!)/#REF!</f>
        <v/>
      </c>
      <c r="Q69" s="14">
        <f>-('Indicators Data'!#REF!-#REF!)/#REF!</f>
        <v/>
      </c>
      <c r="R69" s="15">
        <f>-('Indicators Data'!#REF!-#REF!)/#REF!</f>
        <v/>
      </c>
      <c r="S69" s="6">
        <f>('Indicators Data'!#REF!-#REF!)/#REF!</f>
        <v/>
      </c>
      <c r="T69" s="14">
        <f>('Indicators Data'!#REF!-#REF!)/#REF!</f>
        <v/>
      </c>
      <c r="U69" s="15">
        <f>('Indicators Data'!#REF!-#REF!)/#REF!</f>
        <v/>
      </c>
      <c r="V69" s="6">
        <f>-('Indicators Data'!#REF!-#REF!)/#REF!</f>
        <v/>
      </c>
      <c r="W69" s="14">
        <f>('Indicators Data'!#REF!-#REF!)/#REF!</f>
        <v/>
      </c>
      <c r="X69" s="15">
        <f>('Indicators Data'!#REF!-#REF!)/#REF!</f>
        <v/>
      </c>
      <c r="Y69" s="27">
        <f>MAX(D69-$C69,-1)*#REF!</f>
        <v/>
      </c>
      <c r="Z69" s="27">
        <f>MAX(E69-$C69,-1)*#REF!</f>
        <v/>
      </c>
      <c r="AA69" s="27">
        <f>MAX(F69-$C69,-1)*#REF!</f>
        <v/>
      </c>
      <c r="AB69" s="27">
        <f>MAX(G69-$C69,-1)*#REF!</f>
        <v/>
      </c>
      <c r="AC69" s="27">
        <f>MAX(H69-$C69,-1)*#REF!</f>
        <v/>
      </c>
      <c r="AD69" s="27">
        <f>MAX(I69-$C69,-1)*#REF!</f>
        <v/>
      </c>
      <c r="AE69" s="27">
        <f>MAX(J69-$C69,-1)*#REF!</f>
        <v/>
      </c>
      <c r="AF69" s="27">
        <f>MAX(K69-$C69,-1)*#REF!</f>
        <v/>
      </c>
      <c r="AG69" s="27">
        <f>MAX(L69-$C69,-1)*#REF!</f>
        <v/>
      </c>
      <c r="AH69" s="27">
        <f>MAX(M69-$C69,-1)*#REF!</f>
        <v/>
      </c>
      <c r="AI69" s="27">
        <f>MAX(N69-$C69,-1)*#REF!</f>
        <v/>
      </c>
      <c r="AJ69" s="27">
        <f>MAX(O69-$C69,-1)*#REF!</f>
        <v/>
      </c>
      <c r="AK69" s="27">
        <f>MAX(P69-$C69,-1)*#REF!</f>
        <v/>
      </c>
      <c r="AL69" s="27">
        <f>MAX(Q69-$C69,-1)*#REF!</f>
        <v/>
      </c>
      <c r="AM69" s="27">
        <f>MAX(R69-$C69,-1)*#REF!</f>
        <v/>
      </c>
      <c r="AN69" s="27">
        <f>MAX(S69-$C69,-1)*#REF!</f>
        <v/>
      </c>
      <c r="AO69" s="27">
        <f>MAX(T69-$C69,-1)*#REF!</f>
        <v/>
      </c>
      <c r="AP69" s="27">
        <f>MAX(U69-$C69,-1)*#REF!</f>
        <v/>
      </c>
      <c r="AQ69" s="27">
        <f>MAX(V69-$C69,-1)*#REF!</f>
        <v/>
      </c>
      <c r="AR69" s="27">
        <f>MAX(W69-$C69,-1)*#REF!</f>
        <v/>
      </c>
      <c r="AS69" s="27">
        <f>MAX(X69-$C69,-1)*#REF!</f>
        <v/>
      </c>
      <c r="AT69" s="29">
        <f>SUM(MAX(Y69:AS69,0))</f>
        <v/>
      </c>
    </row>
    <row r="70">
      <c r="A70" s="2" t="inlineStr">
        <is>
          <t>2021 кв.3</t>
        </is>
      </c>
      <c r="B70" s="16" t="n">
        <v>0</v>
      </c>
      <c r="C70" s="18" t="n">
        <v>2</v>
      </c>
      <c r="D70" s="6">
        <f>('Indicators Data'!C72-#REF!)/#REF!</f>
        <v/>
      </c>
      <c r="E70" s="14">
        <f>('Indicators Data'!D72-#REF!)/#REF!</f>
        <v/>
      </c>
      <c r="F70" s="14">
        <f>('Indicators Data'!E72-#REF!)/#REF!</f>
        <v/>
      </c>
      <c r="G70" s="14">
        <f>('Indicators Data'!F72-#REF!)/#REF!</f>
        <v/>
      </c>
      <c r="H70" s="14">
        <f>('Indicators Data'!G72-#REF!)/#REF!</f>
        <v/>
      </c>
      <c r="I70" s="14">
        <f>('Indicators Data'!P72-#REF!)/#REF!</f>
        <v/>
      </c>
      <c r="J70" s="15">
        <f>('Indicators Data'!T72-#REF!)/#REF!</f>
        <v/>
      </c>
      <c r="K70" s="6">
        <f>('Indicators Data'!U72-#REF!)/#REF!</f>
        <v/>
      </c>
      <c r="L70" s="14">
        <f>('Indicators Data'!Y72-#REF!)/#REF!</f>
        <v/>
      </c>
      <c r="M70" s="14">
        <f>('Indicators Data'!AD72-#REF!)/#REF!</f>
        <v/>
      </c>
      <c r="N70" s="15">
        <f>('Indicators Data'!#REF!-#REF!)/#REF!</f>
        <v/>
      </c>
      <c r="O70" s="6">
        <f>('Indicators Data'!#REF!-#REF!)/#REF!</f>
        <v/>
      </c>
      <c r="P70" s="14">
        <f>('Indicators Data'!#REF!-#REF!)/#REF!</f>
        <v/>
      </c>
      <c r="Q70" s="14">
        <f>-('Indicators Data'!#REF!-#REF!)/#REF!</f>
        <v/>
      </c>
      <c r="R70" s="15">
        <f>-('Indicators Data'!#REF!-#REF!)/#REF!</f>
        <v/>
      </c>
      <c r="S70" s="6">
        <f>('Indicators Data'!#REF!-#REF!)/#REF!</f>
        <v/>
      </c>
      <c r="T70" s="14">
        <f>('Indicators Data'!#REF!-#REF!)/#REF!</f>
        <v/>
      </c>
      <c r="U70" s="15">
        <f>('Indicators Data'!#REF!-#REF!)/#REF!</f>
        <v/>
      </c>
      <c r="V70" s="6">
        <f>-('Indicators Data'!#REF!-#REF!)/#REF!</f>
        <v/>
      </c>
      <c r="W70" s="14">
        <f>('Indicators Data'!#REF!-#REF!)/#REF!</f>
        <v/>
      </c>
      <c r="X70" s="15">
        <f>('Indicators Data'!#REF!-#REF!)/#REF!</f>
        <v/>
      </c>
      <c r="Y70" s="27">
        <f>MAX(D70-$C70,-1)*#REF!</f>
        <v/>
      </c>
      <c r="Z70" s="27">
        <f>MAX(E70-$C70,-1)*#REF!</f>
        <v/>
      </c>
      <c r="AA70" s="27">
        <f>MAX(F70-$C70,-1)*#REF!</f>
        <v/>
      </c>
      <c r="AB70" s="27">
        <f>MAX(G70-$C70,-1)*#REF!</f>
        <v/>
      </c>
      <c r="AC70" s="27">
        <f>MAX(H70-$C70,-1)*#REF!</f>
        <v/>
      </c>
      <c r="AD70" s="27">
        <f>MAX(I70-$C70,-1)*#REF!</f>
        <v/>
      </c>
      <c r="AE70" s="27">
        <f>MAX(J70-$C70,-1)*#REF!</f>
        <v/>
      </c>
      <c r="AF70" s="27">
        <f>MAX(K70-$C70,-1)*#REF!</f>
        <v/>
      </c>
      <c r="AG70" s="27">
        <f>MAX(L70-$C70,-1)*#REF!</f>
        <v/>
      </c>
      <c r="AH70" s="27">
        <f>MAX(M70-$C70,-1)*#REF!</f>
        <v/>
      </c>
      <c r="AI70" s="27">
        <f>MAX(N70-$C70,-1)*#REF!</f>
        <v/>
      </c>
      <c r="AJ70" s="27">
        <f>MAX(O70-$C70,-1)*#REF!</f>
        <v/>
      </c>
      <c r="AK70" s="27">
        <f>MAX(P70-$C70,-1)*#REF!</f>
        <v/>
      </c>
      <c r="AL70" s="27">
        <f>MAX(Q70-$C70,-1)*#REF!</f>
        <v/>
      </c>
      <c r="AM70" s="27">
        <f>MAX(R70-$C70,-1)*#REF!</f>
        <v/>
      </c>
      <c r="AN70" s="27">
        <f>MAX(S70-$C70,-1)*#REF!</f>
        <v/>
      </c>
      <c r="AO70" s="27">
        <f>MAX(T70-$C70,-1)*#REF!</f>
        <v/>
      </c>
      <c r="AP70" s="27">
        <f>MAX(U70-$C70,-1)*#REF!</f>
        <v/>
      </c>
      <c r="AQ70" s="27">
        <f>MAX(V70-$C70,-1)*#REF!</f>
        <v/>
      </c>
      <c r="AR70" s="27">
        <f>MAX(W70-$C70,-1)*#REF!</f>
        <v/>
      </c>
      <c r="AS70" s="27">
        <f>MAX(X70-$C70,-1)*#REF!</f>
        <v/>
      </c>
      <c r="AT70" s="29">
        <f>SUM(MAX(Y70:AS70,0))</f>
        <v/>
      </c>
    </row>
    <row r="71">
      <c r="A71" s="2" t="inlineStr">
        <is>
          <t>2021 кв.4</t>
        </is>
      </c>
      <c r="B71" s="16" t="n">
        <v>0</v>
      </c>
      <c r="C71" s="18" t="n">
        <v>2</v>
      </c>
      <c r="D71" s="6">
        <f>('Indicators Data'!C73-#REF!)/#REF!</f>
        <v/>
      </c>
      <c r="E71" s="14">
        <f>('Indicators Data'!D73-#REF!)/#REF!</f>
        <v/>
      </c>
      <c r="F71" s="14">
        <f>('Indicators Data'!E73-#REF!)/#REF!</f>
        <v/>
      </c>
      <c r="G71" s="14">
        <f>('Indicators Data'!F73-#REF!)/#REF!</f>
        <v/>
      </c>
      <c r="H71" s="14">
        <f>('Indicators Data'!G73-#REF!)/#REF!</f>
        <v/>
      </c>
      <c r="I71" s="14">
        <f>('Indicators Data'!P73-#REF!)/#REF!</f>
        <v/>
      </c>
      <c r="J71" s="15">
        <f>('Indicators Data'!T73-#REF!)/#REF!</f>
        <v/>
      </c>
      <c r="K71" s="6">
        <f>('Indicators Data'!U73-#REF!)/#REF!</f>
        <v/>
      </c>
      <c r="L71" s="14">
        <f>('Indicators Data'!Y73-#REF!)/#REF!</f>
        <v/>
      </c>
      <c r="M71" s="14">
        <f>('Indicators Data'!AD73-#REF!)/#REF!</f>
        <v/>
      </c>
      <c r="N71" s="15">
        <f>('Indicators Data'!#REF!-#REF!)/#REF!</f>
        <v/>
      </c>
      <c r="O71" s="6">
        <f>('Indicators Data'!#REF!-#REF!)/#REF!</f>
        <v/>
      </c>
      <c r="P71" s="14">
        <f>('Indicators Data'!#REF!-#REF!)/#REF!</f>
        <v/>
      </c>
      <c r="Q71" s="14">
        <f>-('Indicators Data'!#REF!-#REF!)/#REF!</f>
        <v/>
      </c>
      <c r="R71" s="15">
        <f>-('Indicators Data'!#REF!-#REF!)/#REF!</f>
        <v/>
      </c>
      <c r="S71" s="6">
        <f>('Indicators Data'!#REF!-#REF!)/#REF!</f>
        <v/>
      </c>
      <c r="T71" s="14">
        <f>('Indicators Data'!#REF!-#REF!)/#REF!</f>
        <v/>
      </c>
      <c r="U71" s="15">
        <f>('Indicators Data'!#REF!-#REF!)/#REF!</f>
        <v/>
      </c>
      <c r="V71" s="6">
        <f>-('Indicators Data'!#REF!-#REF!)/#REF!</f>
        <v/>
      </c>
      <c r="W71" s="14">
        <f>('Indicators Data'!#REF!-#REF!)/#REF!</f>
        <v/>
      </c>
      <c r="X71" s="15">
        <f>('Indicators Data'!#REF!-#REF!)/#REF!</f>
        <v/>
      </c>
      <c r="Y71" s="27">
        <f>MAX(D71-$C71,-1)*#REF!</f>
        <v/>
      </c>
      <c r="Z71" s="27">
        <f>MAX(E71-$C71,-1)*#REF!</f>
        <v/>
      </c>
      <c r="AA71" s="27">
        <f>MAX(F71-$C71,-1)*#REF!</f>
        <v/>
      </c>
      <c r="AB71" s="27">
        <f>MAX(G71-$C71,-1)*#REF!</f>
        <v/>
      </c>
      <c r="AC71" s="27">
        <f>MAX(H71-$C71,-1)*#REF!</f>
        <v/>
      </c>
      <c r="AD71" s="27">
        <f>MAX(I71-$C71,-1)*#REF!</f>
        <v/>
      </c>
      <c r="AE71" s="27">
        <f>MAX(J71-$C71,-1)*#REF!</f>
        <v/>
      </c>
      <c r="AF71" s="27">
        <f>MAX(K71-$C71,-1)*#REF!</f>
        <v/>
      </c>
      <c r="AG71" s="27">
        <f>MAX(L71-$C71,-1)*#REF!</f>
        <v/>
      </c>
      <c r="AH71" s="27">
        <f>MAX(M71-$C71,-1)*#REF!</f>
        <v/>
      </c>
      <c r="AI71" s="27">
        <f>MAX(N71-$C71,-1)*#REF!</f>
        <v/>
      </c>
      <c r="AJ71" s="27">
        <f>MAX(O71-$C71,-1)*#REF!</f>
        <v/>
      </c>
      <c r="AK71" s="27">
        <f>MAX(P71-$C71,-1)*#REF!</f>
        <v/>
      </c>
      <c r="AL71" s="27">
        <f>MAX(Q71-$C71,-1)*#REF!</f>
        <v/>
      </c>
      <c r="AM71" s="27">
        <f>MAX(R71-$C71,-1)*#REF!</f>
        <v/>
      </c>
      <c r="AN71" s="27">
        <f>MAX(S71-$C71,-1)*#REF!</f>
        <v/>
      </c>
      <c r="AO71" s="27">
        <f>MAX(T71-$C71,-1)*#REF!</f>
        <v/>
      </c>
      <c r="AP71" s="27">
        <f>MAX(U71-$C71,-1)*#REF!</f>
        <v/>
      </c>
      <c r="AQ71" s="27">
        <f>MAX(V71-$C71,-1)*#REF!</f>
        <v/>
      </c>
      <c r="AR71" s="27">
        <f>MAX(W71-$C71,-1)*#REF!</f>
        <v/>
      </c>
      <c r="AS71" s="27">
        <f>MAX(X71-$C71,-1)*#REF!</f>
        <v/>
      </c>
      <c r="AT71" s="29">
        <f>SUM(MAX(Y71:AS71,0))</f>
        <v/>
      </c>
    </row>
    <row r="72">
      <c r="A72" s="2" t="inlineStr">
        <is>
          <t>2022 кв.1</t>
        </is>
      </c>
      <c r="B72" s="16" t="n">
        <v>0</v>
      </c>
      <c r="C72" s="18" t="n">
        <v>2</v>
      </c>
      <c r="D72" s="6">
        <f>('Indicators Data'!C74-#REF!)/#REF!</f>
        <v/>
      </c>
      <c r="E72" s="14">
        <f>('Indicators Data'!D74-#REF!)/#REF!</f>
        <v/>
      </c>
      <c r="F72" s="14">
        <f>('Indicators Data'!E74-#REF!)/#REF!</f>
        <v/>
      </c>
      <c r="G72" s="14">
        <f>('Indicators Data'!F74-#REF!)/#REF!</f>
        <v/>
      </c>
      <c r="H72" s="14">
        <f>('Indicators Data'!G74-#REF!)/#REF!</f>
        <v/>
      </c>
      <c r="I72" s="14">
        <f>('Indicators Data'!P74-#REF!)/#REF!</f>
        <v/>
      </c>
      <c r="J72" s="15">
        <f>('Indicators Data'!T74-#REF!)/#REF!</f>
        <v/>
      </c>
      <c r="K72" s="6">
        <f>('Indicators Data'!U74-#REF!)/#REF!</f>
        <v/>
      </c>
      <c r="L72" s="14">
        <f>('Indicators Data'!Y74-#REF!)/#REF!</f>
        <v/>
      </c>
      <c r="M72" s="14">
        <f>('Indicators Data'!AD74-#REF!)/#REF!</f>
        <v/>
      </c>
      <c r="N72" s="15">
        <f>('Indicators Data'!#REF!-#REF!)/#REF!</f>
        <v/>
      </c>
      <c r="O72" s="6">
        <f>('Indicators Data'!#REF!-#REF!)/#REF!</f>
        <v/>
      </c>
      <c r="P72" s="14">
        <f>('Indicators Data'!#REF!-#REF!)/#REF!</f>
        <v/>
      </c>
      <c r="Q72" s="14">
        <f>-('Indicators Data'!#REF!-#REF!)/#REF!</f>
        <v/>
      </c>
      <c r="R72" s="15">
        <f>-('Indicators Data'!#REF!-#REF!)/#REF!</f>
        <v/>
      </c>
      <c r="S72" s="6">
        <f>('Indicators Data'!#REF!-#REF!)/#REF!</f>
        <v/>
      </c>
      <c r="T72" s="14">
        <f>('Indicators Data'!#REF!-#REF!)/#REF!</f>
        <v/>
      </c>
      <c r="U72" s="15">
        <f>('Indicators Data'!#REF!-#REF!)/#REF!</f>
        <v/>
      </c>
      <c r="V72" s="6">
        <f>-('Indicators Data'!#REF!-#REF!)/#REF!</f>
        <v/>
      </c>
      <c r="W72" s="14">
        <f>('Indicators Data'!#REF!-#REF!)/#REF!</f>
        <v/>
      </c>
      <c r="X72" s="15">
        <f>('Indicators Data'!#REF!-#REF!)/#REF!</f>
        <v/>
      </c>
      <c r="Y72" s="27">
        <f>MAX(D72-$C72,-1)*#REF!</f>
        <v/>
      </c>
      <c r="Z72" s="27">
        <f>MAX(E72-$C72,-1)*#REF!</f>
        <v/>
      </c>
      <c r="AA72" s="27">
        <f>MAX(F72-$C72,-1)*#REF!</f>
        <v/>
      </c>
      <c r="AB72" s="27">
        <f>MAX(G72-$C72,-1)*#REF!</f>
        <v/>
      </c>
      <c r="AC72" s="27">
        <f>MAX(H72-$C72,-1)*#REF!</f>
        <v/>
      </c>
      <c r="AD72" s="27">
        <f>MAX(I72-$C72,-1)*#REF!</f>
        <v/>
      </c>
      <c r="AE72" s="27">
        <f>MAX(J72-$C72,-1)*#REF!</f>
        <v/>
      </c>
      <c r="AF72" s="27">
        <f>MAX(K72-$C72,-1)*#REF!</f>
        <v/>
      </c>
      <c r="AG72" s="27">
        <f>MAX(L72-$C72,-1)*#REF!</f>
        <v/>
      </c>
      <c r="AH72" s="27">
        <f>MAX(M72-$C72,-1)*#REF!</f>
        <v/>
      </c>
      <c r="AI72" s="27">
        <f>MAX(N72-$C72,-1)*#REF!</f>
        <v/>
      </c>
      <c r="AJ72" s="27">
        <f>MAX(O72-$C72,-1)*#REF!</f>
        <v/>
      </c>
      <c r="AK72" s="27">
        <f>MAX(P72-$C72,-1)*#REF!</f>
        <v/>
      </c>
      <c r="AL72" s="27">
        <f>MAX(Q72-$C72,-1)*#REF!</f>
        <v/>
      </c>
      <c r="AM72" s="27">
        <f>MAX(R72-$C72,-1)*#REF!</f>
        <v/>
      </c>
      <c r="AN72" s="27">
        <f>MAX(S72-$C72,-1)*#REF!</f>
        <v/>
      </c>
      <c r="AO72" s="27">
        <f>MAX(T72-$C72,-1)*#REF!</f>
        <v/>
      </c>
      <c r="AP72" s="27">
        <f>MAX(U72-$C72,-1)*#REF!</f>
        <v/>
      </c>
      <c r="AQ72" s="27">
        <f>MAX(V72-$C72,-1)*#REF!</f>
        <v/>
      </c>
      <c r="AR72" s="27">
        <f>MAX(W72-$C72,-1)*#REF!</f>
        <v/>
      </c>
      <c r="AS72" s="27">
        <f>MAX(X72-$C72,-1)*#REF!</f>
        <v/>
      </c>
      <c r="AT72" s="29">
        <f>SUM(MAX(Y72:AS72,0))</f>
        <v/>
      </c>
    </row>
    <row r="73">
      <c r="A73" s="2" t="inlineStr">
        <is>
          <t>2022 кв.2</t>
        </is>
      </c>
      <c r="B73" s="16" t="n">
        <v>1</v>
      </c>
      <c r="C73" s="18" t="n">
        <v>2</v>
      </c>
      <c r="D73" s="6">
        <f>('Indicators Data'!C75-#REF!)/#REF!</f>
        <v/>
      </c>
      <c r="E73" s="14">
        <f>('Indicators Data'!D75-#REF!)/#REF!</f>
        <v/>
      </c>
      <c r="F73" s="14">
        <f>('Indicators Data'!E75-#REF!)/#REF!</f>
        <v/>
      </c>
      <c r="G73" s="14">
        <f>('Indicators Data'!F75-#REF!)/#REF!</f>
        <v/>
      </c>
      <c r="H73" s="14">
        <f>('Indicators Data'!G75-#REF!)/#REF!</f>
        <v/>
      </c>
      <c r="I73" s="14">
        <f>('Indicators Data'!P75-#REF!)/#REF!</f>
        <v/>
      </c>
      <c r="J73" s="15">
        <f>('Indicators Data'!T75-#REF!)/#REF!</f>
        <v/>
      </c>
      <c r="K73" s="6">
        <f>('Indicators Data'!U75-#REF!)/#REF!</f>
        <v/>
      </c>
      <c r="L73" s="14">
        <f>('Indicators Data'!Y75-#REF!)/#REF!</f>
        <v/>
      </c>
      <c r="M73" s="14">
        <f>('Indicators Data'!AD75-#REF!)/#REF!</f>
        <v/>
      </c>
      <c r="N73" s="15">
        <f>('Indicators Data'!#REF!-#REF!)/#REF!</f>
        <v/>
      </c>
      <c r="O73" s="6">
        <f>('Indicators Data'!#REF!-#REF!)/#REF!</f>
        <v/>
      </c>
      <c r="P73" s="14">
        <f>('Indicators Data'!#REF!-#REF!)/#REF!</f>
        <v/>
      </c>
      <c r="Q73" s="14">
        <f>-('Indicators Data'!#REF!-#REF!)/#REF!</f>
        <v/>
      </c>
      <c r="R73" s="15">
        <f>-('Indicators Data'!#REF!-#REF!)/#REF!</f>
        <v/>
      </c>
      <c r="S73" s="6">
        <f>('Indicators Data'!#REF!-#REF!)/#REF!</f>
        <v/>
      </c>
      <c r="T73" s="14">
        <f>('Indicators Data'!#REF!-#REF!)/#REF!</f>
        <v/>
      </c>
      <c r="U73" s="15">
        <f>('Indicators Data'!#REF!-#REF!)/#REF!</f>
        <v/>
      </c>
      <c r="V73" s="6">
        <f>-('Indicators Data'!#REF!-#REF!)/#REF!</f>
        <v/>
      </c>
      <c r="W73" s="14">
        <f>('Indicators Data'!#REF!-#REF!)/#REF!</f>
        <v/>
      </c>
      <c r="X73" s="15">
        <f>('Indicators Data'!#REF!-#REF!)/#REF!</f>
        <v/>
      </c>
      <c r="Y73" s="27">
        <f>MAX(D73-$C73,-1)*#REF!</f>
        <v/>
      </c>
      <c r="Z73" s="27">
        <f>MAX(E73-$C73,-1)*#REF!</f>
        <v/>
      </c>
      <c r="AA73" s="27">
        <f>MAX(F73-$C73,-1)*#REF!</f>
        <v/>
      </c>
      <c r="AB73" s="27">
        <f>MAX(G73-$C73,-1)*#REF!</f>
        <v/>
      </c>
      <c r="AC73" s="27">
        <f>MAX(H73-$C73,-1)*#REF!</f>
        <v/>
      </c>
      <c r="AD73" s="27">
        <f>MAX(I73-$C73,-1)*#REF!</f>
        <v/>
      </c>
      <c r="AE73" s="27">
        <f>MAX(J73-$C73,-1)*#REF!</f>
        <v/>
      </c>
      <c r="AF73" s="27">
        <f>MAX(K73-$C73,-1)*#REF!</f>
        <v/>
      </c>
      <c r="AG73" s="27">
        <f>MAX(L73-$C73,-1)*#REF!</f>
        <v/>
      </c>
      <c r="AH73" s="27">
        <f>MAX(M73-$C73,-1)*#REF!</f>
        <v/>
      </c>
      <c r="AI73" s="27">
        <f>MAX(N73-$C73,-1)*#REF!</f>
        <v/>
      </c>
      <c r="AJ73" s="27">
        <f>MAX(O73-$C73,-1)*#REF!</f>
        <v/>
      </c>
      <c r="AK73" s="27">
        <f>MAX(P73-$C73,-1)*#REF!</f>
        <v/>
      </c>
      <c r="AL73" s="27">
        <f>MAX(Q73-$C73,-1)*#REF!</f>
        <v/>
      </c>
      <c r="AM73" s="27">
        <f>MAX(R73-$C73,-1)*#REF!</f>
        <v/>
      </c>
      <c r="AN73" s="27">
        <f>MAX(S73-$C73,-1)*#REF!</f>
        <v/>
      </c>
      <c r="AO73" s="27">
        <f>MAX(T73-$C73,-1)*#REF!</f>
        <v/>
      </c>
      <c r="AP73" s="27">
        <f>MAX(U73-$C73,-1)*#REF!</f>
        <v/>
      </c>
      <c r="AQ73" s="27">
        <f>MAX(V73-$C73,-1)*#REF!</f>
        <v/>
      </c>
      <c r="AR73" s="27">
        <f>MAX(W73-$C73,-1)*#REF!</f>
        <v/>
      </c>
      <c r="AS73" s="27">
        <f>MAX(X73-$C73,-1)*#REF!</f>
        <v/>
      </c>
      <c r="AT73" s="29">
        <f>SUM(MAX(Y73:AS73,0))</f>
        <v/>
      </c>
    </row>
    <row r="74">
      <c r="A74" s="2" t="inlineStr">
        <is>
          <t>2022 кв.3</t>
        </is>
      </c>
      <c r="B74" s="16" t="n">
        <v>0</v>
      </c>
      <c r="C74" s="18" t="n">
        <v>2</v>
      </c>
      <c r="D74" s="6">
        <f>('Indicators Data'!C76-#REF!)/#REF!</f>
        <v/>
      </c>
      <c r="E74" s="14">
        <f>('Indicators Data'!D76-#REF!)/#REF!</f>
        <v/>
      </c>
      <c r="F74" s="14">
        <f>('Indicators Data'!E76-#REF!)/#REF!</f>
        <v/>
      </c>
      <c r="G74" s="14">
        <f>('Indicators Data'!F76-#REF!)/#REF!</f>
        <v/>
      </c>
      <c r="H74" s="14">
        <f>('Indicators Data'!G76-#REF!)/#REF!</f>
        <v/>
      </c>
      <c r="I74" s="14">
        <f>('Indicators Data'!P76-#REF!)/#REF!</f>
        <v/>
      </c>
      <c r="J74" s="15">
        <f>('Indicators Data'!T76-#REF!)/#REF!</f>
        <v/>
      </c>
      <c r="K74" s="6">
        <f>('Indicators Data'!U76-#REF!)/#REF!</f>
        <v/>
      </c>
      <c r="L74" s="14">
        <f>('Indicators Data'!Y76-#REF!)/#REF!</f>
        <v/>
      </c>
      <c r="M74" s="14">
        <f>('Indicators Data'!AD76-#REF!)/#REF!</f>
        <v/>
      </c>
      <c r="N74" s="15">
        <f>('Indicators Data'!#REF!-#REF!)/#REF!</f>
        <v/>
      </c>
      <c r="O74" s="6">
        <f>('Indicators Data'!#REF!-#REF!)/#REF!</f>
        <v/>
      </c>
      <c r="P74" s="14">
        <f>('Indicators Data'!#REF!-#REF!)/#REF!</f>
        <v/>
      </c>
      <c r="Q74" s="14">
        <f>-('Indicators Data'!#REF!-#REF!)/#REF!</f>
        <v/>
      </c>
      <c r="R74" s="15">
        <f>-('Indicators Data'!#REF!-#REF!)/#REF!</f>
        <v/>
      </c>
      <c r="S74" s="6">
        <f>('Indicators Data'!#REF!-#REF!)/#REF!</f>
        <v/>
      </c>
      <c r="T74" s="14">
        <f>('Indicators Data'!#REF!-#REF!)/#REF!</f>
        <v/>
      </c>
      <c r="U74" s="15">
        <f>('Indicators Data'!#REF!-#REF!)/#REF!</f>
        <v/>
      </c>
      <c r="V74" s="6">
        <f>-('Indicators Data'!#REF!-#REF!)/#REF!</f>
        <v/>
      </c>
      <c r="W74" s="14">
        <f>('Indicators Data'!#REF!-#REF!)/#REF!</f>
        <v/>
      </c>
      <c r="X74" s="15">
        <f>('Indicators Data'!#REF!-#REF!)/#REF!</f>
        <v/>
      </c>
      <c r="Y74" s="27">
        <f>MAX(D74-$C74,-1)*#REF!</f>
        <v/>
      </c>
      <c r="Z74" s="27">
        <f>MAX(E74-$C74,-1)*#REF!</f>
        <v/>
      </c>
      <c r="AA74" s="27">
        <f>MAX(F74-$C74,-1)*#REF!</f>
        <v/>
      </c>
      <c r="AB74" s="27">
        <f>MAX(G74-$C74,-1)*#REF!</f>
        <v/>
      </c>
      <c r="AC74" s="27">
        <f>MAX(H74-$C74,-1)*#REF!</f>
        <v/>
      </c>
      <c r="AD74" s="27">
        <f>MAX(I74-$C74,-1)*#REF!</f>
        <v/>
      </c>
      <c r="AE74" s="27">
        <f>MAX(J74-$C74,-1)*#REF!</f>
        <v/>
      </c>
      <c r="AF74" s="27">
        <f>MAX(K74-$C74,-1)*#REF!</f>
        <v/>
      </c>
      <c r="AG74" s="27">
        <f>MAX(L74-$C74,-1)*#REF!</f>
        <v/>
      </c>
      <c r="AH74" s="27">
        <f>MAX(M74-$C74,-1)*#REF!</f>
        <v/>
      </c>
      <c r="AI74" s="27">
        <f>MAX(N74-$C74,-1)*#REF!</f>
        <v/>
      </c>
      <c r="AJ74" s="27">
        <f>MAX(O74-$C74,-1)*#REF!</f>
        <v/>
      </c>
      <c r="AK74" s="27">
        <f>MAX(P74-$C74,-1)*#REF!</f>
        <v/>
      </c>
      <c r="AL74" s="27">
        <f>MAX(Q74-$C74,-1)*#REF!</f>
        <v/>
      </c>
      <c r="AM74" s="27">
        <f>MAX(R74-$C74,-1)*#REF!</f>
        <v/>
      </c>
      <c r="AN74" s="27">
        <f>MAX(S74-$C74,-1)*#REF!</f>
        <v/>
      </c>
      <c r="AO74" s="27">
        <f>MAX(T74-$C74,-1)*#REF!</f>
        <v/>
      </c>
      <c r="AP74" s="27">
        <f>MAX(U74-$C74,-1)*#REF!</f>
        <v/>
      </c>
      <c r="AQ74" s="27">
        <f>MAX(V74-$C74,-1)*#REF!</f>
        <v/>
      </c>
      <c r="AR74" s="27">
        <f>MAX(W74-$C74,-1)*#REF!</f>
        <v/>
      </c>
      <c r="AS74" s="27">
        <f>MAX(X74-$C74,-1)*#REF!</f>
        <v/>
      </c>
      <c r="AT74" s="29">
        <f>SUM(MAX(Y74:AS74,0))</f>
        <v/>
      </c>
    </row>
    <row r="75">
      <c r="A75" s="2" t="inlineStr">
        <is>
          <t>2022 кв.4</t>
        </is>
      </c>
      <c r="B75" s="16" t="n">
        <v>0</v>
      </c>
      <c r="C75" s="18" t="n">
        <v>2</v>
      </c>
      <c r="D75" s="6">
        <f>('Indicators Data'!C77-#REF!)/#REF!</f>
        <v/>
      </c>
      <c r="E75" s="14">
        <f>('Indicators Data'!D77-#REF!)/#REF!</f>
        <v/>
      </c>
      <c r="F75" s="14">
        <f>('Indicators Data'!E77-#REF!)/#REF!</f>
        <v/>
      </c>
      <c r="G75" s="14">
        <f>('Indicators Data'!F77-#REF!)/#REF!</f>
        <v/>
      </c>
      <c r="H75" s="14">
        <f>('Indicators Data'!G77-#REF!)/#REF!</f>
        <v/>
      </c>
      <c r="I75" s="14">
        <f>('Indicators Data'!P77-#REF!)/#REF!</f>
        <v/>
      </c>
      <c r="J75" s="15">
        <f>('Indicators Data'!T77-#REF!)/#REF!</f>
        <v/>
      </c>
      <c r="K75" s="6">
        <f>('Indicators Data'!U77-#REF!)/#REF!</f>
        <v/>
      </c>
      <c r="L75" s="14">
        <f>('Indicators Data'!Y77-#REF!)/#REF!</f>
        <v/>
      </c>
      <c r="M75" s="14">
        <f>('Indicators Data'!AD77-#REF!)/#REF!</f>
        <v/>
      </c>
      <c r="N75" s="15">
        <f>('Indicators Data'!#REF!-#REF!)/#REF!</f>
        <v/>
      </c>
      <c r="O75" s="6">
        <f>('Indicators Data'!#REF!-#REF!)/#REF!</f>
        <v/>
      </c>
      <c r="P75" s="14">
        <f>('Indicators Data'!#REF!-#REF!)/#REF!</f>
        <v/>
      </c>
      <c r="Q75" s="14">
        <f>-('Indicators Data'!#REF!-#REF!)/#REF!</f>
        <v/>
      </c>
      <c r="R75" s="15">
        <f>-('Indicators Data'!#REF!-#REF!)/#REF!</f>
        <v/>
      </c>
      <c r="S75" s="6">
        <f>('Indicators Data'!#REF!-#REF!)/#REF!</f>
        <v/>
      </c>
      <c r="T75" s="14">
        <f>('Indicators Data'!#REF!-#REF!)/#REF!</f>
        <v/>
      </c>
      <c r="U75" s="15">
        <f>('Indicators Data'!#REF!-#REF!)/#REF!</f>
        <v/>
      </c>
      <c r="V75" s="6">
        <f>-('Indicators Data'!#REF!-#REF!)/#REF!</f>
        <v/>
      </c>
      <c r="W75" s="14">
        <f>('Indicators Data'!#REF!-#REF!)/#REF!</f>
        <v/>
      </c>
      <c r="X75" s="15">
        <f>('Indicators Data'!#REF!-#REF!)/#REF!</f>
        <v/>
      </c>
      <c r="Y75" s="27">
        <f>MAX(D75-$C75,-1)*#REF!</f>
        <v/>
      </c>
      <c r="Z75" s="27">
        <f>MAX(E75-$C75,-1)*#REF!</f>
        <v/>
      </c>
      <c r="AA75" s="27">
        <f>MAX(F75-$C75,-1)*#REF!</f>
        <v/>
      </c>
      <c r="AB75" s="27">
        <f>MAX(G75-$C75,-1)*#REF!</f>
        <v/>
      </c>
      <c r="AC75" s="27">
        <f>MAX(H75-$C75,-1)*#REF!</f>
        <v/>
      </c>
      <c r="AD75" s="27">
        <f>MAX(I75-$C75,-1)*#REF!</f>
        <v/>
      </c>
      <c r="AE75" s="27">
        <f>MAX(J75-$C75,-1)*#REF!</f>
        <v/>
      </c>
      <c r="AF75" s="27">
        <f>MAX(K75-$C75,-1)*#REF!</f>
        <v/>
      </c>
      <c r="AG75" s="27">
        <f>MAX(L75-$C75,-1)*#REF!</f>
        <v/>
      </c>
      <c r="AH75" s="27">
        <f>MAX(M75-$C75,-1)*#REF!</f>
        <v/>
      </c>
      <c r="AI75" s="27">
        <f>MAX(N75-$C75,-1)*#REF!</f>
        <v/>
      </c>
      <c r="AJ75" s="27">
        <f>MAX(O75-$C75,-1)*#REF!</f>
        <v/>
      </c>
      <c r="AK75" s="27">
        <f>MAX(P75-$C75,-1)*#REF!</f>
        <v/>
      </c>
      <c r="AL75" s="27">
        <f>MAX(Q75-$C75,-1)*#REF!</f>
        <v/>
      </c>
      <c r="AM75" s="27">
        <f>MAX(R75-$C75,-1)*#REF!</f>
        <v/>
      </c>
      <c r="AN75" s="27">
        <f>MAX(S75-$C75,-1)*#REF!</f>
        <v/>
      </c>
      <c r="AO75" s="27">
        <f>MAX(T75-$C75,-1)*#REF!</f>
        <v/>
      </c>
      <c r="AP75" s="27">
        <f>MAX(U75-$C75,-1)*#REF!</f>
        <v/>
      </c>
      <c r="AQ75" s="27">
        <f>MAX(V75-$C75,-1)*#REF!</f>
        <v/>
      </c>
      <c r="AR75" s="27">
        <f>MAX(W75-$C75,-1)*#REF!</f>
        <v/>
      </c>
      <c r="AS75" s="27">
        <f>MAX(X75-$C75,-1)*#REF!</f>
        <v/>
      </c>
      <c r="AT75" s="29">
        <f>SUM(MAX(Y75:AS75,0))</f>
        <v/>
      </c>
    </row>
  </sheetData>
  <mergeCells count="20">
    <mergeCell ref="AN1:AP1"/>
    <mergeCell ref="I2:J2"/>
    <mergeCell ref="AJ1:AM1"/>
    <mergeCell ref="AF1:AI1"/>
    <mergeCell ref="M2:N2"/>
    <mergeCell ref="S2:T2"/>
    <mergeCell ref="D2:E2"/>
    <mergeCell ref="Y2:Z2"/>
    <mergeCell ref="AQ1:AS1"/>
    <mergeCell ref="D1:J1"/>
    <mergeCell ref="S1:U1"/>
    <mergeCell ref="AD2:AE2"/>
    <mergeCell ref="AN2:AO2"/>
    <mergeCell ref="K1:N1"/>
    <mergeCell ref="O1:R1"/>
    <mergeCell ref="Y1:AE1"/>
    <mergeCell ref="AH2:AI2"/>
    <mergeCell ref="W2:X2"/>
    <mergeCell ref="AR2:AS2"/>
    <mergeCell ref="V1:X1"/>
  </mergeCells>
  <pageMargins left="0.7" right="0.7" top="0.75" bottom="0.75" header="0.3" footer="0.3"/>
  <pageSetup orientation="portrait" paperSize="9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Надежда Бажанова</dc:creator>
  <dcterms:created xsi:type="dcterms:W3CDTF">2015-06-05T18:19:34Z</dcterms:created>
  <dcterms:modified xsi:type="dcterms:W3CDTF">2026-09-15T14:40:04Z</dcterms:modified>
  <cp:lastModifiedBy>Бажанова Надежда Дмитриевна</cp:lastModifiedBy>
</cp:coreProperties>
</file>